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b\Github\salterios\src\evan\"/>
    </mc:Choice>
  </mc:AlternateContent>
  <xr:revisionPtr revIDLastSave="0" documentId="13_ncr:1_{D08F57E6-CC6D-416E-A60B-995376E2EE0F}" xr6:coauthVersionLast="47" xr6:coauthVersionMax="47" xr10:uidLastSave="{00000000-0000-0000-0000-000000000000}"/>
  <bookViews>
    <workbookView xWindow="-120" yWindow="-120" windowWidth="51840" windowHeight="21120" activeTab="3" xr2:uid="{9B8BD42B-0449-4F22-A865-4F7344C9273C}"/>
  </bookViews>
  <sheets>
    <sheet name="Ordinario" sheetId="1" r:id="rId1"/>
    <sheet name="Data" sheetId="8" r:id="rId2"/>
    <sheet name="Ordinario (2026)" sheetId="6" r:id="rId3"/>
    <sheet name="Sheet2" sheetId="7" r:id="rId4"/>
    <sheet name="Adviento" sheetId="2" r:id="rId5"/>
    <sheet name="Navidad" sheetId="3" r:id="rId6"/>
    <sheet name="Cuaresma" sheetId="4" r:id="rId7"/>
    <sheet name="Pascua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36" i="7" l="1"/>
  <c r="G737" i="7" s="1"/>
  <c r="G738" i="7" s="1"/>
  <c r="G739" i="7" s="1"/>
  <c r="G740" i="7" s="1"/>
  <c r="G729" i="7"/>
  <c r="G730" i="7" s="1"/>
  <c r="G731" i="7" s="1"/>
  <c r="G732" i="7" s="1"/>
  <c r="G733" i="7" s="1"/>
  <c r="G734" i="7" s="1"/>
  <c r="G735" i="7" s="1"/>
  <c r="G722" i="7"/>
  <c r="G723" i="7" s="1"/>
  <c r="G724" i="7" s="1"/>
  <c r="G725" i="7" s="1"/>
  <c r="G726" i="7" s="1"/>
  <c r="G727" i="7" s="1"/>
  <c r="G728" i="7" s="1"/>
  <c r="G702" i="7"/>
  <c r="G703" i="7" s="1"/>
  <c r="G704" i="7" s="1"/>
  <c r="G705" i="7" s="1"/>
  <c r="G706" i="7" s="1"/>
  <c r="G707" i="7" s="1"/>
  <c r="G708" i="7" s="1"/>
  <c r="G709" i="7" s="1"/>
  <c r="G710" i="7" s="1"/>
  <c r="G711" i="7" s="1"/>
  <c r="G712" i="7" s="1"/>
  <c r="G713" i="7" s="1"/>
  <c r="G714" i="7" s="1"/>
  <c r="G716" i="7" s="1"/>
  <c r="G717" i="7" s="1"/>
  <c r="G718" i="7" s="1"/>
  <c r="G719" i="7" s="1"/>
  <c r="G720" i="7" s="1"/>
  <c r="G721" i="7" s="1"/>
  <c r="G701" i="7"/>
  <c r="G680" i="7"/>
  <c r="G681" i="7" s="1"/>
  <c r="G682" i="7" s="1"/>
  <c r="G683" i="7" s="1"/>
  <c r="G684" i="7" s="1"/>
  <c r="G685" i="7" s="1"/>
  <c r="G686" i="7" s="1"/>
  <c r="G687" i="7" s="1"/>
  <c r="G688" i="7" s="1"/>
  <c r="G689" i="7" s="1"/>
  <c r="G690" i="7" s="1"/>
  <c r="G691" i="7" s="1"/>
  <c r="G692" i="7" s="1"/>
  <c r="G693" i="7" s="1"/>
  <c r="G694" i="7" s="1"/>
  <c r="G695" i="7" s="1"/>
  <c r="G696" i="7" s="1"/>
  <c r="G697" i="7" s="1"/>
  <c r="G698" i="7" s="1"/>
  <c r="G699" i="7" s="1"/>
  <c r="G700" i="7" s="1"/>
  <c r="G659" i="7"/>
  <c r="G660" i="7" s="1"/>
  <c r="G661" i="7" s="1"/>
  <c r="G662" i="7" s="1"/>
  <c r="G663" i="7" s="1"/>
  <c r="G664" i="7" s="1"/>
  <c r="G665" i="7" s="1"/>
  <c r="G666" i="7" s="1"/>
  <c r="G667" i="7" s="1"/>
  <c r="G668" i="7" s="1"/>
  <c r="G669" i="7" s="1"/>
  <c r="G670" i="7" s="1"/>
  <c r="G671" i="7" s="1"/>
  <c r="G672" i="7" s="1"/>
  <c r="G673" i="7" s="1"/>
  <c r="G674" i="7" s="1"/>
  <c r="G675" i="7" s="1"/>
  <c r="G676" i="7" s="1"/>
  <c r="G677" i="7" s="1"/>
  <c r="G678" i="7" s="1"/>
  <c r="G679" i="7" s="1"/>
  <c r="G638" i="7"/>
  <c r="G639" i="7" s="1"/>
  <c r="G640" i="7" s="1"/>
  <c r="G641" i="7" s="1"/>
  <c r="G642" i="7" s="1"/>
  <c r="G643" i="7" s="1"/>
  <c r="G644" i="7" s="1"/>
  <c r="G645" i="7" s="1"/>
  <c r="G646" i="7" s="1"/>
  <c r="G647" i="7" s="1"/>
  <c r="G648" i="7" s="1"/>
  <c r="G649" i="7" s="1"/>
  <c r="G650" i="7" s="1"/>
  <c r="G651" i="7" s="1"/>
  <c r="G652" i="7" s="1"/>
  <c r="G653" i="7" s="1"/>
  <c r="G654" i="7" s="1"/>
  <c r="G655" i="7" s="1"/>
  <c r="G656" i="7" s="1"/>
  <c r="G657" i="7" s="1"/>
  <c r="G658" i="7" s="1"/>
  <c r="G618" i="7"/>
  <c r="G619" i="7" s="1"/>
  <c r="G620" i="7" s="1"/>
  <c r="G621" i="7" s="1"/>
  <c r="G622" i="7" s="1"/>
  <c r="G623" i="7" s="1"/>
  <c r="G624" i="7" s="1"/>
  <c r="G625" i="7" s="1"/>
  <c r="G626" i="7" s="1"/>
  <c r="G627" i="7" s="1"/>
  <c r="G628" i="7" s="1"/>
  <c r="G629" i="7" s="1"/>
  <c r="G630" i="7" s="1"/>
  <c r="G631" i="7" s="1"/>
  <c r="G632" i="7" s="1"/>
  <c r="G633" i="7" s="1"/>
  <c r="G634" i="7" s="1"/>
  <c r="G635" i="7" s="1"/>
  <c r="G636" i="7" s="1"/>
  <c r="G637" i="7" s="1"/>
  <c r="G617" i="7"/>
  <c r="G596" i="7"/>
  <c r="G597" i="7" s="1"/>
  <c r="G598" i="7" s="1"/>
  <c r="G599" i="7" s="1"/>
  <c r="G600" i="7" s="1"/>
  <c r="G601" i="7" s="1"/>
  <c r="G602" i="7" s="1"/>
  <c r="G603" i="7" s="1"/>
  <c r="G604" i="7" s="1"/>
  <c r="G605" i="7" s="1"/>
  <c r="G606" i="7" s="1"/>
  <c r="G607" i="7" s="1"/>
  <c r="G608" i="7" s="1"/>
  <c r="G609" i="7" s="1"/>
  <c r="G610" i="7" s="1"/>
  <c r="G611" i="7" s="1"/>
  <c r="G612" i="7" s="1"/>
  <c r="G613" i="7" s="1"/>
  <c r="G614" i="7" s="1"/>
  <c r="G615" i="7" s="1"/>
  <c r="G616" i="7" s="1"/>
  <c r="G589" i="7"/>
  <c r="G590" i="7" s="1"/>
  <c r="G591" i="7" s="1"/>
  <c r="G592" i="7" s="1"/>
  <c r="G593" i="7" s="1"/>
  <c r="G594" i="7" s="1"/>
  <c r="G595" i="7" s="1"/>
  <c r="G582" i="7"/>
  <c r="G583" i="7" s="1"/>
  <c r="G584" i="7" s="1"/>
  <c r="G585" i="7" s="1"/>
  <c r="G586" i="7" s="1"/>
  <c r="G587" i="7" s="1"/>
  <c r="G588" i="7" s="1"/>
  <c r="G498" i="7"/>
  <c r="G499" i="7" s="1"/>
  <c r="G500" i="7" s="1"/>
  <c r="G501" i="7" s="1"/>
  <c r="G502" i="7" s="1"/>
  <c r="G503" i="7" s="1"/>
  <c r="G504" i="7" s="1"/>
  <c r="G491" i="7"/>
  <c r="G492" i="7" s="1"/>
  <c r="G493" i="7" s="1"/>
  <c r="G494" i="7" s="1"/>
  <c r="G495" i="7" s="1"/>
  <c r="G496" i="7" s="1"/>
  <c r="G497" i="7" s="1"/>
  <c r="G484" i="7"/>
  <c r="G485" i="7" s="1"/>
  <c r="G486" i="7" s="1"/>
  <c r="G487" i="7" s="1"/>
  <c r="G488" i="7" s="1"/>
  <c r="G489" i="7" s="1"/>
  <c r="G490" i="7" s="1"/>
  <c r="G436" i="7"/>
  <c r="G437" i="7" s="1"/>
  <c r="G438" i="7" s="1"/>
  <c r="G439" i="7" s="1"/>
  <c r="G440" i="7" s="1"/>
  <c r="G441" i="7" s="1"/>
  <c r="G442" i="7" s="1"/>
  <c r="G443" i="7" s="1"/>
  <c r="G444" i="7" s="1"/>
  <c r="G445" i="7" s="1"/>
  <c r="G446" i="7" s="1"/>
  <c r="G447" i="7" s="1"/>
  <c r="G448" i="7" s="1"/>
  <c r="G449" i="7" s="1"/>
  <c r="G450" i="7" s="1"/>
  <c r="G451" i="7" s="1"/>
  <c r="G452" i="7" s="1"/>
  <c r="G453" i="7" s="1"/>
  <c r="G454" i="7" s="1"/>
  <c r="G455" i="7" s="1"/>
  <c r="G456" i="7" s="1"/>
  <c r="G457" i="7" s="1"/>
  <c r="G458" i="7" s="1"/>
  <c r="G459" i="7" s="1"/>
  <c r="G460" i="7" s="1"/>
  <c r="G461" i="7" s="1"/>
  <c r="G462" i="7" s="1"/>
  <c r="G463" i="7" s="1"/>
  <c r="G464" i="7" s="1"/>
  <c r="G465" i="7" s="1"/>
  <c r="G466" i="7" s="1"/>
  <c r="G467" i="7" s="1"/>
  <c r="G468" i="7" s="1"/>
  <c r="G469" i="7" s="1"/>
  <c r="G470" i="7" s="1"/>
  <c r="G471" i="7" s="1"/>
  <c r="G472" i="7" s="1"/>
  <c r="G473" i="7" s="1"/>
  <c r="G474" i="7" s="1"/>
  <c r="G475" i="7" s="1"/>
  <c r="G476" i="7" s="1"/>
  <c r="G478" i="7" s="1"/>
  <c r="G479" i="7" s="1"/>
  <c r="G480" i="7" s="1"/>
  <c r="G481" i="7" s="1"/>
  <c r="G482" i="7" s="1"/>
  <c r="G483" i="7" s="1"/>
  <c r="G421" i="7"/>
  <c r="G422" i="7" s="1"/>
  <c r="G423" i="7" s="1"/>
  <c r="G424" i="7" s="1"/>
  <c r="G425" i="7" s="1"/>
  <c r="G426" i="7" s="1"/>
  <c r="G427" i="7" s="1"/>
  <c r="G414" i="7"/>
  <c r="G415" i="7" s="1"/>
  <c r="G416" i="7" s="1"/>
  <c r="G417" i="7" s="1"/>
  <c r="G418" i="7" s="1"/>
  <c r="G419" i="7" s="1"/>
  <c r="G420" i="7" s="1"/>
  <c r="G407" i="7"/>
  <c r="G408" i="7" s="1"/>
  <c r="G409" i="7" s="1"/>
  <c r="G410" i="7" s="1"/>
  <c r="G411" i="7" s="1"/>
  <c r="G412" i="7" s="1"/>
  <c r="G413" i="7" s="1"/>
  <c r="G403" i="7"/>
  <c r="G404" i="7" s="1"/>
  <c r="G405" i="7" s="1"/>
  <c r="G406" i="7" s="1"/>
  <c r="G402" i="7"/>
  <c r="G395" i="7"/>
  <c r="G396" i="7" s="1"/>
  <c r="G397" i="7" s="1"/>
  <c r="G398" i="7" s="1"/>
  <c r="G399" i="7" s="1"/>
  <c r="G400" i="7" s="1"/>
  <c r="G401" i="7" s="1"/>
  <c r="G394" i="7"/>
  <c r="A1130" i="7" a="1"/>
  <c r="A1130" i="7" s="1"/>
  <c r="A1129" i="7" a="1"/>
  <c r="A1129" i="7" s="1"/>
  <c r="A1128" i="7" a="1"/>
  <c r="A1128" i="7" s="1"/>
  <c r="A1127" i="7" a="1"/>
  <c r="A1127" i="7" s="1"/>
  <c r="A1126" i="7" a="1"/>
  <c r="A1126" i="7" s="1"/>
  <c r="A1125" i="7" a="1"/>
  <c r="A1125" i="7" s="1"/>
  <c r="A1124" i="7" a="1"/>
  <c r="A1124" i="7" s="1"/>
  <c r="A1123" i="7" a="1"/>
  <c r="A1123" i="7" s="1"/>
  <c r="A1122" i="7" a="1"/>
  <c r="A1122" i="7" s="1"/>
  <c r="A1121" i="7" a="1"/>
  <c r="A1121" i="7" s="1"/>
  <c r="A1120" i="7" a="1"/>
  <c r="A1120" i="7" s="1"/>
  <c r="A1119" i="7" a="1"/>
  <c r="A1119" i="7" s="1"/>
  <c r="A1118" i="7" a="1"/>
  <c r="A1118" i="7" s="1"/>
  <c r="A1117" i="7" a="1"/>
  <c r="A1117" i="7" s="1"/>
  <c r="A1116" i="7" a="1"/>
  <c r="A1116" i="7" s="1"/>
  <c r="A1115" i="7" a="1"/>
  <c r="A1115" i="7" s="1"/>
  <c r="A1114" i="7" a="1"/>
  <c r="A1114" i="7" s="1"/>
  <c r="A1113" i="7" a="1"/>
  <c r="A1113" i="7" s="1"/>
  <c r="A1112" i="7" a="1"/>
  <c r="A1112" i="7" s="1"/>
  <c r="A1111" i="7" a="1"/>
  <c r="A1111" i="7" s="1"/>
  <c r="A1110" i="7" a="1"/>
  <c r="A1110" i="7" s="1"/>
  <c r="A1109" i="7" a="1"/>
  <c r="A1109" i="7" s="1"/>
  <c r="A1108" i="7" a="1"/>
  <c r="A1108" i="7" s="1"/>
  <c r="A1107" i="7" a="1"/>
  <c r="A1107" i="7" s="1"/>
  <c r="A1106" i="7" a="1"/>
  <c r="A1106" i="7" s="1"/>
  <c r="A1105" i="7" a="1"/>
  <c r="A1105" i="7" s="1"/>
  <c r="A1104" i="7" a="1"/>
  <c r="A1104" i="7" s="1"/>
  <c r="A1103" i="7"/>
  <c r="A1103" i="7" a="1"/>
  <c r="A1102" i="7" a="1"/>
  <c r="A1102" i="7" s="1"/>
  <c r="A1101" i="7" a="1"/>
  <c r="A1101" i="7" s="1"/>
  <c r="A1100" i="7" a="1"/>
  <c r="A1100" i="7" s="1"/>
  <c r="A1099" i="7" a="1"/>
  <c r="A1099" i="7" s="1"/>
  <c r="A1098" i="7" a="1"/>
  <c r="A1098" i="7" s="1"/>
  <c r="A1097" i="7" a="1"/>
  <c r="A1097" i="7" s="1"/>
  <c r="A1096" i="7" a="1"/>
  <c r="A1096" i="7" s="1"/>
  <c r="A1095" i="7" a="1"/>
  <c r="A1095" i="7" s="1"/>
  <c r="A1094" i="7" a="1"/>
  <c r="A1094" i="7" s="1"/>
  <c r="A1093" i="7" a="1"/>
  <c r="A1093" i="7" s="1"/>
  <c r="A1092" i="7" a="1"/>
  <c r="A1092" i="7" s="1"/>
  <c r="A1091" i="7" a="1"/>
  <c r="A1091" i="7" s="1"/>
  <c r="A1090" i="7" a="1"/>
  <c r="A1090" i="7" s="1"/>
  <c r="A1089" i="7" a="1"/>
  <c r="A1089" i="7" s="1"/>
  <c r="A1088" i="7" a="1"/>
  <c r="A1088" i="7" s="1"/>
  <c r="A1087" i="7" a="1"/>
  <c r="A1087" i="7" s="1"/>
  <c r="A1086" i="7" a="1"/>
  <c r="A1086" i="7" s="1"/>
  <c r="A1085" i="7" a="1"/>
  <c r="A1085" i="7" s="1"/>
  <c r="A1084" i="7" a="1"/>
  <c r="A1084" i="7" s="1"/>
  <c r="A1083" i="7" a="1"/>
  <c r="A1083" i="7" s="1"/>
  <c r="A1082" i="7" a="1"/>
  <c r="A1082" i="7" s="1"/>
  <c r="A1081" i="7" a="1"/>
  <c r="A1081" i="7" s="1"/>
  <c r="A1080" i="7" a="1"/>
  <c r="A1080" i="7" s="1"/>
  <c r="A1079" i="7" a="1"/>
  <c r="A1079" i="7" s="1"/>
  <c r="A1078" i="7" a="1"/>
  <c r="A1078" i="7" s="1"/>
  <c r="A1077" i="7" a="1"/>
  <c r="A1077" i="7" s="1"/>
  <c r="A1076" i="7" a="1"/>
  <c r="A1076" i="7" s="1"/>
  <c r="A1075" i="7" a="1"/>
  <c r="A1075" i="7" s="1"/>
  <c r="A1074" i="7" a="1"/>
  <c r="A1074" i="7" s="1"/>
  <c r="A1073" i="7" a="1"/>
  <c r="A1073" i="7" s="1"/>
  <c r="A1072" i="7" a="1"/>
  <c r="A1072" i="7" s="1"/>
  <c r="A1071" i="7" a="1"/>
  <c r="A1071" i="7" s="1"/>
  <c r="A1070" i="7" a="1"/>
  <c r="A1070" i="7" s="1"/>
  <c r="A1069" i="7" a="1"/>
  <c r="A1069" i="7" s="1"/>
  <c r="A1068" i="7" a="1"/>
  <c r="A1068" i="7" s="1"/>
  <c r="A1067" i="7" a="1"/>
  <c r="A1067" i="7" s="1"/>
  <c r="A1066" i="7" a="1"/>
  <c r="A1066" i="7" s="1"/>
  <c r="A1065" i="7" a="1"/>
  <c r="A1065" i="7" s="1"/>
  <c r="A1064" i="7" a="1"/>
  <c r="A1064" i="7" s="1"/>
  <c r="A1063" i="7" a="1"/>
  <c r="A1063" i="7" s="1"/>
  <c r="A1062" i="7" a="1"/>
  <c r="A1062" i="7" s="1"/>
  <c r="A1061" i="7" a="1"/>
  <c r="A1061" i="7" s="1"/>
  <c r="A1060" i="7" a="1"/>
  <c r="A1060" i="7" s="1"/>
  <c r="A1059" i="7" a="1"/>
  <c r="A1059" i="7" s="1"/>
  <c r="A1058" i="7" a="1"/>
  <c r="A1058" i="7" s="1"/>
  <c r="A1057" i="7" a="1"/>
  <c r="A1057" i="7" s="1"/>
  <c r="A1056" i="7" a="1"/>
  <c r="A1056" i="7" s="1"/>
  <c r="A1055" i="7" a="1"/>
  <c r="A1055" i="7" s="1"/>
  <c r="A1054" i="7" a="1"/>
  <c r="A1054" i="7" s="1"/>
  <c r="A1053" i="7" a="1"/>
  <c r="A1053" i="7" s="1"/>
  <c r="A1052" i="7" a="1"/>
  <c r="A1052" i="7" s="1"/>
  <c r="A1051" i="7" a="1"/>
  <c r="A1051" i="7" s="1"/>
  <c r="A1050" i="7" a="1"/>
  <c r="A1050" i="7" s="1"/>
  <c r="A1049" i="7" a="1"/>
  <c r="A1049" i="7" s="1"/>
  <c r="A1048" i="7" a="1"/>
  <c r="A1048" i="7" s="1"/>
  <c r="A1047" i="7"/>
  <c r="A1047" i="7" a="1"/>
  <c r="A1046" i="7" a="1"/>
  <c r="A1046" i="7" s="1"/>
  <c r="A1045" i="7" a="1"/>
  <c r="A1045" i="7" s="1"/>
  <c r="A1044" i="7" a="1"/>
  <c r="A1044" i="7" s="1"/>
  <c r="A1043" i="7"/>
  <c r="A1043" i="7" a="1"/>
  <c r="A1042" i="7" a="1"/>
  <c r="A1042" i="7" s="1"/>
  <c r="A1041" i="7" a="1"/>
  <c r="A1041" i="7" s="1"/>
  <c r="A1040" i="7" a="1"/>
  <c r="A1040" i="7" s="1"/>
  <c r="A1039" i="7"/>
  <c r="A1039" i="7" a="1"/>
  <c r="A1038" i="7" a="1"/>
  <c r="A1038" i="7" s="1"/>
  <c r="A1037" i="7" a="1"/>
  <c r="A1037" i="7" s="1"/>
  <c r="A1036" i="7" a="1"/>
  <c r="A1036" i="7" s="1"/>
  <c r="A1035" i="7" a="1"/>
  <c r="A1035" i="7" s="1"/>
  <c r="A1034" i="7" a="1"/>
  <c r="A1034" i="7" s="1"/>
  <c r="A1033" i="7" a="1"/>
  <c r="A1033" i="7" s="1"/>
  <c r="A1032" i="7" a="1"/>
  <c r="A1032" i="7" s="1"/>
  <c r="A1031" i="7" a="1"/>
  <c r="A1031" i="7" s="1"/>
  <c r="A1030" i="7" a="1"/>
  <c r="A1030" i="7" s="1"/>
  <c r="A1029" i="7" a="1"/>
  <c r="A1029" i="7" s="1"/>
  <c r="A1028" i="7" a="1"/>
  <c r="A1028" i="7" s="1"/>
  <c r="A1027" i="7" a="1"/>
  <c r="A1027" i="7" s="1"/>
  <c r="A1026" i="7" a="1"/>
  <c r="A1026" i="7" s="1"/>
  <c r="A1025" i="7" a="1"/>
  <c r="A1025" i="7" s="1"/>
  <c r="A1024" i="7" a="1"/>
  <c r="A1024" i="7" s="1"/>
  <c r="A1023" i="7" a="1"/>
  <c r="A1023" i="7" s="1"/>
  <c r="A1022" i="7" a="1"/>
  <c r="A1022" i="7" s="1"/>
  <c r="A1021" i="7" a="1"/>
  <c r="A1021" i="7" s="1"/>
  <c r="A1020" i="7" a="1"/>
  <c r="A1020" i="7" s="1"/>
  <c r="A1019" i="7" a="1"/>
  <c r="A1019" i="7" s="1"/>
  <c r="A1018" i="7" a="1"/>
  <c r="A1018" i="7" s="1"/>
  <c r="A1017" i="7" a="1"/>
  <c r="A1017" i="7" s="1"/>
  <c r="A1016" i="7" a="1"/>
  <c r="A1016" i="7" s="1"/>
  <c r="A1015" i="7" a="1"/>
  <c r="A1015" i="7" s="1"/>
  <c r="A1014" i="7" a="1"/>
  <c r="A1014" i="7" s="1"/>
  <c r="A1013" i="7" a="1"/>
  <c r="A1013" i="7" s="1"/>
  <c r="A1012" i="7" a="1"/>
  <c r="A1012" i="7" s="1"/>
  <c r="A1011" i="7" a="1"/>
  <c r="A1011" i="7" s="1"/>
  <c r="A1010" i="7" a="1"/>
  <c r="A1010" i="7" s="1"/>
  <c r="A1009" i="7" a="1"/>
  <c r="A1009" i="7" s="1"/>
  <c r="A1008" i="7" a="1"/>
  <c r="A1008" i="7" s="1"/>
  <c r="A1007" i="7"/>
  <c r="A1007" i="7" a="1"/>
  <c r="A1006" i="7" a="1"/>
  <c r="A1006" i="7" s="1"/>
  <c r="A1005" i="7" a="1"/>
  <c r="A1005" i="7" s="1"/>
  <c r="A1004" i="7" a="1"/>
  <c r="A1004" i="7" s="1"/>
  <c r="A1003" i="7"/>
  <c r="A1003" i="7" a="1"/>
  <c r="A1002" i="7" a="1"/>
  <c r="A1002" i="7" s="1"/>
  <c r="A1001" i="7" a="1"/>
  <c r="A1001" i="7" s="1"/>
  <c r="A1000" i="7" a="1"/>
  <c r="A1000" i="7" s="1"/>
  <c r="A999" i="7" a="1"/>
  <c r="A999" i="7" s="1"/>
  <c r="A998" i="7" a="1"/>
  <c r="A998" i="7" s="1"/>
  <c r="A997" i="7" a="1"/>
  <c r="A997" i="7" s="1"/>
  <c r="A996" i="7" a="1"/>
  <c r="A996" i="7" s="1"/>
  <c r="A995" i="7" a="1"/>
  <c r="A995" i="7" s="1"/>
  <c r="A994" i="7" a="1"/>
  <c r="A994" i="7" s="1"/>
  <c r="A993" i="7" a="1"/>
  <c r="A993" i="7" s="1"/>
  <c r="A992" i="7" a="1"/>
  <c r="A992" i="7" s="1"/>
  <c r="A991" i="7" a="1"/>
  <c r="A991" i="7" s="1"/>
  <c r="A990" i="7" a="1"/>
  <c r="A990" i="7" s="1"/>
  <c r="A989" i="7" a="1"/>
  <c r="A989" i="7" s="1"/>
  <c r="A988" i="7" a="1"/>
  <c r="A988" i="7" s="1"/>
  <c r="A987" i="7" a="1"/>
  <c r="A987" i="7" s="1"/>
  <c r="A986" i="7" a="1"/>
  <c r="A986" i="7" s="1"/>
  <c r="A985" i="7" a="1"/>
  <c r="A985" i="7" s="1"/>
  <c r="A984" i="7" a="1"/>
  <c r="A984" i="7" s="1"/>
  <c r="A983" i="7" a="1"/>
  <c r="A983" i="7" s="1"/>
  <c r="A982" i="7" a="1"/>
  <c r="A982" i="7" s="1"/>
  <c r="A981" i="7" a="1"/>
  <c r="A981" i="7" s="1"/>
  <c r="A980" i="7" a="1"/>
  <c r="A980" i="7" s="1"/>
  <c r="A979" i="7" a="1"/>
  <c r="A979" i="7" s="1"/>
  <c r="A978" i="7" a="1"/>
  <c r="A978" i="7" s="1"/>
  <c r="A977" i="7" a="1"/>
  <c r="A977" i="7" s="1"/>
  <c r="A976" i="7" a="1"/>
  <c r="A976" i="7" s="1"/>
  <c r="A975" i="7"/>
  <c r="A975" i="7" a="1"/>
  <c r="A974" i="7" a="1"/>
  <c r="A974" i="7" s="1"/>
  <c r="A973" i="7" a="1"/>
  <c r="A973" i="7" s="1"/>
  <c r="A972" i="7" a="1"/>
  <c r="A972" i="7" s="1"/>
  <c r="A971" i="7"/>
  <c r="A971" i="7" a="1"/>
  <c r="A970" i="7" a="1"/>
  <c r="A970" i="7" s="1"/>
  <c r="A969" i="7" a="1"/>
  <c r="A969" i="7" s="1"/>
  <c r="A968" i="7" a="1"/>
  <c r="A968" i="7" s="1"/>
  <c r="A967" i="7" a="1"/>
  <c r="A967" i="7" s="1"/>
  <c r="A966" i="7" a="1"/>
  <c r="A966" i="7" s="1"/>
  <c r="A965" i="7" a="1"/>
  <c r="A965" i="7" s="1"/>
  <c r="A964" i="7" a="1"/>
  <c r="A964" i="7" s="1"/>
  <c r="A963" i="7" a="1"/>
  <c r="A963" i="7" s="1"/>
  <c r="A962" i="7" a="1"/>
  <c r="A962" i="7" s="1"/>
  <c r="A961" i="7" a="1"/>
  <c r="A961" i="7" s="1"/>
  <c r="A960" i="7" a="1"/>
  <c r="A960" i="7" s="1"/>
  <c r="A959" i="7" a="1"/>
  <c r="A959" i="7" s="1"/>
  <c r="A958" i="7" a="1"/>
  <c r="A958" i="7" s="1"/>
  <c r="A957" i="7" a="1"/>
  <c r="A957" i="7" s="1"/>
  <c r="A956" i="7" a="1"/>
  <c r="A956" i="7" s="1"/>
  <c r="A955" i="7" a="1"/>
  <c r="A955" i="7" s="1"/>
  <c r="A954" i="7" a="1"/>
  <c r="A954" i="7" s="1"/>
  <c r="A953" i="7" a="1"/>
  <c r="A953" i="7" s="1"/>
  <c r="A952" i="7" a="1"/>
  <c r="A952" i="7" s="1"/>
  <c r="A951" i="7"/>
  <c r="A951" i="7" a="1"/>
  <c r="A950" i="7" a="1"/>
  <c r="A950" i="7" s="1"/>
  <c r="A949" i="7" a="1"/>
  <c r="A949" i="7" s="1"/>
  <c r="A948" i="7" a="1"/>
  <c r="A948" i="7" s="1"/>
  <c r="A947" i="7" a="1"/>
  <c r="A947" i="7" s="1"/>
  <c r="A946" i="7" a="1"/>
  <c r="A946" i="7" s="1"/>
  <c r="A945" i="7" a="1"/>
  <c r="A945" i="7" s="1"/>
  <c r="A944" i="7" a="1"/>
  <c r="A944" i="7" s="1"/>
  <c r="A943" i="7" a="1"/>
  <c r="A943" i="7" s="1"/>
  <c r="A942" i="7" a="1"/>
  <c r="A942" i="7" s="1"/>
  <c r="A941" i="7" a="1"/>
  <c r="A941" i="7" s="1"/>
  <c r="A940" i="7" a="1"/>
  <c r="A940" i="7" s="1"/>
  <c r="A939" i="7"/>
  <c r="A939" i="7" a="1"/>
  <c r="A938" i="7" a="1"/>
  <c r="A938" i="7" s="1"/>
  <c r="A937" i="7" a="1"/>
  <c r="A937" i="7" s="1"/>
  <c r="A936" i="7" a="1"/>
  <c r="A936" i="7" s="1"/>
  <c r="A935" i="7" a="1"/>
  <c r="A935" i="7" s="1"/>
  <c r="A934" i="7" a="1"/>
  <c r="A934" i="7" s="1"/>
  <c r="A933" i="7" a="1"/>
  <c r="A933" i="7" s="1"/>
  <c r="A932" i="7" a="1"/>
  <c r="A932" i="7" s="1"/>
  <c r="A931" i="7" a="1"/>
  <c r="A931" i="7" s="1"/>
  <c r="A930" i="7" a="1"/>
  <c r="A930" i="7" s="1"/>
  <c r="A929" i="7" a="1"/>
  <c r="A929" i="7" s="1"/>
  <c r="A928" i="7" a="1"/>
  <c r="A928" i="7" s="1"/>
  <c r="A927" i="7" a="1"/>
  <c r="A927" i="7" s="1"/>
  <c r="A926" i="7" a="1"/>
  <c r="A926" i="7" s="1"/>
  <c r="A925" i="7" a="1"/>
  <c r="A925" i="7" s="1"/>
  <c r="A924" i="7" a="1"/>
  <c r="A924" i="7" s="1"/>
  <c r="A923" i="7" a="1"/>
  <c r="A923" i="7" s="1"/>
  <c r="A922" i="7" a="1"/>
  <c r="A922" i="7" s="1"/>
  <c r="A921" i="7" a="1"/>
  <c r="A921" i="7" s="1"/>
  <c r="A920" i="7" a="1"/>
  <c r="A920" i="7" s="1"/>
  <c r="A919" i="7"/>
  <c r="A919" i="7" a="1"/>
  <c r="A918" i="7" a="1"/>
  <c r="A918" i="7" s="1"/>
  <c r="A917" i="7" a="1"/>
  <c r="A917" i="7" s="1"/>
  <c r="A916" i="7" a="1"/>
  <c r="A916" i="7" s="1"/>
  <c r="A915" i="7" a="1"/>
  <c r="A915" i="7" s="1"/>
  <c r="A914" i="7" a="1"/>
  <c r="A914" i="7" s="1"/>
  <c r="A913" i="7" a="1"/>
  <c r="A913" i="7" s="1"/>
  <c r="A912" i="7" a="1"/>
  <c r="A912" i="7" s="1"/>
  <c r="A911" i="7" a="1"/>
  <c r="A911" i="7" s="1"/>
  <c r="A910" i="7" a="1"/>
  <c r="A910" i="7" s="1"/>
  <c r="A909" i="7" a="1"/>
  <c r="A909" i="7" s="1"/>
  <c r="A908" i="7" a="1"/>
  <c r="A908" i="7" s="1"/>
  <c r="A907" i="7" a="1"/>
  <c r="A907" i="7" s="1"/>
  <c r="A906" i="7" a="1"/>
  <c r="A906" i="7" s="1"/>
  <c r="A905" i="7" a="1"/>
  <c r="A905" i="7" s="1"/>
  <c r="A904" i="7" a="1"/>
  <c r="A904" i="7" s="1"/>
  <c r="A903" i="7" a="1"/>
  <c r="A903" i="7" s="1"/>
  <c r="A902" i="7" a="1"/>
  <c r="A902" i="7" s="1"/>
  <c r="A901" i="7" a="1"/>
  <c r="A901" i="7" s="1"/>
  <c r="A900" i="7" a="1"/>
  <c r="A900" i="7" s="1"/>
  <c r="A899" i="7" a="1"/>
  <c r="A899" i="7" s="1"/>
  <c r="A898" i="7" a="1"/>
  <c r="A898" i="7" s="1"/>
  <c r="A897" i="7" a="1"/>
  <c r="A897" i="7" s="1"/>
  <c r="A896" i="7" a="1"/>
  <c r="A896" i="7" s="1"/>
  <c r="A895" i="7" a="1"/>
  <c r="A895" i="7" s="1"/>
  <c r="A894" i="7" a="1"/>
  <c r="A894" i="7" s="1"/>
  <c r="A893" i="7" a="1"/>
  <c r="A893" i="7" s="1"/>
  <c r="A892" i="7" a="1"/>
  <c r="A892" i="7" s="1"/>
  <c r="A891" i="7" a="1"/>
  <c r="A891" i="7" s="1"/>
  <c r="A890" i="7" a="1"/>
  <c r="A890" i="7" s="1"/>
  <c r="A889" i="7" a="1"/>
  <c r="A889" i="7" s="1"/>
  <c r="A888" i="7" a="1"/>
  <c r="A888" i="7" s="1"/>
  <c r="A887" i="7"/>
  <c r="A887" i="7" a="1"/>
  <c r="A886" i="7" a="1"/>
  <c r="A886" i="7" s="1"/>
  <c r="A885" i="7" a="1"/>
  <c r="A885" i="7" s="1"/>
  <c r="A884" i="7" a="1"/>
  <c r="A884" i="7" s="1"/>
  <c r="A883" i="7" a="1"/>
  <c r="A883" i="7" s="1"/>
  <c r="A882" i="7" a="1"/>
  <c r="A882" i="7" s="1"/>
  <c r="A881" i="7" a="1"/>
  <c r="A881" i="7" s="1"/>
  <c r="A880" i="7" a="1"/>
  <c r="A880" i="7" s="1"/>
  <c r="A879" i="7" a="1"/>
  <c r="A879" i="7" s="1"/>
  <c r="A878" i="7" a="1"/>
  <c r="A878" i="7" s="1"/>
  <c r="A877" i="7" a="1"/>
  <c r="A877" i="7" s="1"/>
  <c r="A876" i="7" a="1"/>
  <c r="A876" i="7" s="1"/>
  <c r="A875" i="7" a="1"/>
  <c r="A875" i="7" s="1"/>
  <c r="A874" i="7" a="1"/>
  <c r="A874" i="7" s="1"/>
  <c r="A873" i="7" a="1"/>
  <c r="A873" i="7" s="1"/>
  <c r="A872" i="7" a="1"/>
  <c r="A872" i="7" s="1"/>
  <c r="A871" i="7" a="1"/>
  <c r="A871" i="7" s="1"/>
  <c r="A870" i="7" a="1"/>
  <c r="A870" i="7" s="1"/>
  <c r="A869" i="7" a="1"/>
  <c r="A869" i="7" s="1"/>
  <c r="A868" i="7" a="1"/>
  <c r="A868" i="7" s="1"/>
  <c r="A867" i="7" a="1"/>
  <c r="A867" i="7" s="1"/>
  <c r="A866" i="7" a="1"/>
  <c r="A866" i="7" s="1"/>
  <c r="A865" i="7" a="1"/>
  <c r="A865" i="7" s="1"/>
  <c r="A864" i="7" a="1"/>
  <c r="A864" i="7" s="1"/>
  <c r="A863" i="7" a="1"/>
  <c r="A863" i="7" s="1"/>
  <c r="A862" i="7" a="1"/>
  <c r="A862" i="7" s="1"/>
  <c r="A861" i="7" a="1"/>
  <c r="A861" i="7" s="1"/>
  <c r="A860" i="7" a="1"/>
  <c r="A860" i="7" s="1"/>
  <c r="A859" i="7" a="1"/>
  <c r="A859" i="7" s="1"/>
  <c r="A858" i="7" a="1"/>
  <c r="A858" i="7" s="1"/>
  <c r="A857" i="7" a="1"/>
  <c r="A857" i="7" s="1"/>
  <c r="A856" i="7" a="1"/>
  <c r="A856" i="7" s="1"/>
  <c r="A855" i="7" a="1"/>
  <c r="A855" i="7" s="1"/>
  <c r="A854" i="7" a="1"/>
  <c r="A854" i="7" s="1"/>
  <c r="A853" i="7" a="1"/>
  <c r="A853" i="7" s="1"/>
  <c r="A852" i="7" a="1"/>
  <c r="A852" i="7" s="1"/>
  <c r="A851" i="7" a="1"/>
  <c r="A851" i="7" s="1"/>
  <c r="A850" i="7" a="1"/>
  <c r="A850" i="7" s="1"/>
  <c r="A849" i="7" a="1"/>
  <c r="A849" i="7" s="1"/>
  <c r="A848" i="7" a="1"/>
  <c r="A848" i="7" s="1"/>
  <c r="A847" i="7" a="1"/>
  <c r="A847" i="7" s="1"/>
  <c r="A846" i="7" a="1"/>
  <c r="A846" i="7" s="1"/>
  <c r="A845" i="7" a="1"/>
  <c r="A845" i="7" s="1"/>
  <c r="A844" i="7" a="1"/>
  <c r="A844" i="7" s="1"/>
  <c r="A843" i="7" a="1"/>
  <c r="A843" i="7" s="1"/>
  <c r="A842" i="7" a="1"/>
  <c r="A842" i="7" s="1"/>
  <c r="A841" i="7" a="1"/>
  <c r="A841" i="7" s="1"/>
  <c r="A840" i="7" a="1"/>
  <c r="A840" i="7" s="1"/>
  <c r="A839" i="7" a="1"/>
  <c r="A839" i="7" s="1"/>
  <c r="A838" i="7" a="1"/>
  <c r="A838" i="7" s="1"/>
  <c r="A837" i="7" a="1"/>
  <c r="A837" i="7" s="1"/>
  <c r="A836" i="7" a="1"/>
  <c r="A836" i="7" s="1"/>
  <c r="A835" i="7" a="1"/>
  <c r="A835" i="7" s="1"/>
  <c r="A834" i="7" a="1"/>
  <c r="A834" i="7" s="1"/>
  <c r="A833" i="7" a="1"/>
  <c r="A833" i="7" s="1"/>
  <c r="A832" i="7" a="1"/>
  <c r="A832" i="7" s="1"/>
  <c r="A831" i="7" a="1"/>
  <c r="A831" i="7" s="1"/>
  <c r="A830" i="7" a="1"/>
  <c r="A830" i="7" s="1"/>
  <c r="A829" i="7" a="1"/>
  <c r="A829" i="7" s="1"/>
  <c r="A828" i="7" a="1"/>
  <c r="A828" i="7" s="1"/>
  <c r="A827" i="7" a="1"/>
  <c r="A827" i="7" s="1"/>
  <c r="A826" i="7" a="1"/>
  <c r="A826" i="7" s="1"/>
  <c r="A825" i="7" a="1"/>
  <c r="A825" i="7" s="1"/>
  <c r="A824" i="7" a="1"/>
  <c r="A824" i="7" s="1"/>
  <c r="A823" i="7" a="1"/>
  <c r="A823" i="7" s="1"/>
  <c r="A822" i="7" a="1"/>
  <c r="A822" i="7" s="1"/>
  <c r="A821" i="7" a="1"/>
  <c r="A821" i="7" s="1"/>
  <c r="A820" i="7" a="1"/>
  <c r="A820" i="7" s="1"/>
  <c r="A819" i="7" a="1"/>
  <c r="A819" i="7" s="1"/>
  <c r="A818" i="7" a="1"/>
  <c r="A818" i="7" s="1"/>
  <c r="A817" i="7" a="1"/>
  <c r="A817" i="7" s="1"/>
  <c r="A816" i="7" a="1"/>
  <c r="A816" i="7" s="1"/>
  <c r="A815" i="7" a="1"/>
  <c r="A815" i="7" s="1"/>
  <c r="A814" i="7" a="1"/>
  <c r="A814" i="7" s="1"/>
  <c r="A813" i="7" a="1"/>
  <c r="A813" i="7" s="1"/>
  <c r="A812" i="7" a="1"/>
  <c r="A812" i="7" s="1"/>
  <c r="A811" i="7" a="1"/>
  <c r="A811" i="7" s="1"/>
  <c r="A810" i="7" a="1"/>
  <c r="A810" i="7" s="1"/>
  <c r="A809" i="7" a="1"/>
  <c r="A809" i="7" s="1"/>
  <c r="A808" i="7" a="1"/>
  <c r="A808" i="7" s="1"/>
  <c r="A807" i="7" a="1"/>
  <c r="A807" i="7" s="1"/>
  <c r="A806" i="7" a="1"/>
  <c r="A806" i="7" s="1"/>
  <c r="A805" i="7" a="1"/>
  <c r="A805" i="7" s="1"/>
  <c r="A804" i="7" a="1"/>
  <c r="A804" i="7" s="1"/>
  <c r="A803" i="7" a="1"/>
  <c r="A803" i="7" s="1"/>
  <c r="A802" i="7" a="1"/>
  <c r="A802" i="7" s="1"/>
  <c r="A801" i="7" a="1"/>
  <c r="A801" i="7" s="1"/>
  <c r="A800" i="7" a="1"/>
  <c r="A800" i="7" s="1"/>
  <c r="A799" i="7" a="1"/>
  <c r="A799" i="7" s="1"/>
  <c r="A798" i="7" a="1"/>
  <c r="A798" i="7" s="1"/>
  <c r="A797" i="7" a="1"/>
  <c r="A797" i="7" s="1"/>
  <c r="A796" i="7" a="1"/>
  <c r="A796" i="7" s="1"/>
  <c r="A795" i="7" a="1"/>
  <c r="A795" i="7" s="1"/>
  <c r="A794" i="7" a="1"/>
  <c r="A794" i="7" s="1"/>
  <c r="A793" i="7" a="1"/>
  <c r="A793" i="7" s="1"/>
  <c r="A792" i="7" a="1"/>
  <c r="A792" i="7" s="1"/>
  <c r="A791" i="7" a="1"/>
  <c r="A791" i="7" s="1"/>
  <c r="A790" i="7" a="1"/>
  <c r="A790" i="7" s="1"/>
  <c r="A789" i="7" a="1"/>
  <c r="A789" i="7" s="1"/>
  <c r="A788" i="7" a="1"/>
  <c r="A788" i="7" s="1"/>
  <c r="A787" i="7" a="1"/>
  <c r="A787" i="7" s="1"/>
  <c r="A786" i="7" a="1"/>
  <c r="A786" i="7" s="1"/>
  <c r="A785" i="7" a="1"/>
  <c r="A785" i="7" s="1"/>
  <c r="A784" i="7" a="1"/>
  <c r="A784" i="7" s="1"/>
  <c r="A783" i="7" a="1"/>
  <c r="A783" i="7" s="1"/>
  <c r="A782" i="7"/>
  <c r="A782" i="7" a="1"/>
  <c r="A781" i="7" a="1"/>
  <c r="A781" i="7" s="1"/>
  <c r="A780" i="7" a="1"/>
  <c r="A780" i="7" s="1"/>
  <c r="A779" i="7" a="1"/>
  <c r="A779" i="7" s="1"/>
  <c r="A778" i="7" a="1"/>
  <c r="A778" i="7" s="1"/>
  <c r="A777" i="7" a="1"/>
  <c r="A777" i="7" s="1"/>
  <c r="A776" i="7" a="1"/>
  <c r="A776" i="7" s="1"/>
  <c r="A775" i="7" a="1"/>
  <c r="A775" i="7" s="1"/>
  <c r="A774" i="7" a="1"/>
  <c r="A774" i="7" s="1"/>
  <c r="A773" i="7" a="1"/>
  <c r="A773" i="7" s="1"/>
  <c r="A772" i="7" a="1"/>
  <c r="A772" i="7" s="1"/>
  <c r="A771" i="7" a="1"/>
  <c r="A771" i="7" s="1"/>
  <c r="A770" i="7" a="1"/>
  <c r="A770" i="7" s="1"/>
  <c r="A769" i="7" a="1"/>
  <c r="A769" i="7" s="1"/>
  <c r="A768" i="7" a="1"/>
  <c r="A768" i="7" s="1"/>
  <c r="A767" i="7" a="1"/>
  <c r="A767" i="7" s="1"/>
  <c r="A766" i="7" a="1"/>
  <c r="A766" i="7" s="1"/>
  <c r="A765" i="7" a="1"/>
  <c r="A765" i="7" s="1"/>
  <c r="A764" i="7" a="1"/>
  <c r="A764" i="7" s="1"/>
  <c r="A763" i="7" a="1"/>
  <c r="A763" i="7" s="1"/>
  <c r="A762" i="7" a="1"/>
  <c r="A762" i="7" s="1"/>
  <c r="A761" i="7" a="1"/>
  <c r="A761" i="7" s="1"/>
  <c r="A760" i="7" a="1"/>
  <c r="A760" i="7" s="1"/>
  <c r="A759" i="7" a="1"/>
  <c r="A759" i="7" s="1"/>
  <c r="A758" i="7" a="1"/>
  <c r="A758" i="7" s="1"/>
  <c r="A757" i="7" a="1"/>
  <c r="A757" i="7" s="1"/>
  <c r="A756" i="7" a="1"/>
  <c r="A756" i="7" s="1"/>
  <c r="A755" i="7" a="1"/>
  <c r="A755" i="7" s="1"/>
  <c r="A754" i="7" a="1"/>
  <c r="A754" i="7" s="1"/>
  <c r="A753" i="7" a="1"/>
  <c r="A753" i="7" s="1"/>
  <c r="A752" i="7" a="1"/>
  <c r="A752" i="7" s="1"/>
  <c r="A751" i="7" a="1"/>
  <c r="A751" i="7" s="1"/>
  <c r="A750" i="7" a="1"/>
  <c r="A750" i="7" s="1"/>
  <c r="A749" i="7" a="1"/>
  <c r="A749" i="7" s="1"/>
  <c r="A748" i="7" a="1"/>
  <c r="A748" i="7" s="1"/>
  <c r="A747" i="7" a="1"/>
  <c r="A747" i="7" s="1"/>
  <c r="A746" i="7" a="1"/>
  <c r="A746" i="7" s="1"/>
  <c r="A745" i="7" a="1"/>
  <c r="A745" i="7" s="1"/>
  <c r="A744" i="7" a="1"/>
  <c r="A744" i="7" s="1"/>
  <c r="A743" i="7" a="1"/>
  <c r="A743" i="7" s="1"/>
  <c r="A742" i="7" a="1"/>
  <c r="A742" i="7" s="1"/>
  <c r="A741" i="7" a="1"/>
  <c r="A741" i="7" s="1"/>
  <c r="A740" i="7" a="1"/>
  <c r="A740" i="7" s="1"/>
  <c r="A739" i="7" a="1"/>
  <c r="A739" i="7" s="1"/>
  <c r="A738" i="7" a="1"/>
  <c r="A738" i="7" s="1"/>
  <c r="A737" i="7" a="1"/>
  <c r="A737" i="7" s="1"/>
  <c r="A736" i="7" a="1"/>
  <c r="A736" i="7" s="1"/>
  <c r="A735" i="7" a="1"/>
  <c r="A735" i="7" s="1"/>
  <c r="A734" i="7" a="1"/>
  <c r="A734" i="7" s="1"/>
  <c r="A733" i="7" a="1"/>
  <c r="A733" i="7" s="1"/>
  <c r="A732" i="7" a="1"/>
  <c r="A732" i="7" s="1"/>
  <c r="A731" i="7" a="1"/>
  <c r="A731" i="7" s="1"/>
  <c r="A730" i="7" a="1"/>
  <c r="A730" i="7" s="1"/>
  <c r="A729" i="7" a="1"/>
  <c r="A729" i="7" s="1"/>
  <c r="A728" i="7" a="1"/>
  <c r="A728" i="7" s="1"/>
  <c r="A727" i="7" a="1"/>
  <c r="A727" i="7" s="1"/>
  <c r="A726" i="7" a="1"/>
  <c r="A726" i="7" s="1"/>
  <c r="A725" i="7" a="1"/>
  <c r="A725" i="7" s="1"/>
  <c r="A724" i="7" a="1"/>
  <c r="A724" i="7" s="1"/>
  <c r="A723" i="7" a="1"/>
  <c r="A723" i="7" s="1"/>
  <c r="A722" i="7" a="1"/>
  <c r="A722" i="7" s="1"/>
  <c r="A721" i="7" a="1"/>
  <c r="A721" i="7" s="1"/>
  <c r="A720" i="7" a="1"/>
  <c r="A720" i="7" s="1"/>
  <c r="A719" i="7" a="1"/>
  <c r="A719" i="7" s="1"/>
  <c r="A718" i="7" a="1"/>
  <c r="A718" i="7" s="1"/>
  <c r="A717" i="7" a="1"/>
  <c r="A717" i="7" s="1"/>
  <c r="A716" i="7" a="1"/>
  <c r="A716" i="7" s="1"/>
  <c r="A715" i="7" a="1"/>
  <c r="A715" i="7" s="1"/>
  <c r="A714" i="7" a="1"/>
  <c r="A714" i="7" s="1"/>
  <c r="A713" i="7" a="1"/>
  <c r="A713" i="7" s="1"/>
  <c r="A712" i="7" a="1"/>
  <c r="A712" i="7" s="1"/>
  <c r="A711" i="7" a="1"/>
  <c r="A711" i="7" s="1"/>
  <c r="A710" i="7" a="1"/>
  <c r="A710" i="7" s="1"/>
  <c r="A709" i="7" a="1"/>
  <c r="A709" i="7" s="1"/>
  <c r="A708" i="7" a="1"/>
  <c r="A708" i="7" s="1"/>
  <c r="A707" i="7" a="1"/>
  <c r="A707" i="7" s="1"/>
  <c r="A706" i="7" a="1"/>
  <c r="A706" i="7" s="1"/>
  <c r="A705" i="7" a="1"/>
  <c r="A705" i="7" s="1"/>
  <c r="A704" i="7" a="1"/>
  <c r="A704" i="7" s="1"/>
  <c r="A703" i="7" a="1"/>
  <c r="A703" i="7" s="1"/>
  <c r="A702" i="7" a="1"/>
  <c r="A702" i="7" s="1"/>
  <c r="A701" i="7" a="1"/>
  <c r="A701" i="7" s="1"/>
  <c r="A700" i="7" a="1"/>
  <c r="A700" i="7" s="1"/>
  <c r="A699" i="7" a="1"/>
  <c r="A699" i="7" s="1"/>
  <c r="A698" i="7" a="1"/>
  <c r="A698" i="7" s="1"/>
  <c r="A697" i="7" a="1"/>
  <c r="A697" i="7" s="1"/>
  <c r="A696" i="7" a="1"/>
  <c r="A696" i="7" s="1"/>
  <c r="A695" i="7" a="1"/>
  <c r="A695" i="7" s="1"/>
  <c r="A694" i="7" a="1"/>
  <c r="A694" i="7" s="1"/>
  <c r="A693" i="7" a="1"/>
  <c r="A693" i="7" s="1"/>
  <c r="A692" i="7" a="1"/>
  <c r="A692" i="7" s="1"/>
  <c r="A691" i="7" a="1"/>
  <c r="A691" i="7" s="1"/>
  <c r="A690" i="7" a="1"/>
  <c r="A690" i="7" s="1"/>
  <c r="A689" i="7" a="1"/>
  <c r="A689" i="7" s="1"/>
  <c r="A688" i="7" a="1"/>
  <c r="A688" i="7" s="1"/>
  <c r="A687" i="7" a="1"/>
  <c r="A687" i="7" s="1"/>
  <c r="A686" i="7" a="1"/>
  <c r="A686" i="7" s="1"/>
  <c r="A685" i="7" a="1"/>
  <c r="A685" i="7" s="1"/>
  <c r="A684" i="7" a="1"/>
  <c r="A684" i="7" s="1"/>
  <c r="A683" i="7" a="1"/>
  <c r="A683" i="7" s="1"/>
  <c r="A682" i="7" a="1"/>
  <c r="A682" i="7" s="1"/>
  <c r="A681" i="7" a="1"/>
  <c r="A681" i="7" s="1"/>
  <c r="A680" i="7" a="1"/>
  <c r="A680" i="7" s="1"/>
  <c r="A679" i="7" a="1"/>
  <c r="A679" i="7" s="1"/>
  <c r="A678" i="7" a="1"/>
  <c r="A678" i="7" s="1"/>
  <c r="A677" i="7" a="1"/>
  <c r="A677" i="7" s="1"/>
  <c r="A676" i="7" a="1"/>
  <c r="A676" i="7" s="1"/>
  <c r="A675" i="7" a="1"/>
  <c r="A675" i="7" s="1"/>
  <c r="A674" i="7" a="1"/>
  <c r="A674" i="7" s="1"/>
  <c r="A673" i="7" a="1"/>
  <c r="A673" i="7" s="1"/>
  <c r="A672" i="7" a="1"/>
  <c r="A672" i="7" s="1"/>
  <c r="A671" i="7" a="1"/>
  <c r="A671" i="7" s="1"/>
  <c r="A670" i="7" a="1"/>
  <c r="A670" i="7" s="1"/>
  <c r="A669" i="7" a="1"/>
  <c r="A669" i="7" s="1"/>
  <c r="A668" i="7" a="1"/>
  <c r="A668" i="7" s="1"/>
  <c r="A667" i="7" a="1"/>
  <c r="A667" i="7" s="1"/>
  <c r="A666" i="7" a="1"/>
  <c r="A666" i="7" s="1"/>
  <c r="A665" i="7" a="1"/>
  <c r="A665" i="7" s="1"/>
  <c r="A664" i="7" a="1"/>
  <c r="A664" i="7" s="1"/>
  <c r="A663" i="7" a="1"/>
  <c r="A663" i="7" s="1"/>
  <c r="A662" i="7" a="1"/>
  <c r="A662" i="7" s="1"/>
  <c r="A661" i="7" a="1"/>
  <c r="A661" i="7" s="1"/>
  <c r="A660" i="7" a="1"/>
  <c r="A660" i="7" s="1"/>
  <c r="A659" i="7" a="1"/>
  <c r="A659" i="7" s="1"/>
  <c r="A658" i="7" a="1"/>
  <c r="A658" i="7" s="1"/>
  <c r="A657" i="7" a="1"/>
  <c r="A657" i="7" s="1"/>
  <c r="A656" i="7" a="1"/>
  <c r="A656" i="7" s="1"/>
  <c r="A655" i="7" a="1"/>
  <c r="A655" i="7" s="1"/>
  <c r="A654" i="7" a="1"/>
  <c r="A654" i="7" s="1"/>
  <c r="A653" i="7" a="1"/>
  <c r="A653" i="7" s="1"/>
  <c r="A652" i="7" a="1"/>
  <c r="A652" i="7" s="1"/>
  <c r="A651" i="7" a="1"/>
  <c r="A651" i="7" s="1"/>
  <c r="A650" i="7" a="1"/>
  <c r="A650" i="7" s="1"/>
  <c r="A649" i="7" a="1"/>
  <c r="A649" i="7" s="1"/>
  <c r="A648" i="7" a="1"/>
  <c r="A648" i="7" s="1"/>
  <c r="A647" i="7" a="1"/>
  <c r="A647" i="7" s="1"/>
  <c r="A646" i="7" a="1"/>
  <c r="A646" i="7" s="1"/>
  <c r="A645" i="7" a="1"/>
  <c r="A645" i="7" s="1"/>
  <c r="A644" i="7" a="1"/>
  <c r="A644" i="7" s="1"/>
  <c r="A643" i="7" a="1"/>
  <c r="A643" i="7" s="1"/>
  <c r="A642" i="7" a="1"/>
  <c r="A642" i="7" s="1"/>
  <c r="A641" i="7" a="1"/>
  <c r="A641" i="7" s="1"/>
  <c r="A640" i="7" a="1"/>
  <c r="A640" i="7" s="1"/>
  <c r="A639" i="7" a="1"/>
  <c r="A639" i="7" s="1"/>
  <c r="A638" i="7" a="1"/>
  <c r="A638" i="7" s="1"/>
  <c r="A637" i="7" a="1"/>
  <c r="A637" i="7" s="1"/>
  <c r="A636" i="7" a="1"/>
  <c r="A636" i="7" s="1"/>
  <c r="A635" i="7" a="1"/>
  <c r="A635" i="7" s="1"/>
  <c r="A634" i="7" a="1"/>
  <c r="A634" i="7" s="1"/>
  <c r="A633" i="7" a="1"/>
  <c r="A633" i="7" s="1"/>
  <c r="A632" i="7" a="1"/>
  <c r="A632" i="7" s="1"/>
  <c r="A631" i="7" a="1"/>
  <c r="A631" i="7" s="1"/>
  <c r="A630" i="7" a="1"/>
  <c r="A630" i="7" s="1"/>
  <c r="A629" i="7" a="1"/>
  <c r="A629" i="7" s="1"/>
  <c r="A628" i="7" a="1"/>
  <c r="A628" i="7" s="1"/>
  <c r="A627" i="7" a="1"/>
  <c r="A627" i="7" s="1"/>
  <c r="A626" i="7" a="1"/>
  <c r="A626" i="7" s="1"/>
  <c r="A625" i="7" a="1"/>
  <c r="A625" i="7" s="1"/>
  <c r="A624" i="7" a="1"/>
  <c r="A624" i="7" s="1"/>
  <c r="A623" i="7" a="1"/>
  <c r="A623" i="7" s="1"/>
  <c r="A622" i="7" a="1"/>
  <c r="A622" i="7" s="1"/>
  <c r="A621" i="7" a="1"/>
  <c r="A621" i="7" s="1"/>
  <c r="A620" i="7" a="1"/>
  <c r="A620" i="7" s="1"/>
  <c r="A619" i="7" a="1"/>
  <c r="A619" i="7" s="1"/>
  <c r="A618" i="7" a="1"/>
  <c r="A618" i="7" s="1"/>
  <c r="A617" i="7" a="1"/>
  <c r="A617" i="7" s="1"/>
  <c r="A616" i="7" a="1"/>
  <c r="A616" i="7" s="1"/>
  <c r="A615" i="7" a="1"/>
  <c r="A615" i="7" s="1"/>
  <c r="A614" i="7" a="1"/>
  <c r="A614" i="7" s="1"/>
  <c r="A613" i="7" a="1"/>
  <c r="A613" i="7" s="1"/>
  <c r="A612" i="7" a="1"/>
  <c r="A612" i="7" s="1"/>
  <c r="A611" i="7" a="1"/>
  <c r="A611" i="7" s="1"/>
  <c r="A610" i="7" a="1"/>
  <c r="A610" i="7" s="1"/>
  <c r="A609" i="7" a="1"/>
  <c r="A609" i="7" s="1"/>
  <c r="A608" i="7" a="1"/>
  <c r="A608" i="7" s="1"/>
  <c r="A607" i="7" a="1"/>
  <c r="A607" i="7" s="1"/>
  <c r="A606" i="7" a="1"/>
  <c r="A606" i="7" s="1"/>
  <c r="A605" i="7" a="1"/>
  <c r="A605" i="7" s="1"/>
  <c r="A604" i="7" a="1"/>
  <c r="A604" i="7" s="1"/>
  <c r="A603" i="7" a="1"/>
  <c r="A603" i="7" s="1"/>
  <c r="A602" i="7" a="1"/>
  <c r="A602" i="7" s="1"/>
  <c r="A601" i="7" a="1"/>
  <c r="A601" i="7" s="1"/>
  <c r="A600" i="7" a="1"/>
  <c r="A600" i="7" s="1"/>
  <c r="A599" i="7" a="1"/>
  <c r="A599" i="7" s="1"/>
  <c r="A598" i="7" a="1"/>
  <c r="A598" i="7" s="1"/>
  <c r="A597" i="7" a="1"/>
  <c r="A597" i="7" s="1"/>
  <c r="A596" i="7" a="1"/>
  <c r="A596" i="7" s="1"/>
  <c r="A595" i="7" a="1"/>
  <c r="A595" i="7" s="1"/>
  <c r="A594" i="7" a="1"/>
  <c r="A594" i="7" s="1"/>
  <c r="A593" i="7" a="1"/>
  <c r="A593" i="7" s="1"/>
  <c r="A592" i="7" a="1"/>
  <c r="A592" i="7" s="1"/>
  <c r="A591" i="7" a="1"/>
  <c r="A591" i="7" s="1"/>
  <c r="A590" i="7" a="1"/>
  <c r="A590" i="7" s="1"/>
  <c r="A589" i="7" a="1"/>
  <c r="A589" i="7" s="1"/>
  <c r="A588" i="7" a="1"/>
  <c r="A588" i="7" s="1"/>
  <c r="A587" i="7" a="1"/>
  <c r="A587" i="7" s="1"/>
  <c r="A586" i="7" a="1"/>
  <c r="A586" i="7" s="1"/>
  <c r="A585" i="7" a="1"/>
  <c r="A585" i="7" s="1"/>
  <c r="A584" i="7" a="1"/>
  <c r="A584" i="7" s="1"/>
  <c r="A583" i="7" a="1"/>
  <c r="A583" i="7" s="1"/>
  <c r="A582" i="7" a="1"/>
  <c r="A582" i="7" s="1"/>
  <c r="A581" i="7" a="1"/>
  <c r="A581" i="7" s="1"/>
  <c r="A580" i="7" a="1"/>
  <c r="A580" i="7" s="1"/>
  <c r="A579" i="7" a="1"/>
  <c r="A579" i="7" s="1"/>
  <c r="A578" i="7" a="1"/>
  <c r="A578" i="7" s="1"/>
  <c r="A577" i="7" a="1"/>
  <c r="A577" i="7" s="1"/>
  <c r="A576" i="7" a="1"/>
  <c r="A576" i="7" s="1"/>
  <c r="A575" i="7" a="1"/>
  <c r="A575" i="7" s="1"/>
  <c r="A574" i="7" a="1"/>
  <c r="A574" i="7" s="1"/>
  <c r="A573" i="7" a="1"/>
  <c r="A573" i="7" s="1"/>
  <c r="A572" i="7" a="1"/>
  <c r="A572" i="7" s="1"/>
  <c r="A571" i="7" a="1"/>
  <c r="A571" i="7" s="1"/>
  <c r="A570" i="7" a="1"/>
  <c r="A570" i="7" s="1"/>
  <c r="A569" i="7" a="1"/>
  <c r="A569" i="7" s="1"/>
  <c r="A568" i="7" a="1"/>
  <c r="A568" i="7" s="1"/>
  <c r="A567" i="7" a="1"/>
  <c r="A567" i="7" s="1"/>
  <c r="A566" i="7" a="1"/>
  <c r="A566" i="7" s="1"/>
  <c r="A565" i="7" a="1"/>
  <c r="A565" i="7" s="1"/>
  <c r="A564" i="7" a="1"/>
  <c r="A564" i="7" s="1"/>
  <c r="A563" i="7" a="1"/>
  <c r="A563" i="7" s="1"/>
  <c r="A562" i="7" a="1"/>
  <c r="A562" i="7" s="1"/>
  <c r="A561" i="7" a="1"/>
  <c r="A561" i="7" s="1"/>
  <c r="A560" i="7" a="1"/>
  <c r="A560" i="7" s="1"/>
  <c r="A559" i="7" a="1"/>
  <c r="A559" i="7" s="1"/>
  <c r="A558" i="7" a="1"/>
  <c r="A558" i="7" s="1"/>
  <c r="A557" i="7" a="1"/>
  <c r="A557" i="7" s="1"/>
  <c r="A556" i="7" a="1"/>
  <c r="A556" i="7" s="1"/>
  <c r="A555" i="7" a="1"/>
  <c r="A555" i="7" s="1"/>
  <c r="A554" i="7" a="1"/>
  <c r="A554" i="7" s="1"/>
  <c r="A553" i="7" a="1"/>
  <c r="A553" i="7" s="1"/>
  <c r="A552" i="7" a="1"/>
  <c r="A552" i="7" s="1"/>
  <c r="A551" i="7" a="1"/>
  <c r="A551" i="7" s="1"/>
  <c r="A550" i="7" a="1"/>
  <c r="A550" i="7" s="1"/>
  <c r="A549" i="7" a="1"/>
  <c r="A549" i="7" s="1"/>
  <c r="A548" i="7" a="1"/>
  <c r="A548" i="7" s="1"/>
  <c r="A547" i="7" a="1"/>
  <c r="A547" i="7" s="1"/>
  <c r="A546" i="7" a="1"/>
  <c r="A546" i="7" s="1"/>
  <c r="A545" i="7" a="1"/>
  <c r="A545" i="7" s="1"/>
  <c r="A544" i="7" a="1"/>
  <c r="A544" i="7" s="1"/>
  <c r="A543" i="7" a="1"/>
  <c r="A543" i="7" s="1"/>
  <c r="A542" i="7" a="1"/>
  <c r="A542" i="7" s="1"/>
  <c r="A541" i="7" a="1"/>
  <c r="A541" i="7" s="1"/>
  <c r="A540" i="7" a="1"/>
  <c r="A540" i="7" s="1"/>
  <c r="A539" i="7" a="1"/>
  <c r="A539" i="7" s="1"/>
  <c r="A538" i="7" a="1"/>
  <c r="A538" i="7" s="1"/>
  <c r="A537" i="7" a="1"/>
  <c r="A537" i="7" s="1"/>
  <c r="A536" i="7" a="1"/>
  <c r="A536" i="7" s="1"/>
  <c r="A535" i="7" a="1"/>
  <c r="A535" i="7" s="1"/>
  <c r="A534" i="7" a="1"/>
  <c r="A534" i="7" s="1"/>
  <c r="A533" i="7" a="1"/>
  <c r="A533" i="7" s="1"/>
  <c r="A532" i="7" a="1"/>
  <c r="A532" i="7" s="1"/>
  <c r="A531" i="7" a="1"/>
  <c r="A531" i="7" s="1"/>
  <c r="A530" i="7" a="1"/>
  <c r="A530" i="7" s="1"/>
  <c r="A529" i="7" a="1"/>
  <c r="A529" i="7" s="1"/>
  <c r="A528" i="7" a="1"/>
  <c r="A528" i="7" s="1"/>
  <c r="A527" i="7" a="1"/>
  <c r="A527" i="7" s="1"/>
  <c r="A526" i="7" a="1"/>
  <c r="A526" i="7" s="1"/>
  <c r="A525" i="7" a="1"/>
  <c r="A525" i="7" s="1"/>
  <c r="A524" i="7" a="1"/>
  <c r="A524" i="7" s="1"/>
  <c r="A523" i="7" a="1"/>
  <c r="A523" i="7" s="1"/>
  <c r="A522" i="7" a="1"/>
  <c r="A522" i="7" s="1"/>
  <c r="A521" i="7" a="1"/>
  <c r="A521" i="7" s="1"/>
  <c r="A520" i="7" a="1"/>
  <c r="A520" i="7" s="1"/>
  <c r="A519" i="7" a="1"/>
  <c r="A519" i="7" s="1"/>
  <c r="A518" i="7" a="1"/>
  <c r="A518" i="7" s="1"/>
  <c r="A517" i="7" a="1"/>
  <c r="A517" i="7" s="1"/>
  <c r="A516" i="7" a="1"/>
  <c r="A516" i="7" s="1"/>
  <c r="A515" i="7" a="1"/>
  <c r="A515" i="7" s="1"/>
  <c r="A514" i="7" a="1"/>
  <c r="A514" i="7" s="1"/>
  <c r="A513" i="7" a="1"/>
  <c r="A513" i="7" s="1"/>
  <c r="A512" i="7" a="1"/>
  <c r="A512" i="7" s="1"/>
  <c r="A511" i="7" a="1"/>
  <c r="A511" i="7" s="1"/>
  <c r="A510" i="7" a="1"/>
  <c r="A510" i="7" s="1"/>
  <c r="A509" i="7" a="1"/>
  <c r="A509" i="7" s="1"/>
  <c r="A508" i="7" a="1"/>
  <c r="A508" i="7" s="1"/>
  <c r="A507" i="7" a="1"/>
  <c r="A507" i="7" s="1"/>
  <c r="A506" i="7" a="1"/>
  <c r="A506" i="7" s="1"/>
  <c r="A505" i="7" a="1"/>
  <c r="A505" i="7" s="1"/>
  <c r="A504" i="7" a="1"/>
  <c r="A504" i="7" s="1"/>
  <c r="A503" i="7" a="1"/>
  <c r="A503" i="7" s="1"/>
  <c r="A502" i="7" a="1"/>
  <c r="A502" i="7" s="1"/>
  <c r="A501" i="7" a="1"/>
  <c r="A501" i="7" s="1"/>
  <c r="A500" i="7" a="1"/>
  <c r="A500" i="7" s="1"/>
  <c r="A499" i="7" a="1"/>
  <c r="A499" i="7" s="1"/>
  <c r="A498" i="7" a="1"/>
  <c r="A498" i="7" s="1"/>
  <c r="A497" i="7" a="1"/>
  <c r="A497" i="7" s="1"/>
  <c r="A496" i="7" a="1"/>
  <c r="A496" i="7" s="1"/>
  <c r="A495" i="7" a="1"/>
  <c r="A495" i="7" s="1"/>
  <c r="A494" i="7" a="1"/>
  <c r="A494" i="7" s="1"/>
  <c r="A493" i="7" a="1"/>
  <c r="A493" i="7" s="1"/>
  <c r="A492" i="7" a="1"/>
  <c r="A492" i="7" s="1"/>
  <c r="A491" i="7" a="1"/>
  <c r="A491" i="7" s="1"/>
  <c r="A490" i="7" a="1"/>
  <c r="A490" i="7" s="1"/>
  <c r="A489" i="7" a="1"/>
  <c r="A489" i="7" s="1"/>
  <c r="A488" i="7" a="1"/>
  <c r="A488" i="7" s="1"/>
  <c r="A487" i="7" a="1"/>
  <c r="A487" i="7" s="1"/>
  <c r="A486" i="7" a="1"/>
  <c r="A486" i="7" s="1"/>
  <c r="A485" i="7" a="1"/>
  <c r="A485" i="7" s="1"/>
  <c r="A484" i="7" a="1"/>
  <c r="A484" i="7" s="1"/>
  <c r="A483" i="7" a="1"/>
  <c r="A483" i="7" s="1"/>
  <c r="A482" i="7" a="1"/>
  <c r="A482" i="7" s="1"/>
  <c r="A481" i="7" a="1"/>
  <c r="A481" i="7" s="1"/>
  <c r="A480" i="7" a="1"/>
  <c r="A480" i="7" s="1"/>
  <c r="A479" i="7" a="1"/>
  <c r="A479" i="7" s="1"/>
  <c r="A478" i="7" a="1"/>
  <c r="A478" i="7" s="1"/>
  <c r="A477" i="7" a="1"/>
  <c r="A477" i="7" s="1"/>
  <c r="A476" i="7" a="1"/>
  <c r="A476" i="7" s="1"/>
  <c r="A475" i="7" a="1"/>
  <c r="A475" i="7" s="1"/>
  <c r="A474" i="7" a="1"/>
  <c r="A474" i="7" s="1"/>
  <c r="A473" i="7" a="1"/>
  <c r="A473" i="7" s="1"/>
  <c r="A472" i="7" a="1"/>
  <c r="A472" i="7" s="1"/>
  <c r="A471" i="7" a="1"/>
  <c r="A471" i="7" s="1"/>
  <c r="A470" i="7" a="1"/>
  <c r="A470" i="7" s="1"/>
  <c r="A469" i="7" a="1"/>
  <c r="A469" i="7" s="1"/>
  <c r="A468" i="7" a="1"/>
  <c r="A468" i="7" s="1"/>
  <c r="A467" i="7" a="1"/>
  <c r="A467" i="7" s="1"/>
  <c r="A466" i="7" a="1"/>
  <c r="A466" i="7" s="1"/>
  <c r="A465" i="7" a="1"/>
  <c r="A465" i="7" s="1"/>
  <c r="A464" i="7" a="1"/>
  <c r="A464" i="7" s="1"/>
  <c r="A463" i="7" a="1"/>
  <c r="A463" i="7" s="1"/>
  <c r="A462" i="7" a="1"/>
  <c r="A462" i="7" s="1"/>
  <c r="A461" i="7" a="1"/>
  <c r="A461" i="7" s="1"/>
  <c r="A460" i="7" a="1"/>
  <c r="A460" i="7" s="1"/>
  <c r="A459" i="7" a="1"/>
  <c r="A459" i="7" s="1"/>
  <c r="A458" i="7" a="1"/>
  <c r="A458" i="7" s="1"/>
  <c r="A457" i="7" a="1"/>
  <c r="A457" i="7" s="1"/>
  <c r="A456" i="7" a="1"/>
  <c r="A456" i="7" s="1"/>
  <c r="A455" i="7" a="1"/>
  <c r="A455" i="7" s="1"/>
  <c r="A454" i="7" a="1"/>
  <c r="A454" i="7" s="1"/>
  <c r="A453" i="7" a="1"/>
  <c r="A453" i="7" s="1"/>
  <c r="A452" i="7" a="1"/>
  <c r="A452" i="7" s="1"/>
  <c r="A451" i="7" a="1"/>
  <c r="A451" i="7" s="1"/>
  <c r="A450" i="7" a="1"/>
  <c r="A450" i="7" s="1"/>
  <c r="A449" i="7" a="1"/>
  <c r="A449" i="7" s="1"/>
  <c r="A448" i="7" a="1"/>
  <c r="A448" i="7" s="1"/>
  <c r="A447" i="7" a="1"/>
  <c r="A447" i="7" s="1"/>
  <c r="A446" i="7" a="1"/>
  <c r="A446" i="7" s="1"/>
  <c r="A445" i="7" a="1"/>
  <c r="A445" i="7" s="1"/>
  <c r="A444" i="7" a="1"/>
  <c r="A444" i="7" s="1"/>
  <c r="A443" i="7" a="1"/>
  <c r="A443" i="7" s="1"/>
  <c r="A442" i="7" a="1"/>
  <c r="A442" i="7" s="1"/>
  <c r="A441" i="7" a="1"/>
  <c r="A441" i="7" s="1"/>
  <c r="A440" i="7" a="1"/>
  <c r="A440" i="7" s="1"/>
  <c r="A439" i="7" a="1"/>
  <c r="A439" i="7" s="1"/>
  <c r="A438" i="7" a="1"/>
  <c r="A438" i="7" s="1"/>
  <c r="A437" i="7" a="1"/>
  <c r="A437" i="7" s="1"/>
  <c r="A436" i="7" a="1"/>
  <c r="A436" i="7" s="1"/>
  <c r="A435" i="7" a="1"/>
  <c r="A435" i="7" s="1"/>
  <c r="A434" i="7" a="1"/>
  <c r="A434" i="7" s="1"/>
  <c r="A433" i="7" a="1"/>
  <c r="A433" i="7" s="1"/>
  <c r="A432" i="7" a="1"/>
  <c r="A432" i="7" s="1"/>
  <c r="A431" i="7" a="1"/>
  <c r="A431" i="7" s="1"/>
  <c r="A430" i="7" a="1"/>
  <c r="A430" i="7" s="1"/>
  <c r="A429" i="7" a="1"/>
  <c r="A429" i="7" s="1"/>
  <c r="A428" i="7" a="1"/>
  <c r="A428" i="7" s="1"/>
  <c r="A427" i="7" a="1"/>
  <c r="A427" i="7" s="1"/>
  <c r="A426" i="7" a="1"/>
  <c r="A426" i="7" s="1"/>
  <c r="A425" i="7" a="1"/>
  <c r="A425" i="7" s="1"/>
  <c r="A424" i="7" a="1"/>
  <c r="A424" i="7" s="1"/>
  <c r="A423" i="7" a="1"/>
  <c r="A423" i="7" s="1"/>
  <c r="A422" i="7" a="1"/>
  <c r="A422" i="7" s="1"/>
  <c r="A421" i="7" a="1"/>
  <c r="A421" i="7" s="1"/>
  <c r="A420" i="7" a="1"/>
  <c r="A420" i="7" s="1"/>
  <c r="A419" i="7" a="1"/>
  <c r="A419" i="7" s="1"/>
  <c r="A418" i="7" a="1"/>
  <c r="A418" i="7" s="1"/>
  <c r="A417" i="7" a="1"/>
  <c r="A417" i="7" s="1"/>
  <c r="A416" i="7" a="1"/>
  <c r="A416" i="7" s="1"/>
  <c r="A415" i="7" a="1"/>
  <c r="A415" i="7" s="1"/>
  <c r="A414" i="7" a="1"/>
  <c r="A414" i="7" s="1"/>
  <c r="A413" i="7" a="1"/>
  <c r="A413" i="7" s="1"/>
  <c r="A412" i="7" a="1"/>
  <c r="A412" i="7" s="1"/>
  <c r="A411" i="7" a="1"/>
  <c r="A411" i="7" s="1"/>
  <c r="A410" i="7" a="1"/>
  <c r="A410" i="7" s="1"/>
  <c r="A409" i="7" a="1"/>
  <c r="A409" i="7" s="1"/>
  <c r="A408" i="7" a="1"/>
  <c r="A408" i="7" s="1"/>
  <c r="A407" i="7" a="1"/>
  <c r="A407" i="7" s="1"/>
  <c r="A406" i="7" a="1"/>
  <c r="A406" i="7" s="1"/>
  <c r="A405" i="7" a="1"/>
  <c r="A405" i="7" s="1"/>
  <c r="A404" i="7" a="1"/>
  <c r="A404" i="7" s="1"/>
  <c r="A403" i="7" a="1"/>
  <c r="A403" i="7" s="1"/>
  <c r="A402" i="7" a="1"/>
  <c r="A402" i="7" s="1"/>
  <c r="A401" i="7" a="1"/>
  <c r="A401" i="7" s="1"/>
  <c r="A400" i="7" a="1"/>
  <c r="A400" i="7" s="1"/>
  <c r="A399" i="7" a="1"/>
  <c r="A399" i="7" s="1"/>
  <c r="A398" i="7" a="1"/>
  <c r="A398" i="7" s="1"/>
  <c r="A397" i="7" a="1"/>
  <c r="A397" i="7" s="1"/>
  <c r="A396" i="7" a="1"/>
  <c r="A396" i="7" s="1"/>
  <c r="A395" i="7" a="1"/>
  <c r="A395" i="7" s="1"/>
  <c r="A394" i="7" a="1"/>
  <c r="A394" i="7" s="1"/>
  <c r="A393" i="7" a="1"/>
  <c r="A393" i="7" s="1"/>
  <c r="A392" i="7" a="1"/>
  <c r="A392" i="7" s="1"/>
  <c r="A391" i="7" a="1"/>
  <c r="A391" i="7" s="1"/>
  <c r="A390" i="7" a="1"/>
  <c r="A390" i="7" s="1"/>
  <c r="A389" i="7" a="1"/>
  <c r="A389" i="7" s="1"/>
  <c r="A388" i="7" a="1"/>
  <c r="A388" i="7" s="1"/>
  <c r="A387" i="7" a="1"/>
  <c r="A387" i="7" s="1"/>
  <c r="A386" i="7" a="1"/>
  <c r="A386" i="7" s="1"/>
  <c r="A385" i="7" a="1"/>
  <c r="A385" i="7" s="1"/>
  <c r="A384" i="7" a="1"/>
  <c r="A384" i="7" s="1"/>
  <c r="A383" i="7" a="1"/>
  <c r="A383" i="7" s="1"/>
  <c r="A382" i="7" a="1"/>
  <c r="A382" i="7" s="1"/>
  <c r="A381" i="7" a="1"/>
  <c r="A381" i="7" s="1"/>
  <c r="A380" i="7" a="1"/>
  <c r="A380" i="7" s="1"/>
  <c r="A379" i="7"/>
  <c r="A379" i="7" a="1"/>
  <c r="A378" i="7" a="1"/>
  <c r="A378" i="7" s="1"/>
  <c r="A377" i="7" a="1"/>
  <c r="A377" i="7" s="1"/>
  <c r="A376" i="7" a="1"/>
  <c r="A376" i="7" s="1"/>
  <c r="A375" i="7"/>
  <c r="A375" i="7" a="1"/>
  <c r="A374" i="7" a="1"/>
  <c r="A374" i="7" s="1"/>
  <c r="A373" i="7" a="1"/>
  <c r="A373" i="7" s="1"/>
  <c r="A372" i="7" a="1"/>
  <c r="A372" i="7" s="1"/>
  <c r="A371" i="7" a="1"/>
  <c r="A371" i="7" s="1"/>
  <c r="A370" i="7" a="1"/>
  <c r="A370" i="7" s="1"/>
  <c r="A369" i="7" a="1"/>
  <c r="A369" i="7" s="1"/>
  <c r="A368" i="7" a="1"/>
  <c r="A368" i="7" s="1"/>
  <c r="A367" i="7" a="1"/>
  <c r="A367" i="7" s="1"/>
  <c r="A366" i="7" a="1"/>
  <c r="A366" i="7" s="1"/>
  <c r="A365" i="7" a="1"/>
  <c r="A365" i="7" s="1"/>
  <c r="A364" i="7" a="1"/>
  <c r="A364" i="7" s="1"/>
  <c r="A363" i="7" a="1"/>
  <c r="A363" i="7" s="1"/>
  <c r="A362" i="7" a="1"/>
  <c r="A362" i="7" s="1"/>
  <c r="A361" i="7" a="1"/>
  <c r="A361" i="7" s="1"/>
  <c r="A360" i="7" a="1"/>
  <c r="A360" i="7" s="1"/>
  <c r="A359" i="7"/>
  <c r="A359" i="7" a="1"/>
  <c r="A358" i="7" a="1"/>
  <c r="A358" i="7" s="1"/>
  <c r="A357" i="7" a="1"/>
  <c r="A357" i="7" s="1"/>
  <c r="A356" i="7" a="1"/>
  <c r="A356" i="7" s="1"/>
  <c r="A355" i="7" a="1"/>
  <c r="A355" i="7" s="1"/>
  <c r="A354" i="7" a="1"/>
  <c r="A354" i="7" s="1"/>
  <c r="A353" i="7" a="1"/>
  <c r="A353" i="7" s="1"/>
  <c r="A352" i="7" a="1"/>
  <c r="A352" i="7" s="1"/>
  <c r="A351" i="7" a="1"/>
  <c r="A351" i="7" s="1"/>
  <c r="A350" i="7" a="1"/>
  <c r="A350" i="7" s="1"/>
  <c r="A349" i="7" a="1"/>
  <c r="A349" i="7" s="1"/>
  <c r="A348" i="7" a="1"/>
  <c r="A348" i="7" s="1"/>
  <c r="A347" i="7"/>
  <c r="A347" i="7" a="1"/>
  <c r="A346" i="7" a="1"/>
  <c r="A346" i="7" s="1"/>
  <c r="A345" i="7" a="1"/>
  <c r="A345" i="7" s="1"/>
  <c r="A344" i="7" a="1"/>
  <c r="A344" i="7" s="1"/>
  <c r="A343" i="7"/>
  <c r="A343" i="7" a="1"/>
  <c r="A342" i="7" a="1"/>
  <c r="A342" i="7" s="1"/>
  <c r="A341" i="7" a="1"/>
  <c r="A341" i="7" s="1"/>
  <c r="A340" i="7" a="1"/>
  <c r="A340" i="7" s="1"/>
  <c r="A339" i="7" a="1"/>
  <c r="A339" i="7" s="1"/>
  <c r="A338" i="7" a="1"/>
  <c r="A338" i="7" s="1"/>
  <c r="A337" i="7" a="1"/>
  <c r="A337" i="7" s="1"/>
  <c r="A336" i="7" a="1"/>
  <c r="A336" i="7" s="1"/>
  <c r="A335" i="7" a="1"/>
  <c r="A335" i="7" s="1"/>
  <c r="A334" i="7" a="1"/>
  <c r="A334" i="7" s="1"/>
  <c r="A333" i="7" a="1"/>
  <c r="A333" i="7" s="1"/>
  <c r="A332" i="7" a="1"/>
  <c r="A332" i="7" s="1"/>
  <c r="A331" i="7" a="1"/>
  <c r="A331" i="7" s="1"/>
  <c r="A330" i="7" a="1"/>
  <c r="A330" i="7" s="1"/>
  <c r="A329" i="7" a="1"/>
  <c r="A329" i="7" s="1"/>
  <c r="A328" i="7" a="1"/>
  <c r="A328" i="7" s="1"/>
  <c r="A327" i="7"/>
  <c r="A327" i="7" a="1"/>
  <c r="A326" i="7" a="1"/>
  <c r="A326" i="7" s="1"/>
  <c r="A325" i="7" a="1"/>
  <c r="A325" i="7" s="1"/>
  <c r="A324" i="7" a="1"/>
  <c r="A324" i="7" s="1"/>
  <c r="A323" i="7" a="1"/>
  <c r="A323" i="7" s="1"/>
  <c r="A322" i="7" a="1"/>
  <c r="A322" i="7" s="1"/>
  <c r="A321" i="7" a="1"/>
  <c r="A321" i="7" s="1"/>
  <c r="A320" i="7" a="1"/>
  <c r="A320" i="7" s="1"/>
  <c r="A319" i="7" a="1"/>
  <c r="A319" i="7" s="1"/>
  <c r="A318" i="7" a="1"/>
  <c r="A318" i="7" s="1"/>
  <c r="A317" i="7" a="1"/>
  <c r="A317" i="7" s="1"/>
  <c r="A316" i="7" a="1"/>
  <c r="A316" i="7" s="1"/>
  <c r="A315" i="7"/>
  <c r="A315" i="7" a="1"/>
  <c r="A314" i="7" a="1"/>
  <c r="A314" i="7" s="1"/>
  <c r="A313" i="7" a="1"/>
  <c r="A313" i="7" s="1"/>
  <c r="A312" i="7" a="1"/>
  <c r="A312" i="7" s="1"/>
  <c r="A311" i="7"/>
  <c r="A311" i="7" a="1"/>
  <c r="A310" i="7" a="1"/>
  <c r="A310" i="7" s="1"/>
  <c r="A309" i="7" a="1"/>
  <c r="A309" i="7" s="1"/>
  <c r="A308" i="7" a="1"/>
  <c r="A308" i="7" s="1"/>
  <c r="A307" i="7" a="1"/>
  <c r="A307" i="7" s="1"/>
  <c r="A306" i="7" a="1"/>
  <c r="A306" i="7" s="1"/>
  <c r="A305" i="7" a="1"/>
  <c r="A305" i="7" s="1"/>
  <c r="A304" i="7" a="1"/>
  <c r="A304" i="7" s="1"/>
  <c r="A303" i="7" a="1"/>
  <c r="A303" i="7" s="1"/>
  <c r="A302" i="7" a="1"/>
  <c r="A302" i="7" s="1"/>
  <c r="A301" i="7" a="1"/>
  <c r="A301" i="7" s="1"/>
  <c r="A300" i="7" a="1"/>
  <c r="A300" i="7" s="1"/>
  <c r="A299" i="7" a="1"/>
  <c r="A299" i="7" s="1"/>
  <c r="A298" i="7" a="1"/>
  <c r="A298" i="7" s="1"/>
  <c r="A297" i="7" a="1"/>
  <c r="A297" i="7" s="1"/>
  <c r="A296" i="7" a="1"/>
  <c r="A296" i="7" s="1"/>
  <c r="A295" i="7"/>
  <c r="A295" i="7" a="1"/>
  <c r="A294" i="7" a="1"/>
  <c r="A294" i="7" s="1"/>
  <c r="A293" i="7" a="1"/>
  <c r="A293" i="7" s="1"/>
  <c r="A292" i="7" a="1"/>
  <c r="A292" i="7" s="1"/>
  <c r="A291" i="7" a="1"/>
  <c r="A291" i="7" s="1"/>
  <c r="A290" i="7" a="1"/>
  <c r="A290" i="7" s="1"/>
  <c r="A289" i="7" a="1"/>
  <c r="A289" i="7" s="1"/>
  <c r="A288" i="7" a="1"/>
  <c r="A288" i="7" s="1"/>
  <c r="A287" i="7" a="1"/>
  <c r="A287" i="7" s="1"/>
  <c r="A286" i="7" a="1"/>
  <c r="A286" i="7" s="1"/>
  <c r="A285" i="7" a="1"/>
  <c r="A285" i="7" s="1"/>
  <c r="A284" i="7" a="1"/>
  <c r="A284" i="7" s="1"/>
  <c r="A283" i="7"/>
  <c r="A283" i="7" a="1"/>
  <c r="A282" i="7" a="1"/>
  <c r="A282" i="7" s="1"/>
  <c r="A281" i="7" a="1"/>
  <c r="A281" i="7" s="1"/>
  <c r="A280" i="7" a="1"/>
  <c r="A280" i="7" s="1"/>
  <c r="A279" i="7"/>
  <c r="A279" i="7" a="1"/>
  <c r="A278" i="7" a="1"/>
  <c r="A278" i="7" s="1"/>
  <c r="A277" i="7" a="1"/>
  <c r="A277" i="7" s="1"/>
  <c r="A276" i="7" a="1"/>
  <c r="A276" i="7" s="1"/>
  <c r="A275" i="7" a="1"/>
  <c r="A275" i="7" s="1"/>
  <c r="A274" i="7" a="1"/>
  <c r="A274" i="7" s="1"/>
  <c r="A273" i="7" a="1"/>
  <c r="A273" i="7" s="1"/>
  <c r="A272" i="7" a="1"/>
  <c r="A272" i="7" s="1"/>
  <c r="A271" i="7" a="1"/>
  <c r="A271" i="7" s="1"/>
  <c r="A270" i="7" a="1"/>
  <c r="A270" i="7" s="1"/>
  <c r="A269" i="7" a="1"/>
  <c r="A269" i="7" s="1"/>
  <c r="A268" i="7" a="1"/>
  <c r="A268" i="7" s="1"/>
  <c r="A267" i="7" a="1"/>
  <c r="A267" i="7" s="1"/>
  <c r="A266" i="7" a="1"/>
  <c r="A266" i="7" s="1"/>
  <c r="A265" i="7" a="1"/>
  <c r="A265" i="7" s="1"/>
  <c r="A264" i="7" a="1"/>
  <c r="A264" i="7" s="1"/>
  <c r="A263" i="7"/>
  <c r="A263" i="7" a="1"/>
  <c r="A262" i="7" a="1"/>
  <c r="A262" i="7" s="1"/>
  <c r="A261" i="7" a="1"/>
  <c r="A261" i="7" s="1"/>
  <c r="A260" i="7" a="1"/>
  <c r="A260" i="7" s="1"/>
  <c r="A259" i="7" a="1"/>
  <c r="A259" i="7" s="1"/>
  <c r="A258" i="7" a="1"/>
  <c r="A258" i="7" s="1"/>
  <c r="A257" i="7" a="1"/>
  <c r="A257" i="7" s="1"/>
  <c r="A256" i="7" a="1"/>
  <c r="A256" i="7" s="1"/>
  <c r="A255" i="7" a="1"/>
  <c r="A255" i="7" s="1"/>
  <c r="A254" i="7" a="1"/>
  <c r="A254" i="7" s="1"/>
  <c r="A253" i="7" a="1"/>
  <c r="A253" i="7" s="1"/>
  <c r="A252" i="7" a="1"/>
  <c r="A252" i="7" s="1"/>
  <c r="A251" i="7"/>
  <c r="A251" i="7" a="1"/>
  <c r="A250" i="7" a="1"/>
  <c r="A250" i="7" s="1"/>
  <c r="A249" i="7" a="1"/>
  <c r="A249" i="7" s="1"/>
  <c r="A248" i="7" a="1"/>
  <c r="A248" i="7" s="1"/>
  <c r="A247" i="7"/>
  <c r="A247" i="7" a="1"/>
  <c r="A246" i="7" a="1"/>
  <c r="A246" i="7" s="1"/>
  <c r="A245" i="7"/>
  <c r="A245" i="7" a="1"/>
  <c r="A244" i="7" a="1"/>
  <c r="A244" i="7" s="1"/>
  <c r="A243" i="7" a="1"/>
  <c r="A243" i="7" s="1"/>
  <c r="A242" i="7"/>
  <c r="A242" i="7" a="1"/>
  <c r="A241" i="7"/>
  <c r="A241" i="7" a="1"/>
  <c r="A240" i="7" a="1"/>
  <c r="A240" i="7" s="1"/>
  <c r="A239" i="7" a="1"/>
  <c r="A239" i="7" s="1"/>
  <c r="A238" i="7"/>
  <c r="A238" i="7" a="1"/>
  <c r="A237" i="7" a="1"/>
  <c r="A237" i="7" s="1"/>
  <c r="A236" i="7" a="1"/>
  <c r="A236" i="7" s="1"/>
  <c r="A235" i="7"/>
  <c r="A235" i="7" a="1"/>
  <c r="A234" i="7" a="1"/>
  <c r="A234" i="7" s="1"/>
  <c r="A233" i="7"/>
  <c r="A233" i="7" a="1"/>
  <c r="A232" i="7" a="1"/>
  <c r="A232" i="7" s="1"/>
  <c r="A231" i="7"/>
  <c r="A231" i="7" a="1"/>
  <c r="A230" i="7" a="1"/>
  <c r="A230" i="7" s="1"/>
  <c r="A229" i="7"/>
  <c r="A229" i="7" a="1"/>
  <c r="A228" i="7" a="1"/>
  <c r="A228" i="7" s="1"/>
  <c r="A227" i="7"/>
  <c r="A227" i="7" a="1"/>
  <c r="A226" i="7"/>
  <c r="A226" i="7" a="1"/>
  <c r="A225" i="7" a="1"/>
  <c r="A225" i="7" s="1"/>
  <c r="A224" i="7" a="1"/>
  <c r="A224" i="7" s="1"/>
  <c r="A223" i="7" a="1"/>
  <c r="A223" i="7" s="1"/>
  <c r="A222" i="7"/>
  <c r="A222" i="7" a="1"/>
  <c r="A221" i="7" a="1"/>
  <c r="A221" i="7" s="1"/>
  <c r="A220" i="7" a="1"/>
  <c r="A220" i="7" s="1"/>
  <c r="A219" i="7"/>
  <c r="A219" i="7" a="1"/>
  <c r="A218" i="7"/>
  <c r="A218" i="7" a="1"/>
  <c r="A217" i="7"/>
  <c r="A217" i="7" a="1"/>
  <c r="A216" i="7" a="1"/>
  <c r="A216" i="7" s="1"/>
  <c r="A215" i="7"/>
  <c r="A215" i="7" a="1"/>
  <c r="A214" i="7" a="1"/>
  <c r="A214" i="7" s="1"/>
  <c r="A213" i="7"/>
  <c r="A213" i="7" a="1"/>
  <c r="A212" i="7" a="1"/>
  <c r="A212" i="7" s="1"/>
  <c r="A211" i="7" a="1"/>
  <c r="A211" i="7" s="1"/>
  <c r="A210" i="7"/>
  <c r="A210" i="7" a="1"/>
  <c r="A209" i="7"/>
  <c r="A209" i="7" a="1"/>
  <c r="A208" i="7" a="1"/>
  <c r="A208" i="7" s="1"/>
  <c r="A207" i="7" a="1"/>
  <c r="A207" i="7" s="1"/>
  <c r="A206" i="7"/>
  <c r="A206" i="7" a="1"/>
  <c r="A205" i="7" a="1"/>
  <c r="A205" i="7" s="1"/>
  <c r="A204" i="7" a="1"/>
  <c r="A204" i="7" s="1"/>
  <c r="A203" i="7"/>
  <c r="A203" i="7" a="1"/>
  <c r="A202" i="7" a="1"/>
  <c r="A202" i="7" s="1"/>
  <c r="A201" i="7" a="1"/>
  <c r="A201" i="7" s="1"/>
  <c r="A200" i="7" a="1"/>
  <c r="A200" i="7" s="1"/>
  <c r="A199" i="7" a="1"/>
  <c r="A199" i="7" s="1"/>
  <c r="A198" i="7"/>
  <c r="A198" i="7" a="1"/>
  <c r="A197" i="7" a="1"/>
  <c r="A197" i="7" s="1"/>
  <c r="A196" i="7" a="1"/>
  <c r="A196" i="7" s="1"/>
  <c r="A195" i="7"/>
  <c r="A195" i="7" a="1"/>
  <c r="A194" i="7" a="1"/>
  <c r="A194" i="7" s="1"/>
  <c r="A193" i="7" a="1"/>
  <c r="A193" i="7" s="1"/>
  <c r="A192" i="7" a="1"/>
  <c r="A192" i="7" s="1"/>
  <c r="A191" i="7" a="1"/>
  <c r="A191" i="7" s="1"/>
  <c r="A190" i="7"/>
  <c r="A190" i="7" a="1"/>
  <c r="A189" i="7" a="1"/>
  <c r="A189" i="7" s="1"/>
  <c r="A188" i="7" a="1"/>
  <c r="A188" i="7" s="1"/>
  <c r="A187" i="7"/>
  <c r="A187" i="7" a="1"/>
  <c r="A186" i="7" a="1"/>
  <c r="A186" i="7" s="1"/>
  <c r="A185" i="7" a="1"/>
  <c r="A185" i="7" s="1"/>
  <c r="A184" i="7" a="1"/>
  <c r="A184" i="7" s="1"/>
  <c r="A183" i="7" a="1"/>
  <c r="A183" i="7" s="1"/>
  <c r="A182" i="7"/>
  <c r="A182" i="7" a="1"/>
  <c r="A181" i="7" a="1"/>
  <c r="A181" i="7" s="1"/>
  <c r="A180" i="7" a="1"/>
  <c r="A180" i="7" s="1"/>
  <c r="A179" i="7"/>
  <c r="A179" i="7" a="1"/>
  <c r="A178" i="7" a="1"/>
  <c r="A178" i="7" s="1"/>
  <c r="A177" i="7" a="1"/>
  <c r="A177" i="7" s="1"/>
  <c r="A176" i="7" a="1"/>
  <c r="A176" i="7" s="1"/>
  <c r="A175" i="7" a="1"/>
  <c r="A175" i="7" s="1"/>
  <c r="A174" i="7" a="1"/>
  <c r="A174" i="7" s="1"/>
  <c r="A173" i="7" a="1"/>
  <c r="A173" i="7" s="1"/>
  <c r="A172" i="7" a="1"/>
  <c r="A172" i="7" s="1"/>
  <c r="A171" i="7" a="1"/>
  <c r="A171" i="7" s="1"/>
  <c r="A170" i="7" a="1"/>
  <c r="A170" i="7" s="1"/>
  <c r="A169" i="7" a="1"/>
  <c r="A169" i="7" s="1"/>
  <c r="A168" i="7" a="1"/>
  <c r="A168" i="7" s="1"/>
  <c r="A167" i="7" a="1"/>
  <c r="A167" i="7" s="1"/>
  <c r="A166" i="7" a="1"/>
  <c r="A166" i="7" s="1"/>
  <c r="A165" i="7" a="1"/>
  <c r="A165" i="7" s="1"/>
  <c r="A164" i="7" a="1"/>
  <c r="A164" i="7" s="1"/>
  <c r="A163" i="7" a="1"/>
  <c r="A163" i="7" s="1"/>
  <c r="A162" i="7" a="1"/>
  <c r="A162" i="7" s="1"/>
  <c r="A161" i="7" a="1"/>
  <c r="A161" i="7" s="1"/>
  <c r="A160" i="7" a="1"/>
  <c r="A160" i="7" s="1"/>
  <c r="A159" i="7" a="1"/>
  <c r="A159" i="7" s="1"/>
  <c r="A158" i="7" a="1"/>
  <c r="A158" i="7" s="1"/>
  <c r="A157" i="7" a="1"/>
  <c r="A157" i="7" s="1"/>
  <c r="A156" i="7" a="1"/>
  <c r="A156" i="7" s="1"/>
  <c r="A155" i="7" a="1"/>
  <c r="A155" i="7" s="1"/>
  <c r="A154" i="7" a="1"/>
  <c r="A154" i="7" s="1"/>
  <c r="A153" i="7" a="1"/>
  <c r="A153" i="7" s="1"/>
  <c r="A152" i="7" a="1"/>
  <c r="A152" i="7" s="1"/>
  <c r="A151" i="7" a="1"/>
  <c r="A151" i="7" s="1"/>
  <c r="A150" i="7" a="1"/>
  <c r="A150" i="7" s="1"/>
  <c r="A149" i="7" a="1"/>
  <c r="A149" i="7" s="1"/>
  <c r="A148" i="7" a="1"/>
  <c r="A148" i="7" s="1"/>
  <c r="A147" i="7" a="1"/>
  <c r="A147" i="7" s="1"/>
  <c r="A146" i="7" a="1"/>
  <c r="A146" i="7" s="1"/>
  <c r="A145" i="7" a="1"/>
  <c r="A145" i="7" s="1"/>
  <c r="A144" i="7" a="1"/>
  <c r="A144" i="7" s="1"/>
  <c r="A143" i="7" a="1"/>
  <c r="A143" i="7" s="1"/>
  <c r="A142" i="7" a="1"/>
  <c r="A142" i="7" s="1"/>
  <c r="A141" i="7" a="1"/>
  <c r="A141" i="7" s="1"/>
  <c r="A140" i="7" a="1"/>
  <c r="A140" i="7" s="1"/>
  <c r="A139" i="7" a="1"/>
  <c r="A139" i="7" s="1"/>
  <c r="A138" i="7" a="1"/>
  <c r="A138" i="7" s="1"/>
  <c r="A137" i="7" a="1"/>
  <c r="A137" i="7" s="1"/>
  <c r="A136" i="7" a="1"/>
  <c r="A136" i="7" s="1"/>
  <c r="A135" i="7" a="1"/>
  <c r="A135" i="7" s="1"/>
  <c r="A134" i="7" a="1"/>
  <c r="A134" i="7" s="1"/>
  <c r="A133" i="7" a="1"/>
  <c r="A133" i="7" s="1"/>
  <c r="A132" i="7" a="1"/>
  <c r="A132" i="7" s="1"/>
  <c r="A131" i="7" a="1"/>
  <c r="A131" i="7" s="1"/>
  <c r="A130" i="7" a="1"/>
  <c r="A130" i="7" s="1"/>
  <c r="A129" i="7" a="1"/>
  <c r="A129" i="7" s="1"/>
  <c r="A128" i="7" a="1"/>
  <c r="A128" i="7" s="1"/>
  <c r="A127" i="7" a="1"/>
  <c r="A127" i="7" s="1"/>
  <c r="A126" i="7" a="1"/>
  <c r="A126" i="7" s="1"/>
  <c r="A125" i="7" a="1"/>
  <c r="A125" i="7" s="1"/>
  <c r="A124" i="7" a="1"/>
  <c r="A124" i="7" s="1"/>
  <c r="A123" i="7" a="1"/>
  <c r="A123" i="7" s="1"/>
  <c r="A122" i="7" a="1"/>
  <c r="A122" i="7" s="1"/>
  <c r="A121" i="7" a="1"/>
  <c r="A121" i="7" s="1"/>
  <c r="A120" i="7" a="1"/>
  <c r="A120" i="7" s="1"/>
  <c r="A119" i="7" a="1"/>
  <c r="A119" i="7" s="1"/>
  <c r="A118" i="7" a="1"/>
  <c r="A118" i="7" s="1"/>
  <c r="A117" i="7" a="1"/>
  <c r="A117" i="7" s="1"/>
  <c r="A116" i="7" a="1"/>
  <c r="A116" i="7" s="1"/>
  <c r="A115" i="7" a="1"/>
  <c r="A115" i="7" s="1"/>
  <c r="A114" i="7" a="1"/>
  <c r="A114" i="7" s="1"/>
  <c r="A113" i="7" a="1"/>
  <c r="A113" i="7" s="1"/>
  <c r="A112" i="7" a="1"/>
  <c r="A112" i="7" s="1"/>
  <c r="A111" i="7" a="1"/>
  <c r="A111" i="7" s="1"/>
  <c r="A110" i="7" a="1"/>
  <c r="A110" i="7" s="1"/>
  <c r="A109" i="7" a="1"/>
  <c r="A109" i="7" s="1"/>
  <c r="A108" i="7" a="1"/>
  <c r="A108" i="7" s="1"/>
  <c r="A107" i="7" a="1"/>
  <c r="A107" i="7" s="1"/>
  <c r="A106" i="7" a="1"/>
  <c r="A106" i="7" s="1"/>
  <c r="A105" i="7" a="1"/>
  <c r="A105" i="7" s="1"/>
  <c r="A104" i="7" a="1"/>
  <c r="A104" i="7" s="1"/>
  <c r="A103" i="7" a="1"/>
  <c r="A103" i="7" s="1"/>
  <c r="A102" i="7" a="1"/>
  <c r="A102" i="7" s="1"/>
  <c r="A101" i="7" a="1"/>
  <c r="A101" i="7" s="1"/>
  <c r="A100" i="7" a="1"/>
  <c r="A100" i="7" s="1"/>
  <c r="A99" i="7" a="1"/>
  <c r="A99" i="7" s="1"/>
  <c r="A98" i="7" a="1"/>
  <c r="A98" i="7" s="1"/>
  <c r="A97" i="7" a="1"/>
  <c r="A97" i="7" s="1"/>
  <c r="A96" i="7" a="1"/>
  <c r="A96" i="7" s="1"/>
  <c r="A95" i="7" a="1"/>
  <c r="A95" i="7" s="1"/>
  <c r="A94" i="7" a="1"/>
  <c r="A94" i="7" s="1"/>
  <c r="A93" i="7" a="1"/>
  <c r="A93" i="7" s="1"/>
  <c r="A92" i="7" a="1"/>
  <c r="A92" i="7" s="1"/>
  <c r="A91" i="7" a="1"/>
  <c r="A91" i="7" s="1"/>
  <c r="A90" i="7" a="1"/>
  <c r="A90" i="7" s="1"/>
  <c r="A89" i="7" a="1"/>
  <c r="A89" i="7" s="1"/>
  <c r="A88" i="7" a="1"/>
  <c r="A88" i="7" s="1"/>
  <c r="A87" i="7" a="1"/>
  <c r="A87" i="7" s="1"/>
  <c r="A86" i="7" a="1"/>
  <c r="A86" i="7" s="1"/>
  <c r="A85" i="7" a="1"/>
  <c r="A85" i="7" s="1"/>
  <c r="A84" i="7" a="1"/>
  <c r="A84" i="7" s="1"/>
  <c r="A83" i="7" a="1"/>
  <c r="A83" i="7" s="1"/>
  <c r="A82" i="7" a="1"/>
  <c r="A82" i="7" s="1"/>
  <c r="A81" i="7" a="1"/>
  <c r="A81" i="7" s="1"/>
  <c r="A80" i="7" a="1"/>
  <c r="A80" i="7" s="1"/>
  <c r="A79" i="7" a="1"/>
  <c r="A79" i="7" s="1"/>
  <c r="A78" i="7" a="1"/>
  <c r="A78" i="7" s="1"/>
  <c r="A77" i="7" a="1"/>
  <c r="A77" i="7" s="1"/>
  <c r="A76" i="7" a="1"/>
  <c r="A76" i="7" s="1"/>
  <c r="A75" i="7" a="1"/>
  <c r="A75" i="7" s="1"/>
  <c r="A74" i="7" a="1"/>
  <c r="A74" i="7" s="1"/>
  <c r="A73" i="7" a="1"/>
  <c r="A73" i="7" s="1"/>
  <c r="A72" i="7" a="1"/>
  <c r="A72" i="7" s="1"/>
  <c r="A71" i="7" a="1"/>
  <c r="A71" i="7" s="1"/>
  <c r="A70" i="7" a="1"/>
  <c r="A70" i="7" s="1"/>
  <c r="A69" i="7" a="1"/>
  <c r="A69" i="7" s="1"/>
  <c r="A68" i="7" a="1"/>
  <c r="A68" i="7" s="1"/>
  <c r="A67" i="7" a="1"/>
  <c r="A67" i="7" s="1"/>
  <c r="A66" i="7" a="1"/>
  <c r="A66" i="7" s="1"/>
  <c r="A65" i="7" a="1"/>
  <c r="A65" i="7" s="1"/>
  <c r="A64" i="7" a="1"/>
  <c r="A64" i="7" s="1"/>
  <c r="A63" i="7" a="1"/>
  <c r="A63" i="7" s="1"/>
  <c r="A62" i="7" a="1"/>
  <c r="A62" i="7" s="1"/>
  <c r="A61" i="7" a="1"/>
  <c r="A61" i="7" s="1"/>
  <c r="A60" i="7" a="1"/>
  <c r="A60" i="7" s="1"/>
  <c r="A59" i="7" a="1"/>
  <c r="A59" i="7" s="1"/>
  <c r="A58" i="7" a="1"/>
  <c r="A58" i="7" s="1"/>
  <c r="A57" i="7" a="1"/>
  <c r="A57" i="7" s="1"/>
  <c r="A56" i="7" a="1"/>
  <c r="A56" i="7" s="1"/>
  <c r="A55" i="7" a="1"/>
  <c r="A55" i="7" s="1"/>
  <c r="A54" i="7" a="1"/>
  <c r="A54" i="7" s="1"/>
  <c r="A53" i="7" a="1"/>
  <c r="A53" i="7" s="1"/>
  <c r="A52" i="7" a="1"/>
  <c r="A52" i="7" s="1"/>
  <c r="A51" i="7" a="1"/>
  <c r="A51" i="7" s="1"/>
  <c r="A50" i="7" a="1"/>
  <c r="A50" i="7" s="1"/>
  <c r="A49" i="7" a="1"/>
  <c r="A49" i="7" s="1"/>
  <c r="A48" i="7" a="1"/>
  <c r="A48" i="7" s="1"/>
  <c r="A47" i="7" a="1"/>
  <c r="A47" i="7" s="1"/>
  <c r="A46" i="7" a="1"/>
  <c r="A46" i="7" s="1"/>
  <c r="A45" i="7" a="1"/>
  <c r="A45" i="7" s="1"/>
  <c r="A44" i="7" a="1"/>
  <c r="A44" i="7" s="1"/>
  <c r="A43" i="7" a="1"/>
  <c r="A43" i="7" s="1"/>
  <c r="A42" i="7" a="1"/>
  <c r="A42" i="7" s="1"/>
  <c r="A41" i="7" a="1"/>
  <c r="A41" i="7" s="1"/>
  <c r="A40" i="7" a="1"/>
  <c r="A40" i="7" s="1"/>
  <c r="A39" i="7" a="1"/>
  <c r="A39" i="7" s="1"/>
  <c r="A38" i="7" a="1"/>
  <c r="A38" i="7" s="1"/>
  <c r="A37" i="7" a="1"/>
  <c r="A37" i="7" s="1"/>
  <c r="A36" i="7" a="1"/>
  <c r="A36" i="7" s="1"/>
  <c r="A35" i="7" a="1"/>
  <c r="A35" i="7" s="1"/>
  <c r="A34" i="7" a="1"/>
  <c r="A34" i="7" s="1"/>
  <c r="A33" i="7" a="1"/>
  <c r="A33" i="7" s="1"/>
  <c r="A32" i="7" a="1"/>
  <c r="A32" i="7" s="1"/>
  <c r="A31" i="7" a="1"/>
  <c r="A31" i="7" s="1"/>
  <c r="A30" i="7" a="1"/>
  <c r="A30" i="7" s="1"/>
  <c r="A29" i="7" a="1"/>
  <c r="A29" i="7" s="1"/>
  <c r="A28" i="7" a="1"/>
  <c r="A28" i="7" s="1"/>
  <c r="A27" i="7" a="1"/>
  <c r="A27" i="7" s="1"/>
  <c r="A26" i="7" a="1"/>
  <c r="A26" i="7" s="1"/>
  <c r="A25" i="7" a="1"/>
  <c r="A25" i="7" s="1"/>
  <c r="A24" i="7" a="1"/>
  <c r="A24" i="7" s="1"/>
  <c r="A23" i="7" a="1"/>
  <c r="A23" i="7" s="1"/>
  <c r="A22" i="7" a="1"/>
  <c r="A22" i="7" s="1"/>
  <c r="A21" i="7" a="1"/>
  <c r="A21" i="7" s="1"/>
  <c r="A20" i="7" a="1"/>
  <c r="A20" i="7" s="1"/>
  <c r="C19" i="7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C35" i="7" s="1"/>
  <c r="C36" i="7" s="1"/>
  <c r="C37" i="7" s="1"/>
  <c r="C38" i="7" s="1"/>
  <c r="C39" i="7" s="1"/>
  <c r="C40" i="7" s="1"/>
  <c r="C41" i="7" s="1"/>
  <c r="C42" i="7" s="1"/>
  <c r="C43" i="7" s="1"/>
  <c r="C44" i="7" s="1"/>
  <c r="C45" i="7" s="1"/>
  <c r="C46" i="7" s="1"/>
  <c r="C47" i="7" s="1"/>
  <c r="C48" i="7" s="1"/>
  <c r="C49" i="7" s="1"/>
  <c r="C50" i="7" s="1"/>
  <c r="C51" i="7" s="1"/>
  <c r="C52" i="7" s="1"/>
  <c r="C53" i="7" s="1"/>
  <c r="C54" i="7" s="1"/>
  <c r="C55" i="7" s="1"/>
  <c r="C56" i="7" s="1"/>
  <c r="C57" i="7" s="1"/>
  <c r="C58" i="7" s="1"/>
  <c r="C59" i="7" s="1"/>
  <c r="C60" i="7" s="1"/>
  <c r="C61" i="7" s="1"/>
  <c r="C62" i="7" s="1"/>
  <c r="C63" i="7" s="1"/>
  <c r="C64" i="7" s="1"/>
  <c r="C65" i="7" s="1"/>
  <c r="C66" i="7" s="1"/>
  <c r="C67" i="7" s="1"/>
  <c r="C68" i="7" s="1"/>
  <c r="C69" i="7" s="1"/>
  <c r="C70" i="7" s="1"/>
  <c r="C71" i="7" s="1"/>
  <c r="C72" i="7" s="1"/>
  <c r="C73" i="7" s="1"/>
  <c r="C74" i="7" s="1"/>
  <c r="C75" i="7" s="1"/>
  <c r="C76" i="7" s="1"/>
  <c r="C77" i="7" s="1"/>
  <c r="C78" i="7" s="1"/>
  <c r="C79" i="7" s="1"/>
  <c r="C80" i="7" s="1"/>
  <c r="C81" i="7" s="1"/>
  <c r="C82" i="7" s="1"/>
  <c r="C83" i="7" s="1"/>
  <c r="C84" i="7" s="1"/>
  <c r="C85" i="7" s="1"/>
  <c r="C86" i="7" s="1"/>
  <c r="C87" i="7" s="1"/>
  <c r="C88" i="7" s="1"/>
  <c r="C89" i="7" s="1"/>
  <c r="C90" i="7" s="1"/>
  <c r="C91" i="7" s="1"/>
  <c r="C92" i="7" s="1"/>
  <c r="C93" i="7" s="1"/>
  <c r="C94" i="7" s="1"/>
  <c r="C95" i="7" s="1"/>
  <c r="C96" i="7" s="1"/>
  <c r="C97" i="7" s="1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C110" i="7" s="1"/>
  <c r="C111" i="7" s="1"/>
  <c r="C112" i="7" s="1"/>
  <c r="C113" i="7" s="1"/>
  <c r="C114" i="7" s="1"/>
  <c r="C115" i="7" s="1"/>
  <c r="C116" i="7" s="1"/>
  <c r="C117" i="7" s="1"/>
  <c r="C118" i="7" s="1"/>
  <c r="C119" i="7" s="1"/>
  <c r="C120" i="7" s="1"/>
  <c r="C121" i="7" s="1"/>
  <c r="C122" i="7" s="1"/>
  <c r="C123" i="7" s="1"/>
  <c r="C124" i="7" s="1"/>
  <c r="C125" i="7" s="1"/>
  <c r="C126" i="7" s="1"/>
  <c r="C127" i="7" s="1"/>
  <c r="C128" i="7" s="1"/>
  <c r="C129" i="7" s="1"/>
  <c r="C130" i="7" s="1"/>
  <c r="C131" i="7" s="1"/>
  <c r="C132" i="7" s="1"/>
  <c r="C133" i="7" s="1"/>
  <c r="C134" i="7" s="1"/>
  <c r="C135" i="7" s="1"/>
  <c r="C136" i="7" s="1"/>
  <c r="C137" i="7" s="1"/>
  <c r="C138" i="7" s="1"/>
  <c r="C139" i="7" s="1"/>
  <c r="C140" i="7" s="1"/>
  <c r="C141" i="7" s="1"/>
  <c r="C142" i="7" s="1"/>
  <c r="C143" i="7" s="1"/>
  <c r="C144" i="7" s="1"/>
  <c r="C145" i="7" s="1"/>
  <c r="C146" i="7" s="1"/>
  <c r="C147" i="7" s="1"/>
  <c r="C148" i="7" s="1"/>
  <c r="C149" i="7" s="1"/>
  <c r="C150" i="7" s="1"/>
  <c r="C151" i="7" s="1"/>
  <c r="C152" i="7" s="1"/>
  <c r="C153" i="7" s="1"/>
  <c r="C154" i="7" s="1"/>
  <c r="C155" i="7" s="1"/>
  <c r="C156" i="7" s="1"/>
  <c r="C157" i="7" s="1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C178" i="7" s="1"/>
  <c r="C179" i="7" s="1"/>
  <c r="C180" i="7" s="1"/>
  <c r="C181" i="7" s="1"/>
  <c r="C182" i="7" s="1"/>
  <c r="C183" i="7" s="1"/>
  <c r="C184" i="7" s="1"/>
  <c r="C185" i="7" s="1"/>
  <c r="C186" i="7" s="1"/>
  <c r="C187" i="7" s="1"/>
  <c r="C188" i="7" s="1"/>
  <c r="C189" i="7" s="1"/>
  <c r="C190" i="7" s="1"/>
  <c r="C191" i="7" s="1"/>
  <c r="C192" i="7" s="1"/>
  <c r="C193" i="7" s="1"/>
  <c r="C194" i="7" s="1"/>
  <c r="C195" i="7" s="1"/>
  <c r="C196" i="7" s="1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C222" i="7" s="1"/>
  <c r="C223" i="7" s="1"/>
  <c r="C224" i="7" s="1"/>
  <c r="C225" i="7" s="1"/>
  <c r="C226" i="7" s="1"/>
  <c r="C227" i="7" s="1"/>
  <c r="C228" i="7" s="1"/>
  <c r="C229" i="7" s="1"/>
  <c r="C230" i="7" s="1"/>
  <c r="C231" i="7" s="1"/>
  <c r="C232" i="7" s="1"/>
  <c r="C233" i="7" s="1"/>
  <c r="C234" i="7" s="1"/>
  <c r="C235" i="7" s="1"/>
  <c r="C236" i="7" s="1"/>
  <c r="C237" i="7" s="1"/>
  <c r="C238" i="7" s="1"/>
  <c r="C239" i="7" s="1"/>
  <c r="C240" i="7" s="1"/>
  <c r="C241" i="7" s="1"/>
  <c r="C242" i="7" s="1"/>
  <c r="C243" i="7" s="1"/>
  <c r="C244" i="7" s="1"/>
  <c r="C245" i="7" s="1"/>
  <c r="C246" i="7" s="1"/>
  <c r="C247" i="7" s="1"/>
  <c r="C248" i="7" s="1"/>
  <c r="C249" i="7" s="1"/>
  <c r="C250" i="7" s="1"/>
  <c r="C251" i="7" s="1"/>
  <c r="C252" i="7" s="1"/>
  <c r="C253" i="7" s="1"/>
  <c r="C254" i="7" s="1"/>
  <c r="C255" i="7" s="1"/>
  <c r="C256" i="7" s="1"/>
  <c r="C257" i="7" s="1"/>
  <c r="C258" i="7" s="1"/>
  <c r="C259" i="7" s="1"/>
  <c r="C260" i="7" s="1"/>
  <c r="C261" i="7" s="1"/>
  <c r="C262" i="7" s="1"/>
  <c r="C263" i="7" s="1"/>
  <c r="C264" i="7" s="1"/>
  <c r="C265" i="7" s="1"/>
  <c r="C266" i="7" s="1"/>
  <c r="C267" i="7" s="1"/>
  <c r="C268" i="7" s="1"/>
  <c r="C269" i="7" s="1"/>
  <c r="C270" i="7" s="1"/>
  <c r="C271" i="7" s="1"/>
  <c r="C272" i="7" s="1"/>
  <c r="C273" i="7" s="1"/>
  <c r="C274" i="7" s="1"/>
  <c r="C275" i="7" s="1"/>
  <c r="C276" i="7" s="1"/>
  <c r="C277" i="7" s="1"/>
  <c r="C278" i="7" s="1"/>
  <c r="C279" i="7" s="1"/>
  <c r="C280" i="7" s="1"/>
  <c r="C281" i="7" s="1"/>
  <c r="C282" i="7" s="1"/>
  <c r="C283" i="7" s="1"/>
  <c r="C284" i="7" s="1"/>
  <c r="C285" i="7" s="1"/>
  <c r="C286" i="7" s="1"/>
  <c r="C287" i="7" s="1"/>
  <c r="C288" i="7" s="1"/>
  <c r="C289" i="7" s="1"/>
  <c r="C290" i="7" s="1"/>
  <c r="C291" i="7" s="1"/>
  <c r="C292" i="7" s="1"/>
  <c r="C293" i="7" s="1"/>
  <c r="C294" i="7" s="1"/>
  <c r="C295" i="7" s="1"/>
  <c r="C296" i="7" s="1"/>
  <c r="C297" i="7" s="1"/>
  <c r="C298" i="7" s="1"/>
  <c r="C299" i="7" s="1"/>
  <c r="C300" i="7" s="1"/>
  <c r="C301" i="7" s="1"/>
  <c r="C302" i="7" s="1"/>
  <c r="C303" i="7" s="1"/>
  <c r="C304" i="7" s="1"/>
  <c r="C305" i="7" s="1"/>
  <c r="C306" i="7" s="1"/>
  <c r="C307" i="7" s="1"/>
  <c r="C308" i="7" s="1"/>
  <c r="C309" i="7" s="1"/>
  <c r="C310" i="7" s="1"/>
  <c r="C311" i="7" s="1"/>
  <c r="C312" i="7" s="1"/>
  <c r="C313" i="7" s="1"/>
  <c r="C314" i="7" s="1"/>
  <c r="C315" i="7" s="1"/>
  <c r="C316" i="7" s="1"/>
  <c r="C317" i="7" s="1"/>
  <c r="C318" i="7" s="1"/>
  <c r="C319" i="7" s="1"/>
  <c r="C320" i="7" s="1"/>
  <c r="C321" i="7" s="1"/>
  <c r="C322" i="7" s="1"/>
  <c r="C323" i="7" s="1"/>
  <c r="C324" i="7" s="1"/>
  <c r="C325" i="7" s="1"/>
  <c r="C326" i="7" s="1"/>
  <c r="C327" i="7" s="1"/>
  <c r="C328" i="7" s="1"/>
  <c r="C329" i="7" s="1"/>
  <c r="C330" i="7" s="1"/>
  <c r="C331" i="7" s="1"/>
  <c r="C332" i="7" s="1"/>
  <c r="C333" i="7" s="1"/>
  <c r="C334" i="7" s="1"/>
  <c r="C335" i="7" s="1"/>
  <c r="C336" i="7" s="1"/>
  <c r="C337" i="7" s="1"/>
  <c r="C338" i="7" s="1"/>
  <c r="C339" i="7" s="1"/>
  <c r="C340" i="7" s="1"/>
  <c r="C341" i="7" s="1"/>
  <c r="C342" i="7" s="1"/>
  <c r="C343" i="7" s="1"/>
  <c r="C344" i="7" s="1"/>
  <c r="C345" i="7" s="1"/>
  <c r="C346" i="7" s="1"/>
  <c r="C347" i="7" s="1"/>
  <c r="C348" i="7" s="1"/>
  <c r="C349" i="7" s="1"/>
  <c r="C350" i="7" s="1"/>
  <c r="C351" i="7" s="1"/>
  <c r="C352" i="7" s="1"/>
  <c r="C353" i="7" s="1"/>
  <c r="C354" i="7" s="1"/>
  <c r="C355" i="7" s="1"/>
  <c r="C356" i="7" s="1"/>
  <c r="C357" i="7" s="1"/>
  <c r="C358" i="7" s="1"/>
  <c r="C359" i="7" s="1"/>
  <c r="C360" i="7" s="1"/>
  <c r="C361" i="7" s="1"/>
  <c r="C362" i="7" s="1"/>
  <c r="C363" i="7" s="1"/>
  <c r="C364" i="7" s="1"/>
  <c r="C365" i="7" s="1"/>
  <c r="C366" i="7" s="1"/>
  <c r="C367" i="7" s="1"/>
  <c r="C368" i="7" s="1"/>
  <c r="C369" i="7" s="1"/>
  <c r="C370" i="7" s="1"/>
  <c r="C371" i="7" s="1"/>
  <c r="C372" i="7" s="1"/>
  <c r="C373" i="7" s="1"/>
  <c r="C374" i="7" s="1"/>
  <c r="C375" i="7" s="1"/>
  <c r="C376" i="7" s="1"/>
  <c r="C377" i="7" s="1"/>
  <c r="C378" i="7" s="1"/>
  <c r="C379" i="7" s="1"/>
  <c r="C380" i="7" s="1"/>
  <c r="C381" i="7" s="1"/>
  <c r="C382" i="7" s="1"/>
  <c r="C383" i="7" s="1"/>
  <c r="C384" i="7" s="1"/>
  <c r="C385" i="7" s="1"/>
  <c r="C386" i="7" s="1"/>
  <c r="C387" i="7" s="1"/>
  <c r="C388" i="7" s="1"/>
  <c r="C389" i="7" s="1"/>
  <c r="C390" i="7" s="1"/>
  <c r="C391" i="7" s="1"/>
  <c r="C392" i="7" s="1"/>
  <c r="C393" i="7" s="1"/>
  <c r="C394" i="7" s="1"/>
  <c r="C395" i="7" s="1"/>
  <c r="C396" i="7" s="1"/>
  <c r="C397" i="7" s="1"/>
  <c r="C398" i="7" s="1"/>
  <c r="C399" i="7" s="1"/>
  <c r="C400" i="7" s="1"/>
  <c r="C401" i="7" s="1"/>
  <c r="C402" i="7" s="1"/>
  <c r="C403" i="7" s="1"/>
  <c r="C404" i="7" s="1"/>
  <c r="C405" i="7" s="1"/>
  <c r="C406" i="7" s="1"/>
  <c r="C407" i="7" s="1"/>
  <c r="C408" i="7" s="1"/>
  <c r="C409" i="7" s="1"/>
  <c r="C410" i="7" s="1"/>
  <c r="C411" i="7" s="1"/>
  <c r="C412" i="7" s="1"/>
  <c r="C413" i="7" s="1"/>
  <c r="C414" i="7" s="1"/>
  <c r="C415" i="7" s="1"/>
  <c r="C416" i="7" s="1"/>
  <c r="C417" i="7" s="1"/>
  <c r="C418" i="7" s="1"/>
  <c r="C419" i="7" s="1"/>
  <c r="C420" i="7" s="1"/>
  <c r="C421" i="7" s="1"/>
  <c r="C422" i="7" s="1"/>
  <c r="C423" i="7" s="1"/>
  <c r="C424" i="7" s="1"/>
  <c r="C425" i="7" s="1"/>
  <c r="C426" i="7" s="1"/>
  <c r="C427" i="7" s="1"/>
  <c r="C428" i="7" s="1"/>
  <c r="C429" i="7" s="1"/>
  <c r="C430" i="7" s="1"/>
  <c r="C431" i="7" s="1"/>
  <c r="C432" i="7" s="1"/>
  <c r="C433" i="7" s="1"/>
  <c r="C434" i="7" s="1"/>
  <c r="C435" i="7" s="1"/>
  <c r="C436" i="7" s="1"/>
  <c r="C437" i="7" s="1"/>
  <c r="C438" i="7" s="1"/>
  <c r="C439" i="7" s="1"/>
  <c r="C440" i="7" s="1"/>
  <c r="C441" i="7" s="1"/>
  <c r="C442" i="7" s="1"/>
  <c r="C443" i="7" s="1"/>
  <c r="C444" i="7" s="1"/>
  <c r="C445" i="7" s="1"/>
  <c r="C446" i="7" s="1"/>
  <c r="C447" i="7" s="1"/>
  <c r="C448" i="7" s="1"/>
  <c r="C449" i="7" s="1"/>
  <c r="C450" i="7" s="1"/>
  <c r="C451" i="7" s="1"/>
  <c r="C452" i="7" s="1"/>
  <c r="C453" i="7" s="1"/>
  <c r="C454" i="7" s="1"/>
  <c r="C455" i="7" s="1"/>
  <c r="C456" i="7" s="1"/>
  <c r="C457" i="7" s="1"/>
  <c r="C458" i="7" s="1"/>
  <c r="C459" i="7" s="1"/>
  <c r="C460" i="7" s="1"/>
  <c r="C461" i="7" s="1"/>
  <c r="C462" i="7" s="1"/>
  <c r="C463" i="7" s="1"/>
  <c r="C464" i="7" s="1"/>
  <c r="C465" i="7" s="1"/>
  <c r="C466" i="7" s="1"/>
  <c r="C467" i="7" s="1"/>
  <c r="C468" i="7" s="1"/>
  <c r="C469" i="7" s="1"/>
  <c r="C470" i="7" s="1"/>
  <c r="C471" i="7" s="1"/>
  <c r="C472" i="7" s="1"/>
  <c r="C473" i="7" s="1"/>
  <c r="C474" i="7" s="1"/>
  <c r="C475" i="7" s="1"/>
  <c r="C476" i="7" s="1"/>
  <c r="C477" i="7" s="1"/>
  <c r="C478" i="7" s="1"/>
  <c r="C479" i="7" s="1"/>
  <c r="C480" i="7" s="1"/>
  <c r="C481" i="7" s="1"/>
  <c r="C482" i="7" s="1"/>
  <c r="C483" i="7" s="1"/>
  <c r="C484" i="7" s="1"/>
  <c r="C485" i="7" s="1"/>
  <c r="C486" i="7" s="1"/>
  <c r="C487" i="7" s="1"/>
  <c r="C488" i="7" s="1"/>
  <c r="C489" i="7" s="1"/>
  <c r="C490" i="7" s="1"/>
  <c r="C491" i="7" s="1"/>
  <c r="C492" i="7" s="1"/>
  <c r="C493" i="7" s="1"/>
  <c r="C494" i="7" s="1"/>
  <c r="C495" i="7" s="1"/>
  <c r="C496" i="7" s="1"/>
  <c r="C497" i="7" s="1"/>
  <c r="C498" i="7" s="1"/>
  <c r="C499" i="7" s="1"/>
  <c r="C500" i="7" s="1"/>
  <c r="C501" i="7" s="1"/>
  <c r="C502" i="7" s="1"/>
  <c r="C503" i="7" s="1"/>
  <c r="C504" i="7" s="1"/>
  <c r="C505" i="7" s="1"/>
  <c r="C506" i="7" s="1"/>
  <c r="C507" i="7" s="1"/>
  <c r="C508" i="7" s="1"/>
  <c r="C509" i="7" s="1"/>
  <c r="C510" i="7" s="1"/>
  <c r="C511" i="7" s="1"/>
  <c r="C512" i="7" s="1"/>
  <c r="C513" i="7" s="1"/>
  <c r="C514" i="7" s="1"/>
  <c r="C515" i="7" s="1"/>
  <c r="C516" i="7" s="1"/>
  <c r="C517" i="7" s="1"/>
  <c r="C518" i="7" s="1"/>
  <c r="C519" i="7" s="1"/>
  <c r="C520" i="7" s="1"/>
  <c r="C521" i="7" s="1"/>
  <c r="C522" i="7" s="1"/>
  <c r="C523" i="7" s="1"/>
  <c r="C524" i="7" s="1"/>
  <c r="C525" i="7" s="1"/>
  <c r="C526" i="7" s="1"/>
  <c r="C527" i="7" s="1"/>
  <c r="C528" i="7" s="1"/>
  <c r="C529" i="7" s="1"/>
  <c r="C530" i="7" s="1"/>
  <c r="C531" i="7" s="1"/>
  <c r="C532" i="7" s="1"/>
  <c r="C533" i="7" s="1"/>
  <c r="C534" i="7" s="1"/>
  <c r="C535" i="7" s="1"/>
  <c r="C536" i="7" s="1"/>
  <c r="C537" i="7" s="1"/>
  <c r="C538" i="7" s="1"/>
  <c r="C539" i="7" s="1"/>
  <c r="C540" i="7" s="1"/>
  <c r="C541" i="7" s="1"/>
  <c r="C542" i="7" s="1"/>
  <c r="C543" i="7" s="1"/>
  <c r="C544" i="7" s="1"/>
  <c r="C545" i="7" s="1"/>
  <c r="C546" i="7" s="1"/>
  <c r="C547" i="7" s="1"/>
  <c r="C548" i="7" s="1"/>
  <c r="C549" i="7" s="1"/>
  <c r="C550" i="7" s="1"/>
  <c r="C551" i="7" s="1"/>
  <c r="C552" i="7" s="1"/>
  <c r="C553" i="7" s="1"/>
  <c r="C554" i="7" s="1"/>
  <c r="C555" i="7" s="1"/>
  <c r="C556" i="7" s="1"/>
  <c r="C557" i="7" s="1"/>
  <c r="C558" i="7" s="1"/>
  <c r="C559" i="7" s="1"/>
  <c r="C560" i="7" s="1"/>
  <c r="C561" i="7" s="1"/>
  <c r="C562" i="7" s="1"/>
  <c r="C563" i="7" s="1"/>
  <c r="C564" i="7" s="1"/>
  <c r="C565" i="7" s="1"/>
  <c r="C566" i="7" s="1"/>
  <c r="C567" i="7" s="1"/>
  <c r="C568" i="7" s="1"/>
  <c r="C569" i="7" s="1"/>
  <c r="C570" i="7" s="1"/>
  <c r="C571" i="7" s="1"/>
  <c r="C572" i="7" s="1"/>
  <c r="C573" i="7" s="1"/>
  <c r="C574" i="7" s="1"/>
  <c r="C575" i="7" s="1"/>
  <c r="C576" i="7" s="1"/>
  <c r="C577" i="7" s="1"/>
  <c r="C578" i="7" s="1"/>
  <c r="C579" i="7" s="1"/>
  <c r="C580" i="7" s="1"/>
  <c r="C581" i="7" s="1"/>
  <c r="C582" i="7" s="1"/>
  <c r="C583" i="7" s="1"/>
  <c r="C584" i="7" s="1"/>
  <c r="C585" i="7" s="1"/>
  <c r="C586" i="7" s="1"/>
  <c r="C587" i="7" s="1"/>
  <c r="C588" i="7" s="1"/>
  <c r="C589" i="7" s="1"/>
  <c r="C590" i="7" s="1"/>
  <c r="C591" i="7" s="1"/>
  <c r="C592" i="7" s="1"/>
  <c r="C593" i="7" s="1"/>
  <c r="C594" i="7" s="1"/>
  <c r="C595" i="7" s="1"/>
  <c r="C596" i="7" s="1"/>
  <c r="C597" i="7" s="1"/>
  <c r="C598" i="7" s="1"/>
  <c r="C599" i="7" s="1"/>
  <c r="C600" i="7" s="1"/>
  <c r="C601" i="7" s="1"/>
  <c r="C602" i="7" s="1"/>
  <c r="C603" i="7" s="1"/>
  <c r="C604" i="7" s="1"/>
  <c r="C605" i="7" s="1"/>
  <c r="C606" i="7" s="1"/>
  <c r="C607" i="7" s="1"/>
  <c r="C608" i="7" s="1"/>
  <c r="C609" i="7" s="1"/>
  <c r="C610" i="7" s="1"/>
  <c r="C611" i="7" s="1"/>
  <c r="C612" i="7" s="1"/>
  <c r="C613" i="7" s="1"/>
  <c r="C614" i="7" s="1"/>
  <c r="C615" i="7" s="1"/>
  <c r="C616" i="7" s="1"/>
  <c r="C617" i="7" s="1"/>
  <c r="C618" i="7" s="1"/>
  <c r="C619" i="7" s="1"/>
  <c r="C620" i="7" s="1"/>
  <c r="C621" i="7" s="1"/>
  <c r="C622" i="7" s="1"/>
  <c r="C623" i="7" s="1"/>
  <c r="C624" i="7" s="1"/>
  <c r="C625" i="7" s="1"/>
  <c r="C626" i="7" s="1"/>
  <c r="C627" i="7" s="1"/>
  <c r="C628" i="7" s="1"/>
  <c r="C629" i="7" s="1"/>
  <c r="C630" i="7" s="1"/>
  <c r="C631" i="7" s="1"/>
  <c r="C632" i="7" s="1"/>
  <c r="C633" i="7" s="1"/>
  <c r="C634" i="7" s="1"/>
  <c r="C635" i="7" s="1"/>
  <c r="C636" i="7" s="1"/>
  <c r="C637" i="7" s="1"/>
  <c r="C638" i="7" s="1"/>
  <c r="C639" i="7" s="1"/>
  <c r="C640" i="7" s="1"/>
  <c r="C641" i="7" s="1"/>
  <c r="C642" i="7" s="1"/>
  <c r="C643" i="7" s="1"/>
  <c r="C644" i="7" s="1"/>
  <c r="C645" i="7" s="1"/>
  <c r="C646" i="7" s="1"/>
  <c r="C647" i="7" s="1"/>
  <c r="C648" i="7" s="1"/>
  <c r="C649" i="7" s="1"/>
  <c r="C650" i="7" s="1"/>
  <c r="C651" i="7" s="1"/>
  <c r="C652" i="7" s="1"/>
  <c r="C653" i="7" s="1"/>
  <c r="C654" i="7" s="1"/>
  <c r="C655" i="7" s="1"/>
  <c r="C656" i="7" s="1"/>
  <c r="C657" i="7" s="1"/>
  <c r="C658" i="7" s="1"/>
  <c r="C659" i="7" s="1"/>
  <c r="C660" i="7" s="1"/>
  <c r="C661" i="7" s="1"/>
  <c r="C662" i="7" s="1"/>
  <c r="C663" i="7" s="1"/>
  <c r="C664" i="7" s="1"/>
  <c r="C665" i="7" s="1"/>
  <c r="C666" i="7" s="1"/>
  <c r="C667" i="7" s="1"/>
  <c r="C668" i="7" s="1"/>
  <c r="C669" i="7" s="1"/>
  <c r="C670" i="7" s="1"/>
  <c r="C671" i="7" s="1"/>
  <c r="C672" i="7" s="1"/>
  <c r="C673" i="7" s="1"/>
  <c r="C674" i="7" s="1"/>
  <c r="C675" i="7" s="1"/>
  <c r="C676" i="7" s="1"/>
  <c r="C677" i="7" s="1"/>
  <c r="C678" i="7" s="1"/>
  <c r="C679" i="7" s="1"/>
  <c r="C680" i="7" s="1"/>
  <c r="C681" i="7" s="1"/>
  <c r="C682" i="7" s="1"/>
  <c r="C683" i="7" s="1"/>
  <c r="C684" i="7" s="1"/>
  <c r="C685" i="7" s="1"/>
  <c r="C686" i="7" s="1"/>
  <c r="C687" i="7" s="1"/>
  <c r="C688" i="7" s="1"/>
  <c r="C689" i="7" s="1"/>
  <c r="C690" i="7" s="1"/>
  <c r="C691" i="7" s="1"/>
  <c r="C692" i="7" s="1"/>
  <c r="C693" i="7" s="1"/>
  <c r="C694" i="7" s="1"/>
  <c r="C695" i="7" s="1"/>
  <c r="C696" i="7" s="1"/>
  <c r="C697" i="7" s="1"/>
  <c r="C698" i="7" s="1"/>
  <c r="C699" i="7" s="1"/>
  <c r="C700" i="7" s="1"/>
  <c r="C701" i="7" s="1"/>
  <c r="C702" i="7" s="1"/>
  <c r="C703" i="7" s="1"/>
  <c r="C704" i="7" s="1"/>
  <c r="C705" i="7" s="1"/>
  <c r="C706" i="7" s="1"/>
  <c r="C707" i="7" s="1"/>
  <c r="C708" i="7" s="1"/>
  <c r="C709" i="7" s="1"/>
  <c r="C710" i="7" s="1"/>
  <c r="C711" i="7" s="1"/>
  <c r="C712" i="7" s="1"/>
  <c r="C713" i="7" s="1"/>
  <c r="C714" i="7" s="1"/>
  <c r="C715" i="7" s="1"/>
  <c r="C716" i="7" s="1"/>
  <c r="C717" i="7" s="1"/>
  <c r="C718" i="7" s="1"/>
  <c r="C719" i="7" s="1"/>
  <c r="C720" i="7" s="1"/>
  <c r="C721" i="7" s="1"/>
  <c r="C722" i="7" s="1"/>
  <c r="C723" i="7" s="1"/>
  <c r="C724" i="7" s="1"/>
  <c r="C725" i="7" s="1"/>
  <c r="C726" i="7" s="1"/>
  <c r="C727" i="7" s="1"/>
  <c r="C728" i="7" s="1"/>
  <c r="C729" i="7" s="1"/>
  <c r="C730" i="7" s="1"/>
  <c r="C731" i="7" s="1"/>
  <c r="C732" i="7" s="1"/>
  <c r="C733" i="7" s="1"/>
  <c r="C734" i="7" s="1"/>
  <c r="C735" i="7" s="1"/>
  <c r="C736" i="7" s="1"/>
  <c r="C737" i="7" s="1"/>
  <c r="C738" i="7" s="1"/>
  <c r="C739" i="7" s="1"/>
  <c r="C740" i="7" s="1"/>
  <c r="C741" i="7" s="1"/>
  <c r="C742" i="7" s="1"/>
  <c r="C743" i="7" s="1"/>
  <c r="C744" i="7" s="1"/>
  <c r="C745" i="7" s="1"/>
  <c r="C746" i="7" s="1"/>
  <c r="C747" i="7" s="1"/>
  <c r="C748" i="7" s="1"/>
  <c r="C749" i="7" s="1"/>
  <c r="C750" i="7" s="1"/>
  <c r="C751" i="7" s="1"/>
  <c r="C752" i="7" s="1"/>
  <c r="C753" i="7" s="1"/>
  <c r="C754" i="7" s="1"/>
  <c r="C755" i="7" s="1"/>
  <c r="C756" i="7" s="1"/>
  <c r="C757" i="7" s="1"/>
  <c r="C758" i="7" s="1"/>
  <c r="C759" i="7" s="1"/>
  <c r="C760" i="7" s="1"/>
  <c r="C761" i="7" s="1"/>
  <c r="C762" i="7" s="1"/>
  <c r="C763" i="7" s="1"/>
  <c r="C764" i="7" s="1"/>
  <c r="C765" i="7" s="1"/>
  <c r="C766" i="7" s="1"/>
  <c r="C767" i="7" s="1"/>
  <c r="C768" i="7" s="1"/>
  <c r="C769" i="7" s="1"/>
  <c r="C770" i="7" s="1"/>
  <c r="C771" i="7" s="1"/>
  <c r="C772" i="7" s="1"/>
  <c r="C773" i="7" s="1"/>
  <c r="C774" i="7" s="1"/>
  <c r="C775" i="7" s="1"/>
  <c r="C776" i="7" s="1"/>
  <c r="C777" i="7" s="1"/>
  <c r="C778" i="7" s="1"/>
  <c r="C779" i="7" s="1"/>
  <c r="C780" i="7" s="1"/>
  <c r="C781" i="7" s="1"/>
  <c r="C782" i="7" s="1"/>
  <c r="C783" i="7" s="1"/>
  <c r="C784" i="7" s="1"/>
  <c r="C785" i="7" s="1"/>
  <c r="C786" i="7" s="1"/>
  <c r="C787" i="7" s="1"/>
  <c r="C788" i="7" s="1"/>
  <c r="C789" i="7" s="1"/>
  <c r="C790" i="7" s="1"/>
  <c r="C791" i="7" s="1"/>
  <c r="C792" i="7" s="1"/>
  <c r="C793" i="7" s="1"/>
  <c r="C794" i="7" s="1"/>
  <c r="C795" i="7" s="1"/>
  <c r="C796" i="7" s="1"/>
  <c r="C797" i="7" s="1"/>
  <c r="C798" i="7" s="1"/>
  <c r="C799" i="7" s="1"/>
  <c r="C800" i="7" s="1"/>
  <c r="C801" i="7" s="1"/>
  <c r="C802" i="7" s="1"/>
  <c r="C803" i="7" s="1"/>
  <c r="C804" i="7" s="1"/>
  <c r="C805" i="7" s="1"/>
  <c r="C806" i="7" s="1"/>
  <c r="C807" i="7" s="1"/>
  <c r="C808" i="7" s="1"/>
  <c r="C809" i="7" s="1"/>
  <c r="C810" i="7" s="1"/>
  <c r="C811" i="7" s="1"/>
  <c r="C812" i="7" s="1"/>
  <c r="C813" i="7" s="1"/>
  <c r="C814" i="7" s="1"/>
  <c r="C815" i="7" s="1"/>
  <c r="C816" i="7" s="1"/>
  <c r="C817" i="7" s="1"/>
  <c r="C818" i="7" s="1"/>
  <c r="C819" i="7" s="1"/>
  <c r="C820" i="7" s="1"/>
  <c r="C821" i="7" s="1"/>
  <c r="C822" i="7" s="1"/>
  <c r="C823" i="7" s="1"/>
  <c r="C824" i="7" s="1"/>
  <c r="C825" i="7" s="1"/>
  <c r="C826" i="7" s="1"/>
  <c r="C827" i="7" s="1"/>
  <c r="C828" i="7" s="1"/>
  <c r="C829" i="7" s="1"/>
  <c r="C830" i="7" s="1"/>
  <c r="C831" i="7" s="1"/>
  <c r="C832" i="7" s="1"/>
  <c r="C833" i="7" s="1"/>
  <c r="C834" i="7" s="1"/>
  <c r="C835" i="7" s="1"/>
  <c r="C836" i="7" s="1"/>
  <c r="C837" i="7" s="1"/>
  <c r="C838" i="7" s="1"/>
  <c r="C839" i="7" s="1"/>
  <c r="C840" i="7" s="1"/>
  <c r="C841" i="7" s="1"/>
  <c r="C842" i="7" s="1"/>
  <c r="C843" i="7" s="1"/>
  <c r="C844" i="7" s="1"/>
  <c r="C845" i="7" s="1"/>
  <c r="C846" i="7" s="1"/>
  <c r="C847" i="7" s="1"/>
  <c r="C848" i="7" s="1"/>
  <c r="C849" i="7" s="1"/>
  <c r="C850" i="7" s="1"/>
  <c r="C851" i="7" s="1"/>
  <c r="C852" i="7" s="1"/>
  <c r="C853" i="7" s="1"/>
  <c r="C854" i="7" s="1"/>
  <c r="C855" i="7" s="1"/>
  <c r="C856" i="7" s="1"/>
  <c r="C857" i="7" s="1"/>
  <c r="C858" i="7" s="1"/>
  <c r="C859" i="7" s="1"/>
  <c r="C860" i="7" s="1"/>
  <c r="C861" i="7" s="1"/>
  <c r="C862" i="7" s="1"/>
  <c r="C863" i="7" s="1"/>
  <c r="C864" i="7" s="1"/>
  <c r="C865" i="7" s="1"/>
  <c r="C866" i="7" s="1"/>
  <c r="C867" i="7" s="1"/>
  <c r="C868" i="7" s="1"/>
  <c r="C869" i="7" s="1"/>
  <c r="C870" i="7" s="1"/>
  <c r="C871" i="7" s="1"/>
  <c r="C872" i="7" s="1"/>
  <c r="C873" i="7" s="1"/>
  <c r="C874" i="7" s="1"/>
  <c r="C875" i="7" s="1"/>
  <c r="C876" i="7" s="1"/>
  <c r="C877" i="7" s="1"/>
  <c r="C878" i="7" s="1"/>
  <c r="C879" i="7" s="1"/>
  <c r="C880" i="7" s="1"/>
  <c r="C881" i="7" s="1"/>
  <c r="C882" i="7" s="1"/>
  <c r="C883" i="7" s="1"/>
  <c r="C884" i="7" s="1"/>
  <c r="C885" i="7" s="1"/>
  <c r="C886" i="7" s="1"/>
  <c r="C887" i="7" s="1"/>
  <c r="C888" i="7" s="1"/>
  <c r="C889" i="7" s="1"/>
  <c r="C890" i="7" s="1"/>
  <c r="C891" i="7" s="1"/>
  <c r="C892" i="7" s="1"/>
  <c r="C893" i="7" s="1"/>
  <c r="C894" i="7" s="1"/>
  <c r="C895" i="7" s="1"/>
  <c r="C896" i="7" s="1"/>
  <c r="C897" i="7" s="1"/>
  <c r="C898" i="7" s="1"/>
  <c r="C899" i="7" s="1"/>
  <c r="C900" i="7" s="1"/>
  <c r="C901" i="7" s="1"/>
  <c r="C902" i="7" s="1"/>
  <c r="C903" i="7" s="1"/>
  <c r="C904" i="7" s="1"/>
  <c r="C905" i="7" s="1"/>
  <c r="C906" i="7" s="1"/>
  <c r="C907" i="7" s="1"/>
  <c r="C908" i="7" s="1"/>
  <c r="C909" i="7" s="1"/>
  <c r="C910" i="7" s="1"/>
  <c r="C911" i="7" s="1"/>
  <c r="C912" i="7" s="1"/>
  <c r="C913" i="7" s="1"/>
  <c r="C914" i="7" s="1"/>
  <c r="C915" i="7" s="1"/>
  <c r="C916" i="7" s="1"/>
  <c r="C917" i="7" s="1"/>
  <c r="C918" i="7" s="1"/>
  <c r="C919" i="7" s="1"/>
  <c r="C920" i="7" s="1"/>
  <c r="C921" i="7" s="1"/>
  <c r="C922" i="7" s="1"/>
  <c r="C923" i="7" s="1"/>
  <c r="C924" i="7" s="1"/>
  <c r="C925" i="7" s="1"/>
  <c r="C926" i="7" s="1"/>
  <c r="C927" i="7" s="1"/>
  <c r="C928" i="7" s="1"/>
  <c r="C929" i="7" s="1"/>
  <c r="C930" i="7" s="1"/>
  <c r="C931" i="7" s="1"/>
  <c r="C932" i="7" s="1"/>
  <c r="C933" i="7" s="1"/>
  <c r="C934" i="7" s="1"/>
  <c r="C935" i="7" s="1"/>
  <c r="C936" i="7" s="1"/>
  <c r="C937" i="7" s="1"/>
  <c r="C938" i="7" s="1"/>
  <c r="C939" i="7" s="1"/>
  <c r="C940" i="7" s="1"/>
  <c r="C941" i="7" s="1"/>
  <c r="C942" i="7" s="1"/>
  <c r="C943" i="7" s="1"/>
  <c r="C944" i="7" s="1"/>
  <c r="C945" i="7" s="1"/>
  <c r="C946" i="7" s="1"/>
  <c r="C947" i="7" s="1"/>
  <c r="C948" i="7" s="1"/>
  <c r="C949" i="7" s="1"/>
  <c r="C950" i="7" s="1"/>
  <c r="C951" i="7" s="1"/>
  <c r="C952" i="7" s="1"/>
  <c r="C953" i="7" s="1"/>
  <c r="C954" i="7" s="1"/>
  <c r="C955" i="7" s="1"/>
  <c r="C956" i="7" s="1"/>
  <c r="C957" i="7" s="1"/>
  <c r="C958" i="7" s="1"/>
  <c r="C959" i="7" s="1"/>
  <c r="C960" i="7" s="1"/>
  <c r="C961" i="7" s="1"/>
  <c r="C962" i="7" s="1"/>
  <c r="C963" i="7" s="1"/>
  <c r="C964" i="7" s="1"/>
  <c r="C965" i="7" s="1"/>
  <c r="C966" i="7" s="1"/>
  <c r="C967" i="7" s="1"/>
  <c r="C968" i="7" s="1"/>
  <c r="C969" i="7" s="1"/>
  <c r="C970" i="7" s="1"/>
  <c r="C971" i="7" s="1"/>
  <c r="C972" i="7" s="1"/>
  <c r="C973" i="7" s="1"/>
  <c r="C974" i="7" s="1"/>
  <c r="C975" i="7" s="1"/>
  <c r="C976" i="7" s="1"/>
  <c r="C977" i="7" s="1"/>
  <c r="C978" i="7" s="1"/>
  <c r="C979" i="7" s="1"/>
  <c r="C980" i="7" s="1"/>
  <c r="C981" i="7" s="1"/>
  <c r="C982" i="7" s="1"/>
  <c r="C983" i="7" s="1"/>
  <c r="C984" i="7" s="1"/>
  <c r="C985" i="7" s="1"/>
  <c r="C986" i="7" s="1"/>
  <c r="C987" i="7" s="1"/>
  <c r="C988" i="7" s="1"/>
  <c r="C989" i="7" s="1"/>
  <c r="C990" i="7" s="1"/>
  <c r="C991" i="7" s="1"/>
  <c r="C992" i="7" s="1"/>
  <c r="C993" i="7" s="1"/>
  <c r="C994" i="7" s="1"/>
  <c r="C995" i="7" s="1"/>
  <c r="C996" i="7" s="1"/>
  <c r="C997" i="7" s="1"/>
  <c r="C998" i="7" s="1"/>
  <c r="C999" i="7" s="1"/>
  <c r="C1000" i="7" s="1"/>
  <c r="C1001" i="7" s="1"/>
  <c r="C1002" i="7" s="1"/>
  <c r="C1003" i="7" s="1"/>
  <c r="C1004" i="7" s="1"/>
  <c r="C1005" i="7" s="1"/>
  <c r="C1006" i="7" s="1"/>
  <c r="C1007" i="7" s="1"/>
  <c r="C1008" i="7" s="1"/>
  <c r="C1009" i="7" s="1"/>
  <c r="C1010" i="7" s="1"/>
  <c r="C1011" i="7" s="1"/>
  <c r="C1012" i="7" s="1"/>
  <c r="C1013" i="7" s="1"/>
  <c r="C1014" i="7" s="1"/>
  <c r="C1015" i="7" s="1"/>
  <c r="C1016" i="7" s="1"/>
  <c r="C1017" i="7" s="1"/>
  <c r="C1018" i="7" s="1"/>
  <c r="C1019" i="7" s="1"/>
  <c r="C1020" i="7" s="1"/>
  <c r="C1021" i="7" s="1"/>
  <c r="C1022" i="7" s="1"/>
  <c r="C1023" i="7" s="1"/>
  <c r="C1024" i="7" s="1"/>
  <c r="C1025" i="7" s="1"/>
  <c r="C1026" i="7" s="1"/>
  <c r="C1027" i="7" s="1"/>
  <c r="C1028" i="7" s="1"/>
  <c r="C1029" i="7" s="1"/>
  <c r="C1030" i="7" s="1"/>
  <c r="C1031" i="7" s="1"/>
  <c r="C1032" i="7" s="1"/>
  <c r="C1033" i="7" s="1"/>
  <c r="C1034" i="7" s="1"/>
  <c r="C1035" i="7" s="1"/>
  <c r="C1036" i="7" s="1"/>
  <c r="C1037" i="7" s="1"/>
  <c r="C1038" i="7" s="1"/>
  <c r="C1039" i="7" s="1"/>
  <c r="C1040" i="7" s="1"/>
  <c r="C1041" i="7" s="1"/>
  <c r="C1042" i="7" s="1"/>
  <c r="C1043" i="7" s="1"/>
  <c r="C1044" i="7" s="1"/>
  <c r="C1045" i="7" s="1"/>
  <c r="C1046" i="7" s="1"/>
  <c r="C1047" i="7" s="1"/>
  <c r="C1048" i="7" s="1"/>
  <c r="C1049" i="7" s="1"/>
  <c r="C1050" i="7" s="1"/>
  <c r="C1051" i="7" s="1"/>
  <c r="C1052" i="7" s="1"/>
  <c r="C1053" i="7" s="1"/>
  <c r="C1054" i="7" s="1"/>
  <c r="C1055" i="7" s="1"/>
  <c r="C1056" i="7" s="1"/>
  <c r="C1057" i="7" s="1"/>
  <c r="C1058" i="7" s="1"/>
  <c r="C1059" i="7" s="1"/>
  <c r="C1060" i="7" s="1"/>
  <c r="C1061" i="7" s="1"/>
  <c r="C1062" i="7" s="1"/>
  <c r="C1063" i="7" s="1"/>
  <c r="C1064" i="7" s="1"/>
  <c r="C1065" i="7" s="1"/>
  <c r="C1066" i="7" s="1"/>
  <c r="C1067" i="7" s="1"/>
  <c r="C1068" i="7" s="1"/>
  <c r="C1069" i="7" s="1"/>
  <c r="C1070" i="7" s="1"/>
  <c r="C1071" i="7" s="1"/>
  <c r="C1072" i="7" s="1"/>
  <c r="C1073" i="7" s="1"/>
  <c r="C1074" i="7" s="1"/>
  <c r="C1075" i="7" s="1"/>
  <c r="C1076" i="7" s="1"/>
  <c r="C1077" i="7" s="1"/>
  <c r="C1078" i="7" s="1"/>
  <c r="C1079" i="7" s="1"/>
  <c r="C1080" i="7" s="1"/>
  <c r="C1081" i="7" s="1"/>
  <c r="C1082" i="7" s="1"/>
  <c r="C1083" i="7" s="1"/>
  <c r="C1084" i="7" s="1"/>
  <c r="C1085" i="7" s="1"/>
  <c r="C1086" i="7" s="1"/>
  <c r="C1087" i="7" s="1"/>
  <c r="C1088" i="7" s="1"/>
  <c r="C1089" i="7" s="1"/>
  <c r="C1090" i="7" s="1"/>
  <c r="C1091" i="7" s="1"/>
  <c r="C1092" i="7" s="1"/>
  <c r="C1093" i="7" s="1"/>
  <c r="C1094" i="7" s="1"/>
  <c r="C1095" i="7" s="1"/>
  <c r="C1096" i="7" s="1"/>
  <c r="C1097" i="7" s="1"/>
  <c r="C1098" i="7" s="1"/>
  <c r="C1099" i="7" s="1"/>
  <c r="C1100" i="7" s="1"/>
  <c r="C1101" i="7" s="1"/>
  <c r="C1102" i="7" s="1"/>
  <c r="C1103" i="7" s="1"/>
  <c r="C1104" i="7" s="1"/>
  <c r="C1105" i="7" s="1"/>
  <c r="C1106" i="7" s="1"/>
  <c r="C1107" i="7" s="1"/>
  <c r="C1108" i="7" s="1"/>
  <c r="C1109" i="7" s="1"/>
  <c r="C1110" i="7" s="1"/>
  <c r="C1111" i="7" s="1"/>
  <c r="C1112" i="7" s="1"/>
  <c r="C1113" i="7" s="1"/>
  <c r="C1114" i="7" s="1"/>
  <c r="C1115" i="7" s="1"/>
  <c r="C1116" i="7" s="1"/>
  <c r="C1117" i="7" s="1"/>
  <c r="C1118" i="7" s="1"/>
  <c r="C1119" i="7" s="1"/>
  <c r="C1120" i="7" s="1"/>
  <c r="C1121" i="7" s="1"/>
  <c r="C1122" i="7" s="1"/>
  <c r="C1123" i="7" s="1"/>
  <c r="C1124" i="7" s="1"/>
  <c r="C1125" i="7" s="1"/>
  <c r="C1126" i="7" s="1"/>
  <c r="C1127" i="7" s="1"/>
  <c r="C1128" i="7" s="1"/>
  <c r="C1129" i="7" s="1"/>
  <c r="C1130" i="7" s="1"/>
  <c r="B18" i="7"/>
  <c r="K18" i="7"/>
  <c r="I18" i="7"/>
  <c r="A19" i="7" a="1"/>
  <c r="A19" i="7" s="1"/>
  <c r="A18" i="7" a="1"/>
  <c r="A18" i="7" s="1"/>
  <c r="L18" i="7"/>
  <c r="D19" i="7"/>
  <c r="L19" i="7" s="1"/>
  <c r="G505" i="7" l="1"/>
  <c r="G506" i="7" s="1"/>
  <c r="G507" i="7" s="1"/>
  <c r="G508" i="7" s="1"/>
  <c r="G509" i="7" s="1"/>
  <c r="G510" i="7" s="1"/>
  <c r="G511" i="7" s="1"/>
  <c r="G512" i="7" s="1"/>
  <c r="G513" i="7" s="1"/>
  <c r="G514" i="7" s="1"/>
  <c r="G515" i="7" s="1"/>
  <c r="G516" i="7" s="1"/>
  <c r="G517" i="7" s="1"/>
  <c r="G518" i="7" s="1"/>
  <c r="G519" i="7" s="1"/>
  <c r="G520" i="7" s="1"/>
  <c r="G521" i="7" s="1"/>
  <c r="G522" i="7" s="1"/>
  <c r="G523" i="7" s="1"/>
  <c r="G524" i="7" s="1"/>
  <c r="G525" i="7" s="1"/>
  <c r="G526" i="7" s="1"/>
  <c r="G527" i="7" s="1"/>
  <c r="G528" i="7" s="1"/>
  <c r="G529" i="7" s="1"/>
  <c r="G530" i="7" s="1"/>
  <c r="G531" i="7" s="1"/>
  <c r="G532" i="7" s="1"/>
  <c r="G533" i="7" s="1"/>
  <c r="G534" i="7" s="1"/>
  <c r="G535" i="7" s="1"/>
  <c r="G536" i="7" s="1"/>
  <c r="G537" i="7" s="1"/>
  <c r="G538" i="7" s="1"/>
  <c r="G539" i="7" s="1"/>
  <c r="G540" i="7" s="1"/>
  <c r="G541" i="7" s="1"/>
  <c r="G542" i="7" s="1"/>
  <c r="G543" i="7" s="1"/>
  <c r="G544" i="7" s="1"/>
  <c r="G545" i="7" s="1"/>
  <c r="G546" i="7" s="1"/>
  <c r="G547" i="7" s="1"/>
  <c r="G548" i="7" s="1"/>
  <c r="G549" i="7" s="1"/>
  <c r="G550" i="7" s="1"/>
  <c r="G551" i="7" s="1"/>
  <c r="G552" i="7" s="1"/>
  <c r="G553" i="7" s="1"/>
  <c r="G554" i="7" s="1"/>
  <c r="G555" i="7" s="1"/>
  <c r="G556" i="7" s="1"/>
  <c r="G557" i="7" s="1"/>
  <c r="G558" i="7" s="1"/>
  <c r="G559" i="7" s="1"/>
  <c r="G560" i="7" s="1"/>
  <c r="G561" i="7" s="1"/>
  <c r="G562" i="7" s="1"/>
  <c r="G563" i="7" s="1"/>
  <c r="G564" i="7" s="1"/>
  <c r="G565" i="7" s="1"/>
  <c r="G566" i="7" s="1"/>
  <c r="G567" i="7" s="1"/>
  <c r="G568" i="7" s="1"/>
  <c r="G569" i="7" s="1"/>
  <c r="G570" i="7" s="1"/>
  <c r="G571" i="7" s="1"/>
  <c r="G572" i="7" s="1"/>
  <c r="G573" i="7" s="1"/>
  <c r="G574" i="7" s="1"/>
  <c r="G575" i="7" s="1"/>
  <c r="G576" i="7" s="1"/>
  <c r="G577" i="7" s="1"/>
  <c r="G578" i="7" s="1"/>
  <c r="G579" i="7" s="1"/>
  <c r="G580" i="7" s="1"/>
  <c r="G581" i="7" s="1"/>
  <c r="B19" i="7"/>
  <c r="K19" i="7" s="1"/>
  <c r="I19" i="7"/>
  <c r="D20" i="7"/>
  <c r="B20" i="7" l="1"/>
  <c r="K20" i="7" s="1"/>
  <c r="D21" i="7"/>
  <c r="B21" i="7" s="1"/>
  <c r="K21" i="7" s="1"/>
  <c r="I20" i="7"/>
  <c r="L20" i="7"/>
  <c r="I21" i="7" l="1"/>
  <c r="D22" i="7"/>
  <c r="B22" i="7" s="1"/>
  <c r="K22" i="7" s="1"/>
  <c r="L21" i="7"/>
  <c r="I22" i="7" l="1"/>
  <c r="D23" i="7"/>
  <c r="B23" i="7" s="1"/>
  <c r="K23" i="7" s="1"/>
  <c r="L22" i="7"/>
  <c r="I23" i="7" l="1"/>
  <c r="L23" i="7"/>
  <c r="D24" i="7"/>
  <c r="K24" i="7" l="1"/>
  <c r="B24" i="7"/>
  <c r="I24" i="7"/>
  <c r="D25" i="7"/>
  <c r="L24" i="7"/>
  <c r="K25" i="7" l="1"/>
  <c r="B25" i="7"/>
  <c r="I25" i="7"/>
  <c r="L25" i="7"/>
  <c r="D26" i="7"/>
  <c r="K26" i="7" l="1"/>
  <c r="B26" i="7"/>
  <c r="I26" i="7"/>
  <c r="D27" i="7"/>
  <c r="L26" i="7"/>
  <c r="B27" i="7" l="1"/>
  <c r="K27" i="7"/>
  <c r="I27" i="7"/>
  <c r="D28" i="7"/>
  <c r="L27" i="7"/>
  <c r="B28" i="7" l="1"/>
  <c r="K28" i="7" s="1"/>
  <c r="I28" i="7"/>
  <c r="L28" i="7"/>
  <c r="D29" i="7"/>
  <c r="B29" i="7" s="1"/>
  <c r="K29" i="7" s="1"/>
  <c r="I29" i="7" l="1"/>
  <c r="L29" i="7"/>
  <c r="D30" i="7"/>
  <c r="B30" i="7" s="1"/>
  <c r="K30" i="7" s="1"/>
  <c r="I30" i="7" l="1"/>
  <c r="D31" i="7"/>
  <c r="B31" i="7" s="1"/>
  <c r="K31" i="7" s="1"/>
  <c r="L30" i="7"/>
  <c r="I31" i="7" l="1"/>
  <c r="D32" i="7"/>
  <c r="L31" i="7"/>
  <c r="B32" i="7" l="1"/>
  <c r="K32" i="7" s="1"/>
  <c r="I32" i="7"/>
  <c r="L32" i="7"/>
  <c r="D33" i="7"/>
  <c r="K33" i="7" l="1"/>
  <c r="B33" i="7"/>
  <c r="I33" i="7"/>
  <c r="D34" i="7"/>
  <c r="L33" i="7"/>
  <c r="B34" i="7" l="1"/>
  <c r="K34" i="7"/>
  <c r="I34" i="7"/>
  <c r="L34" i="7"/>
  <c r="D35" i="7"/>
  <c r="B35" i="7" l="1"/>
  <c r="K35" i="7"/>
  <c r="I35" i="7"/>
  <c r="L35" i="7"/>
  <c r="D36" i="7"/>
  <c r="B36" i="7" l="1"/>
  <c r="K36" i="7"/>
  <c r="I36" i="7"/>
  <c r="L36" i="7"/>
  <c r="D37" i="7"/>
  <c r="B37" i="7" s="1"/>
  <c r="K37" i="7" s="1"/>
  <c r="I37" i="7" l="1"/>
  <c r="L37" i="7"/>
  <c r="D38" i="7"/>
  <c r="B38" i="7" s="1"/>
  <c r="K38" i="7" s="1"/>
  <c r="I38" i="7" l="1"/>
  <c r="L38" i="7"/>
  <c r="D39" i="7"/>
  <c r="B39" i="7" s="1"/>
  <c r="K39" i="7" s="1"/>
  <c r="I39" i="7" l="1"/>
  <c r="L39" i="7"/>
  <c r="D40" i="7"/>
  <c r="K40" i="7" l="1"/>
  <c r="B40" i="7"/>
  <c r="I40" i="7"/>
  <c r="D41" i="7"/>
  <c r="L40" i="7"/>
  <c r="B41" i="7" l="1"/>
  <c r="K41" i="7"/>
  <c r="I41" i="7"/>
  <c r="D42" i="7"/>
  <c r="L41" i="7"/>
  <c r="B42" i="7" l="1"/>
  <c r="K42" i="7"/>
  <c r="I42" i="7"/>
  <c r="D43" i="7"/>
  <c r="L42" i="7"/>
  <c r="B43" i="7" l="1"/>
  <c r="K43" i="7"/>
  <c r="I43" i="7"/>
  <c r="D44" i="7"/>
  <c r="L43" i="7"/>
  <c r="B44" i="7" l="1"/>
  <c r="K44" i="7"/>
  <c r="I44" i="7"/>
  <c r="L44" i="7"/>
  <c r="D45" i="7"/>
  <c r="B45" i="7" s="1"/>
  <c r="K45" i="7" s="1"/>
  <c r="I45" i="7" l="1"/>
  <c r="D46" i="7"/>
  <c r="B46" i="7" s="1"/>
  <c r="K46" i="7" s="1"/>
  <c r="L45" i="7"/>
  <c r="I46" i="7" l="1"/>
  <c r="D47" i="7"/>
  <c r="B47" i="7" s="1"/>
  <c r="K47" i="7" s="1"/>
  <c r="L46" i="7"/>
  <c r="I47" i="7" l="1"/>
  <c r="L47" i="7"/>
  <c r="D48" i="7"/>
  <c r="K48" i="7" l="1"/>
  <c r="B48" i="7"/>
  <c r="I48" i="7"/>
  <c r="D49" i="7"/>
  <c r="L48" i="7"/>
  <c r="K49" i="7" l="1"/>
  <c r="B49" i="7"/>
  <c r="I49" i="7"/>
  <c r="L49" i="7"/>
  <c r="D50" i="7"/>
  <c r="K50" i="7" l="1"/>
  <c r="B50" i="7"/>
  <c r="I50" i="7"/>
  <c r="L50" i="7"/>
  <c r="D51" i="7"/>
  <c r="K51" i="7" l="1"/>
  <c r="B51" i="7"/>
  <c r="I51" i="7"/>
  <c r="D52" i="7"/>
  <c r="L51" i="7"/>
  <c r="B52" i="7" l="1"/>
  <c r="K52" i="7"/>
  <c r="I52" i="7"/>
  <c r="L52" i="7"/>
  <c r="D53" i="7"/>
  <c r="B53" i="7" s="1"/>
  <c r="K53" i="7" s="1"/>
  <c r="I53" i="7" l="1"/>
  <c r="L53" i="7"/>
  <c r="D54" i="7"/>
  <c r="B54" i="7" s="1"/>
  <c r="K54" i="7" s="1"/>
  <c r="I54" i="7" l="1"/>
  <c r="D55" i="7"/>
  <c r="B55" i="7" s="1"/>
  <c r="K55" i="7" s="1"/>
  <c r="L54" i="7"/>
  <c r="I55" i="7" l="1"/>
  <c r="L55" i="7"/>
  <c r="D56" i="7"/>
  <c r="B56" i="7" l="1"/>
  <c r="K56" i="7"/>
  <c r="I56" i="7"/>
  <c r="D57" i="7"/>
  <c r="L56" i="7"/>
  <c r="B57" i="7" l="1"/>
  <c r="K57" i="7"/>
  <c r="I57" i="7"/>
  <c r="L57" i="7"/>
  <c r="D58" i="7"/>
  <c r="B58" i="7" l="1"/>
  <c r="K58" i="7" s="1"/>
  <c r="I58" i="7"/>
  <c r="D59" i="7"/>
  <c r="L58" i="7"/>
  <c r="B59" i="7" l="1"/>
  <c r="K59" i="7"/>
  <c r="I59" i="7"/>
  <c r="D60" i="7"/>
  <c r="L59" i="7"/>
  <c r="B60" i="7" l="1"/>
  <c r="K60" i="7"/>
  <c r="I60" i="7"/>
  <c r="L60" i="7"/>
  <c r="D61" i="7"/>
  <c r="B61" i="7" s="1"/>
  <c r="K61" i="7" s="1"/>
  <c r="I61" i="7" l="1"/>
  <c r="D62" i="7"/>
  <c r="B62" i="7" s="1"/>
  <c r="K62" i="7" s="1"/>
  <c r="L61" i="7"/>
  <c r="I62" i="7" l="1"/>
  <c r="D63" i="7"/>
  <c r="B63" i="7" s="1"/>
  <c r="K63" i="7" s="1"/>
  <c r="L62" i="7"/>
  <c r="I63" i="7" l="1"/>
  <c r="D64" i="7"/>
  <c r="L63" i="7"/>
  <c r="K64" i="7" l="1"/>
  <c r="B64" i="7"/>
  <c r="I64" i="7"/>
  <c r="D65" i="7"/>
  <c r="L64" i="7"/>
  <c r="K65" i="7" l="1"/>
  <c r="B65" i="7"/>
  <c r="I65" i="7"/>
  <c r="L65" i="7"/>
  <c r="D66" i="7"/>
  <c r="B66" i="7" l="1"/>
  <c r="K66" i="7"/>
  <c r="I66" i="7"/>
  <c r="D67" i="7"/>
  <c r="L66" i="7"/>
  <c r="B67" i="7" l="1"/>
  <c r="K67" i="7"/>
  <c r="I67" i="7"/>
  <c r="D68" i="7"/>
  <c r="L67" i="7"/>
  <c r="B68" i="7" l="1"/>
  <c r="K68" i="7"/>
  <c r="I68" i="7"/>
  <c r="L68" i="7"/>
  <c r="D69" i="7"/>
  <c r="B69" i="7" s="1"/>
  <c r="K69" i="7" s="1"/>
  <c r="I69" i="7" l="1"/>
  <c r="D70" i="7"/>
  <c r="B70" i="7" s="1"/>
  <c r="K70" i="7" s="1"/>
  <c r="L69" i="7"/>
  <c r="I70" i="7" l="1"/>
  <c r="L70" i="7"/>
  <c r="D71" i="7"/>
  <c r="B71" i="7" s="1"/>
  <c r="K71" i="7" s="1"/>
  <c r="I71" i="7" l="1"/>
  <c r="L71" i="7"/>
  <c r="D72" i="7"/>
  <c r="K72" i="7" l="1"/>
  <c r="B72" i="7"/>
  <c r="I72" i="7"/>
  <c r="L72" i="7"/>
  <c r="D73" i="7"/>
  <c r="B73" i="7" l="1"/>
  <c r="K73" i="7"/>
  <c r="I73" i="7"/>
  <c r="L73" i="7"/>
  <c r="D74" i="7"/>
  <c r="B74" i="7" l="1"/>
  <c r="K74" i="7" s="1"/>
  <c r="I74" i="7"/>
  <c r="L74" i="7"/>
  <c r="D75" i="7"/>
  <c r="B75" i="7" l="1"/>
  <c r="K75" i="7"/>
  <c r="I75" i="7"/>
  <c r="L75" i="7"/>
  <c r="D76" i="7"/>
  <c r="B76" i="7" l="1"/>
  <c r="K76" i="7"/>
  <c r="I76" i="7"/>
  <c r="L76" i="7"/>
  <c r="D77" i="7"/>
  <c r="B77" i="7" s="1"/>
  <c r="K77" i="7" s="1"/>
  <c r="I77" i="7" l="1"/>
  <c r="D78" i="7"/>
  <c r="B78" i="7" s="1"/>
  <c r="K78" i="7" s="1"/>
  <c r="L77" i="7"/>
  <c r="I78" i="7" l="1"/>
  <c r="D79" i="7"/>
  <c r="B79" i="7" s="1"/>
  <c r="K79" i="7" s="1"/>
  <c r="L78" i="7"/>
  <c r="I79" i="7" l="1"/>
  <c r="L79" i="7"/>
  <c r="D80" i="7"/>
  <c r="B80" i="7" l="1"/>
  <c r="K80" i="7"/>
  <c r="I80" i="7"/>
  <c r="D81" i="7"/>
  <c r="L80" i="7"/>
  <c r="B81" i="7" l="1"/>
  <c r="K81" i="7"/>
  <c r="I81" i="7"/>
  <c r="D82" i="7"/>
  <c r="L81" i="7"/>
  <c r="B82" i="7" l="1"/>
  <c r="K82" i="7"/>
  <c r="I82" i="7"/>
  <c r="D83" i="7"/>
  <c r="L82" i="7"/>
  <c r="B83" i="7" l="1"/>
  <c r="K83" i="7"/>
  <c r="I83" i="7"/>
  <c r="D84" i="7"/>
  <c r="D85" i="7" s="1"/>
  <c r="L83" i="7"/>
  <c r="L85" i="7" l="1"/>
  <c r="B85" i="7"/>
  <c r="D86" i="7"/>
  <c r="K85" i="7"/>
  <c r="I85" i="7"/>
  <c r="B84" i="7"/>
  <c r="K84" i="7"/>
  <c r="I84" i="7"/>
  <c r="L84" i="7"/>
  <c r="K86" i="7" l="1"/>
  <c r="I86" i="7"/>
  <c r="D87" i="7"/>
  <c r="B86" i="7"/>
  <c r="L86" i="7"/>
  <c r="K87" i="7" l="1"/>
  <c r="I87" i="7"/>
  <c r="D88" i="7"/>
  <c r="B87" i="7"/>
  <c r="L87" i="7"/>
  <c r="K88" i="7" l="1"/>
  <c r="I88" i="7"/>
  <c r="L88" i="7"/>
  <c r="D89" i="7"/>
  <c r="B88" i="7"/>
  <c r="K89" i="7" l="1"/>
  <c r="I89" i="7"/>
  <c r="D90" i="7"/>
  <c r="B89" i="7"/>
  <c r="L89" i="7"/>
  <c r="K90" i="7" l="1"/>
  <c r="I90" i="7"/>
  <c r="D91" i="7"/>
  <c r="L90" i="7"/>
  <c r="B90" i="7"/>
  <c r="K91" i="7" l="1"/>
  <c r="I91" i="7"/>
  <c r="D92" i="7"/>
  <c r="L91" i="7"/>
  <c r="B91" i="7"/>
  <c r="I92" i="7" l="1"/>
  <c r="D93" i="7"/>
  <c r="L92" i="7"/>
  <c r="K92" i="7"/>
  <c r="B92" i="7"/>
  <c r="K93" i="7" l="1"/>
  <c r="B93" i="7"/>
  <c r="I93" i="7"/>
  <c r="D94" i="7"/>
  <c r="L93" i="7"/>
  <c r="K94" i="7" l="1"/>
  <c r="I94" i="7"/>
  <c r="L94" i="7"/>
  <c r="D95" i="7"/>
  <c r="B94" i="7"/>
  <c r="I95" i="7" l="1"/>
  <c r="D96" i="7"/>
  <c r="B95" i="7"/>
  <c r="K95" i="7" s="1"/>
  <c r="L95" i="7"/>
  <c r="K96" i="7" l="1"/>
  <c r="I96" i="7"/>
  <c r="D97" i="7"/>
  <c r="B96" i="7"/>
  <c r="L96" i="7"/>
  <c r="I97" i="7" l="1"/>
  <c r="B97" i="7"/>
  <c r="K97" i="7" s="1"/>
  <c r="D98" i="7"/>
  <c r="L97" i="7"/>
  <c r="I98" i="7" l="1"/>
  <c r="D99" i="7"/>
  <c r="B98" i="7"/>
  <c r="L98" i="7"/>
  <c r="K98" i="7"/>
  <c r="K99" i="7" l="1"/>
  <c r="B99" i="7"/>
  <c r="L99" i="7"/>
  <c r="I99" i="7"/>
  <c r="D100" i="7"/>
  <c r="K100" i="7" l="1"/>
  <c r="D101" i="7"/>
  <c r="B100" i="7"/>
  <c r="I100" i="7"/>
  <c r="L100" i="7"/>
  <c r="L101" i="7" l="1"/>
  <c r="I101" i="7"/>
  <c r="D102" i="7"/>
  <c r="B101" i="7"/>
  <c r="K101" i="7" s="1"/>
  <c r="K102" i="7" l="1"/>
  <c r="I102" i="7"/>
  <c r="D103" i="7"/>
  <c r="B102" i="7"/>
  <c r="L102" i="7"/>
  <c r="K103" i="7" l="1"/>
  <c r="B103" i="7"/>
  <c r="L103" i="7"/>
  <c r="I103" i="7"/>
  <c r="D104" i="7"/>
  <c r="K104" i="7" l="1"/>
  <c r="L104" i="7"/>
  <c r="I104" i="7"/>
  <c r="D105" i="7"/>
  <c r="B104" i="7"/>
  <c r="K105" i="7" l="1"/>
  <c r="I105" i="7"/>
  <c r="B105" i="7"/>
  <c r="L105" i="7"/>
  <c r="D106" i="7"/>
  <c r="I106" i="7" l="1"/>
  <c r="D107" i="7"/>
  <c r="L106" i="7"/>
  <c r="B106" i="7"/>
  <c r="K106" i="7" s="1"/>
  <c r="K107" i="7" l="1"/>
  <c r="I107" i="7"/>
  <c r="B107" i="7"/>
  <c r="D108" i="7"/>
  <c r="L107" i="7"/>
  <c r="D109" i="7" l="1"/>
  <c r="I108" i="7"/>
  <c r="L108" i="7"/>
  <c r="B108" i="7"/>
  <c r="K108" i="7" s="1"/>
  <c r="K109" i="7" l="1"/>
  <c r="I109" i="7"/>
  <c r="B109" i="7"/>
  <c r="D110" i="7"/>
  <c r="L109" i="7"/>
  <c r="K110" i="7" l="1"/>
  <c r="I110" i="7"/>
  <c r="D111" i="7"/>
  <c r="B110" i="7"/>
  <c r="L110" i="7"/>
  <c r="K111" i="7" l="1"/>
  <c r="I111" i="7"/>
  <c r="D112" i="7"/>
  <c r="B111" i="7"/>
  <c r="L111" i="7"/>
  <c r="K112" i="7" l="1"/>
  <c r="I112" i="7"/>
  <c r="D113" i="7"/>
  <c r="B112" i="7"/>
  <c r="L112" i="7"/>
  <c r="K113" i="7" l="1"/>
  <c r="L113" i="7"/>
  <c r="I113" i="7"/>
  <c r="D114" i="7"/>
  <c r="B113" i="7"/>
  <c r="K114" i="7" l="1"/>
  <c r="I114" i="7"/>
  <c r="D115" i="7"/>
  <c r="B114" i="7"/>
  <c r="L114" i="7"/>
  <c r="K115" i="7" l="1"/>
  <c r="I115" i="7"/>
  <c r="D116" i="7"/>
  <c r="B115" i="7"/>
  <c r="L115" i="7"/>
  <c r="K116" i="7" l="1"/>
  <c r="B116" i="7"/>
  <c r="I116" i="7"/>
  <c r="D117" i="7"/>
  <c r="L116" i="7"/>
  <c r="K117" i="7" l="1"/>
  <c r="B117" i="7"/>
  <c r="I117" i="7"/>
  <c r="D118" i="7"/>
  <c r="L117" i="7"/>
  <c r="K118" i="7" l="1"/>
  <c r="I118" i="7"/>
  <c r="D119" i="7"/>
  <c r="B118" i="7"/>
  <c r="L118" i="7"/>
  <c r="K119" i="7" l="1"/>
  <c r="B119" i="7"/>
  <c r="I119" i="7"/>
  <c r="D120" i="7"/>
  <c r="L119" i="7"/>
  <c r="K120" i="7" l="1"/>
  <c r="I120" i="7"/>
  <c r="D121" i="7"/>
  <c r="L120" i="7"/>
  <c r="B120" i="7"/>
  <c r="K121" i="7" l="1"/>
  <c r="I121" i="7"/>
  <c r="D122" i="7"/>
  <c r="B121" i="7"/>
  <c r="L121" i="7"/>
  <c r="K122" i="7" l="1"/>
  <c r="I122" i="7"/>
  <c r="D123" i="7"/>
  <c r="L122" i="7"/>
  <c r="B122" i="7"/>
  <c r="K123" i="7" l="1"/>
  <c r="I123" i="7"/>
  <c r="D124" i="7"/>
  <c r="B123" i="7"/>
  <c r="L123" i="7"/>
  <c r="I124" i="7" l="1"/>
  <c r="L124" i="7"/>
  <c r="D125" i="7"/>
  <c r="B124" i="7"/>
  <c r="K124" i="7"/>
  <c r="K125" i="7" l="1"/>
  <c r="I125" i="7"/>
  <c r="L125" i="7"/>
  <c r="D126" i="7"/>
  <c r="B125" i="7"/>
  <c r="K126" i="7" l="1"/>
  <c r="I126" i="7"/>
  <c r="B126" i="7"/>
  <c r="L126" i="7"/>
  <c r="D127" i="7"/>
  <c r="K127" i="7" l="1"/>
  <c r="I127" i="7"/>
  <c r="D128" i="7"/>
  <c r="B127" i="7"/>
  <c r="L127" i="7"/>
  <c r="K128" i="7" l="1"/>
  <c r="D129" i="7"/>
  <c r="I128" i="7"/>
  <c r="B128" i="7"/>
  <c r="L128" i="7"/>
  <c r="K129" i="7" l="1"/>
  <c r="I129" i="7"/>
  <c r="B129" i="7"/>
  <c r="D130" i="7"/>
  <c r="L129" i="7"/>
  <c r="K130" i="7" l="1"/>
  <c r="I130" i="7"/>
  <c r="D131" i="7"/>
  <c r="B130" i="7"/>
  <c r="L130" i="7"/>
  <c r="K131" i="7" l="1"/>
  <c r="I131" i="7"/>
  <c r="D132" i="7"/>
  <c r="B131" i="7"/>
  <c r="L131" i="7"/>
  <c r="K132" i="7" l="1"/>
  <c r="I132" i="7"/>
  <c r="D133" i="7"/>
  <c r="L132" i="7"/>
  <c r="B132" i="7"/>
  <c r="K133" i="7" l="1"/>
  <c r="I133" i="7"/>
  <c r="D134" i="7"/>
  <c r="B133" i="7"/>
  <c r="L133" i="7"/>
  <c r="K134" i="7" l="1"/>
  <c r="I134" i="7"/>
  <c r="L134" i="7"/>
  <c r="D135" i="7"/>
  <c r="B134" i="7"/>
  <c r="K135" i="7" l="1"/>
  <c r="I135" i="7"/>
  <c r="D136" i="7"/>
  <c r="B135" i="7"/>
  <c r="L135" i="7"/>
  <c r="K136" i="7" l="1"/>
  <c r="D137" i="7"/>
  <c r="I136" i="7"/>
  <c r="L136" i="7"/>
  <c r="B136" i="7"/>
  <c r="K137" i="7" l="1"/>
  <c r="I137" i="7"/>
  <c r="L137" i="7"/>
  <c r="D138" i="7"/>
  <c r="B137" i="7"/>
  <c r="K138" i="7" l="1"/>
  <c r="L138" i="7"/>
  <c r="I138" i="7"/>
  <c r="D139" i="7"/>
  <c r="B138" i="7"/>
  <c r="K139" i="7" l="1"/>
  <c r="I139" i="7"/>
  <c r="D140" i="7"/>
  <c r="B139" i="7"/>
  <c r="L139" i="7"/>
  <c r="I140" i="7" l="1"/>
  <c r="D141" i="7"/>
  <c r="B140" i="7"/>
  <c r="L140" i="7"/>
  <c r="K140" i="7"/>
  <c r="I141" i="7" l="1"/>
  <c r="D142" i="7"/>
  <c r="L141" i="7"/>
  <c r="K141" i="7"/>
  <c r="B141" i="7"/>
  <c r="K142" i="7" l="1"/>
  <c r="I142" i="7"/>
  <c r="D143" i="7"/>
  <c r="L142" i="7"/>
  <c r="B142" i="7"/>
  <c r="K143" i="7" l="1"/>
  <c r="I143" i="7"/>
  <c r="L143" i="7"/>
  <c r="D144" i="7"/>
  <c r="B143" i="7"/>
  <c r="K144" i="7" l="1"/>
  <c r="I144" i="7"/>
  <c r="D145" i="7"/>
  <c r="B144" i="7"/>
  <c r="L144" i="7"/>
  <c r="K145" i="7" l="1"/>
  <c r="B145" i="7"/>
  <c r="I145" i="7"/>
  <c r="D146" i="7"/>
  <c r="L145" i="7"/>
  <c r="K146" i="7" l="1"/>
  <c r="L146" i="7"/>
  <c r="I146" i="7"/>
  <c r="D147" i="7"/>
  <c r="B146" i="7"/>
  <c r="K147" i="7" l="1"/>
  <c r="I147" i="7"/>
  <c r="D148" i="7"/>
  <c r="B147" i="7"/>
  <c r="L147" i="7"/>
  <c r="D149" i="7" l="1"/>
  <c r="K148" i="7"/>
  <c r="L148" i="7"/>
  <c r="I148" i="7"/>
  <c r="B148" i="7"/>
  <c r="I149" i="7" l="1"/>
  <c r="D150" i="7"/>
  <c r="K149" i="7"/>
  <c r="B149" i="7"/>
  <c r="L149" i="7"/>
  <c r="D151" i="7" l="1"/>
  <c r="I150" i="7"/>
  <c r="B150" i="7"/>
  <c r="L150" i="7"/>
  <c r="K150" i="7"/>
  <c r="D152" i="7" l="1"/>
  <c r="B151" i="7"/>
  <c r="L151" i="7"/>
  <c r="I151" i="7"/>
  <c r="K151" i="7"/>
  <c r="B152" i="7" l="1"/>
  <c r="K152" i="7"/>
  <c r="I152" i="7"/>
  <c r="D153" i="7"/>
  <c r="L152" i="7"/>
  <c r="B153" i="7" l="1"/>
  <c r="I153" i="7"/>
  <c r="D154" i="7"/>
  <c r="K153" i="7"/>
  <c r="L153" i="7"/>
  <c r="I154" i="7" l="1"/>
  <c r="D155" i="7"/>
  <c r="B154" i="7"/>
  <c r="L154" i="7"/>
  <c r="K154" i="7"/>
  <c r="D156" i="7" l="1"/>
  <c r="I155" i="7"/>
  <c r="L155" i="7"/>
  <c r="B155" i="7"/>
  <c r="K155" i="7"/>
  <c r="L156" i="7" l="1"/>
  <c r="I156" i="7"/>
  <c r="D157" i="7"/>
  <c r="B156" i="7"/>
  <c r="K156" i="7" s="1"/>
  <c r="K157" i="7" l="1"/>
  <c r="I157" i="7"/>
  <c r="L157" i="7"/>
  <c r="D158" i="7"/>
  <c r="B157" i="7"/>
  <c r="K158" i="7" l="1"/>
  <c r="I158" i="7"/>
  <c r="D159" i="7"/>
  <c r="B158" i="7"/>
  <c r="L158" i="7"/>
  <c r="I159" i="7" l="1"/>
  <c r="L159" i="7"/>
  <c r="B159" i="7"/>
  <c r="K159" i="7"/>
  <c r="D160" i="7"/>
  <c r="K160" i="7" l="1"/>
  <c r="D161" i="7"/>
  <c r="B160" i="7"/>
  <c r="I160" i="7"/>
  <c r="L160" i="7"/>
  <c r="I161" i="7" l="1"/>
  <c r="D162" i="7"/>
  <c r="B161" i="7"/>
  <c r="L161" i="7"/>
  <c r="K161" i="7"/>
  <c r="D163" i="7" l="1"/>
  <c r="B162" i="7"/>
  <c r="L162" i="7"/>
  <c r="K162" i="7"/>
  <c r="I162" i="7"/>
  <c r="L163" i="7" l="1"/>
  <c r="I163" i="7"/>
  <c r="D164" i="7"/>
  <c r="B163" i="7"/>
  <c r="K163" i="7"/>
  <c r="I164" i="7" l="1"/>
  <c r="B164" i="7"/>
  <c r="K164" i="7"/>
  <c r="L164" i="7"/>
  <c r="D165" i="7"/>
  <c r="K165" i="7" l="1"/>
  <c r="L165" i="7"/>
  <c r="I165" i="7"/>
  <c r="D166" i="7"/>
  <c r="B165" i="7"/>
  <c r="L166" i="7" l="1"/>
  <c r="D167" i="7"/>
  <c r="B166" i="7"/>
  <c r="I166" i="7"/>
  <c r="K166" i="7"/>
  <c r="I167" i="7" l="1"/>
  <c r="L167" i="7"/>
  <c r="D168" i="7"/>
  <c r="B167" i="7"/>
  <c r="K167" i="7"/>
  <c r="K168" i="7" l="1"/>
  <c r="D169" i="7"/>
  <c r="L168" i="7"/>
  <c r="B168" i="7"/>
  <c r="I168" i="7"/>
  <c r="I169" i="7" l="1"/>
  <c r="D170" i="7"/>
  <c r="B169" i="7"/>
  <c r="L169" i="7"/>
  <c r="K169" i="7"/>
  <c r="D171" i="7" l="1"/>
  <c r="I170" i="7"/>
  <c r="L170" i="7"/>
  <c r="K170" i="7"/>
  <c r="B170" i="7"/>
  <c r="K171" i="7" l="1"/>
  <c r="D172" i="7"/>
  <c r="B171" i="7"/>
  <c r="I171" i="7"/>
  <c r="L171" i="7"/>
  <c r="B172" i="7" l="1"/>
  <c r="I172" i="7"/>
  <c r="K172" i="7"/>
  <c r="D173" i="7"/>
  <c r="L172" i="7"/>
  <c r="I173" i="7" l="1"/>
  <c r="L173" i="7"/>
  <c r="D174" i="7"/>
  <c r="B173" i="7"/>
  <c r="K173" i="7" s="1"/>
  <c r="D175" i="7" l="1"/>
  <c r="L174" i="7"/>
  <c r="B174" i="7"/>
  <c r="K174" i="7"/>
  <c r="I174" i="7"/>
  <c r="K175" i="7" l="1"/>
  <c r="D176" i="7"/>
  <c r="B175" i="7"/>
  <c r="I175" i="7"/>
  <c r="L175" i="7"/>
  <c r="D177" i="7" l="1"/>
  <c r="B176" i="7"/>
  <c r="K176" i="7" s="1"/>
  <c r="I176" i="7"/>
  <c r="L176" i="7"/>
  <c r="L177" i="7" l="1"/>
  <c r="D178" i="7"/>
  <c r="K177" i="7"/>
  <c r="I177" i="7"/>
  <c r="B177" i="7"/>
  <c r="D179" i="7" l="1"/>
  <c r="L178" i="7"/>
  <c r="K178" i="7"/>
  <c r="B178" i="7"/>
  <c r="I178" i="7"/>
  <c r="L179" i="7" l="1"/>
  <c r="K179" i="7"/>
  <c r="I179" i="7"/>
  <c r="D180" i="7"/>
  <c r="B179" i="7"/>
  <c r="I180" i="7" l="1"/>
  <c r="B180" i="7"/>
  <c r="K180" i="7" s="1"/>
  <c r="D181" i="7"/>
  <c r="L180" i="7"/>
  <c r="I181" i="7" l="1"/>
  <c r="K181" i="7"/>
  <c r="L181" i="7"/>
  <c r="D182" i="7"/>
  <c r="B181" i="7"/>
  <c r="D183" i="7" l="1"/>
  <c r="B182" i="7"/>
  <c r="K182" i="7"/>
  <c r="I182" i="7"/>
  <c r="L182" i="7"/>
  <c r="D184" i="7" l="1"/>
  <c r="B183" i="7"/>
  <c r="K183" i="7"/>
  <c r="L183" i="7"/>
  <c r="I183" i="7"/>
  <c r="K184" i="7" l="1"/>
  <c r="L184" i="7"/>
  <c r="B184" i="7"/>
  <c r="I184" i="7"/>
  <c r="D185" i="7"/>
  <c r="L185" i="7" l="1"/>
  <c r="K185" i="7"/>
  <c r="I185" i="7"/>
  <c r="D186" i="7"/>
  <c r="B185" i="7"/>
  <c r="D187" i="7" l="1"/>
  <c r="K186" i="7"/>
  <c r="I186" i="7"/>
  <c r="B186" i="7"/>
  <c r="L186" i="7"/>
  <c r="B187" i="7" l="1"/>
  <c r="I187" i="7"/>
  <c r="D188" i="7"/>
  <c r="K187" i="7"/>
  <c r="L187" i="7"/>
  <c r="K188" i="7" l="1"/>
  <c r="B188" i="7"/>
  <c r="L188" i="7"/>
  <c r="I188" i="7"/>
  <c r="D189" i="7"/>
  <c r="I189" i="7" l="1"/>
  <c r="B189" i="7"/>
  <c r="L189" i="7"/>
  <c r="K189" i="7"/>
  <c r="D190" i="7"/>
  <c r="L190" i="7" l="1"/>
  <c r="D191" i="7"/>
  <c r="B190" i="7"/>
  <c r="K190" i="7" s="1"/>
  <c r="I190" i="7"/>
  <c r="I191" i="7" l="1"/>
  <c r="D192" i="7"/>
  <c r="B191" i="7"/>
  <c r="K191" i="7"/>
  <c r="L191" i="7"/>
  <c r="I192" i="7" l="1"/>
  <c r="D193" i="7"/>
  <c r="K192" i="7"/>
  <c r="B192" i="7"/>
  <c r="L192" i="7"/>
  <c r="I193" i="7" l="1"/>
  <c r="D194" i="7"/>
  <c r="L193" i="7"/>
  <c r="K193" i="7"/>
  <c r="B193" i="7"/>
  <c r="B194" i="7" l="1"/>
  <c r="L194" i="7"/>
  <c r="D195" i="7"/>
  <c r="I194" i="7"/>
  <c r="K194" i="7"/>
  <c r="L195" i="7" l="1"/>
  <c r="I195" i="7"/>
  <c r="D196" i="7"/>
  <c r="B195" i="7"/>
  <c r="K195" i="7"/>
  <c r="B196" i="7" l="1"/>
  <c r="K196" i="7"/>
  <c r="L196" i="7"/>
  <c r="I196" i="7"/>
  <c r="D197" i="7"/>
  <c r="L197" i="7" l="1"/>
  <c r="K197" i="7"/>
  <c r="B197" i="7"/>
  <c r="D198" i="7"/>
  <c r="I197" i="7"/>
  <c r="B198" i="7" l="1"/>
  <c r="D199" i="7"/>
  <c r="L198" i="7"/>
  <c r="K198" i="7"/>
  <c r="I198" i="7"/>
  <c r="I199" i="7" l="1"/>
  <c r="D200" i="7"/>
  <c r="L199" i="7"/>
  <c r="B199" i="7"/>
  <c r="K199" i="7"/>
  <c r="B200" i="7" l="1"/>
  <c r="K200" i="7"/>
  <c r="L200" i="7"/>
  <c r="I200" i="7"/>
  <c r="D201" i="7"/>
  <c r="L201" i="7" l="1"/>
  <c r="I201" i="7"/>
  <c r="D202" i="7"/>
  <c r="K201" i="7"/>
  <c r="B201" i="7"/>
  <c r="K202" i="7" l="1"/>
  <c r="L202" i="7"/>
  <c r="D203" i="7"/>
  <c r="B202" i="7"/>
  <c r="I202" i="7"/>
  <c r="L203" i="7" l="1"/>
  <c r="D204" i="7"/>
  <c r="B203" i="7"/>
  <c r="K203" i="7"/>
  <c r="I203" i="7"/>
  <c r="D205" i="7" l="1"/>
  <c r="I204" i="7"/>
  <c r="B204" i="7"/>
  <c r="K204" i="7" s="1"/>
  <c r="L204" i="7"/>
  <c r="I205" i="7" l="1"/>
  <c r="D206" i="7"/>
  <c r="B205" i="7"/>
  <c r="K205" i="7" s="1"/>
  <c r="L205" i="7"/>
  <c r="I206" i="7" l="1"/>
  <c r="D207" i="7"/>
  <c r="K206" i="7"/>
  <c r="B206" i="7"/>
  <c r="L206" i="7"/>
  <c r="D208" i="7" l="1"/>
  <c r="I207" i="7"/>
  <c r="L207" i="7"/>
  <c r="B207" i="7"/>
  <c r="K207" i="7"/>
  <c r="L208" i="7" l="1"/>
  <c r="K208" i="7"/>
  <c r="I208" i="7"/>
  <c r="D209" i="7"/>
  <c r="B208" i="7"/>
  <c r="I209" i="7" l="1"/>
  <c r="L209" i="7"/>
  <c r="K209" i="7"/>
  <c r="D210" i="7"/>
  <c r="B209" i="7"/>
  <c r="B210" i="7" l="1"/>
  <c r="I210" i="7"/>
  <c r="K210" i="7"/>
  <c r="D211" i="7"/>
  <c r="L210" i="7"/>
  <c r="L211" i="7" l="1"/>
  <c r="D212" i="7"/>
  <c r="B211" i="7"/>
  <c r="K211" i="7"/>
  <c r="I211" i="7"/>
  <c r="D213" i="7" l="1"/>
  <c r="B212" i="7"/>
  <c r="K212" i="7"/>
  <c r="I212" i="7"/>
  <c r="L212" i="7"/>
  <c r="L213" i="7" l="1"/>
  <c r="I213" i="7"/>
  <c r="D214" i="7"/>
  <c r="B213" i="7"/>
  <c r="K213" i="7"/>
  <c r="B214" i="7" l="1"/>
  <c r="L214" i="7"/>
  <c r="I214" i="7"/>
  <c r="K214" i="7"/>
  <c r="D215" i="7"/>
  <c r="K215" i="7" l="1"/>
  <c r="D216" i="7"/>
  <c r="B215" i="7"/>
  <c r="L215" i="7"/>
  <c r="I215" i="7"/>
  <c r="D217" i="7" l="1"/>
  <c r="L216" i="7"/>
  <c r="B216" i="7"/>
  <c r="K216" i="7"/>
  <c r="I216" i="7"/>
  <c r="I217" i="7" l="1"/>
  <c r="K217" i="7"/>
  <c r="D218" i="7"/>
  <c r="B217" i="7"/>
  <c r="L217" i="7"/>
  <c r="L218" i="7" l="1"/>
  <c r="K218" i="7"/>
  <c r="I218" i="7"/>
  <c r="D219" i="7"/>
  <c r="B218" i="7"/>
  <c r="K219" i="7" l="1"/>
  <c r="D220" i="7"/>
  <c r="B219" i="7"/>
  <c r="I219" i="7"/>
  <c r="L219" i="7"/>
  <c r="D221" i="7" l="1"/>
  <c r="I220" i="7"/>
  <c r="B220" i="7"/>
  <c r="K220" i="7"/>
  <c r="L220" i="7"/>
  <c r="K221" i="7" l="1"/>
  <c r="L221" i="7"/>
  <c r="I221" i="7"/>
  <c r="D222" i="7"/>
  <c r="B221" i="7"/>
  <c r="K222" i="7" l="1"/>
  <c r="I222" i="7"/>
  <c r="D223" i="7"/>
  <c r="B222" i="7"/>
  <c r="L222" i="7"/>
  <c r="K223" i="7" l="1"/>
  <c r="D224" i="7"/>
  <c r="I223" i="7"/>
  <c r="L223" i="7"/>
  <c r="B223" i="7"/>
  <c r="D225" i="7" l="1"/>
  <c r="B224" i="7"/>
  <c r="K224" i="7"/>
  <c r="L224" i="7"/>
  <c r="I224" i="7"/>
  <c r="I225" i="7" l="1"/>
  <c r="D226" i="7"/>
  <c r="B225" i="7"/>
  <c r="L225" i="7"/>
  <c r="K225" i="7"/>
  <c r="L226" i="7" l="1"/>
  <c r="K226" i="7"/>
  <c r="I226" i="7"/>
  <c r="B226" i="7"/>
  <c r="D227" i="7"/>
  <c r="B227" i="7" l="1"/>
  <c r="L227" i="7"/>
  <c r="I227" i="7"/>
  <c r="K227" i="7"/>
  <c r="D228" i="7"/>
  <c r="B228" i="7" l="1"/>
  <c r="L228" i="7"/>
  <c r="I228" i="7"/>
  <c r="D229" i="7"/>
  <c r="K228" i="7"/>
  <c r="I229" i="7" l="1"/>
  <c r="B229" i="7"/>
  <c r="L229" i="7"/>
  <c r="K229" i="7"/>
  <c r="D230" i="7"/>
  <c r="L230" i="7" l="1"/>
  <c r="I230" i="7"/>
  <c r="K230" i="7"/>
  <c r="D231" i="7"/>
  <c r="B230" i="7"/>
  <c r="K231" i="7" l="1"/>
  <c r="I231" i="7"/>
  <c r="D232" i="7"/>
  <c r="B231" i="7"/>
  <c r="L231" i="7"/>
  <c r="B232" i="7" l="1"/>
  <c r="I232" i="7"/>
  <c r="D233" i="7"/>
  <c r="L232" i="7"/>
  <c r="K232" i="7"/>
  <c r="I233" i="7" l="1"/>
  <c r="D234" i="7"/>
  <c r="K233" i="7"/>
  <c r="B233" i="7"/>
  <c r="L233" i="7"/>
  <c r="L234" i="7" l="1"/>
  <c r="K234" i="7"/>
  <c r="D235" i="7"/>
  <c r="B234" i="7"/>
  <c r="I234" i="7"/>
  <c r="K235" i="7" l="1"/>
  <c r="I235" i="7"/>
  <c r="L235" i="7"/>
  <c r="D236" i="7"/>
  <c r="B235" i="7"/>
  <c r="D237" i="7" l="1"/>
  <c r="B236" i="7"/>
  <c r="I236" i="7"/>
  <c r="L236" i="7"/>
  <c r="K236" i="7"/>
  <c r="I237" i="7" l="1"/>
  <c r="D238" i="7"/>
  <c r="B237" i="7"/>
  <c r="L237" i="7"/>
  <c r="K237" i="7"/>
  <c r="L238" i="7" l="1"/>
  <c r="K238" i="7"/>
  <c r="I238" i="7"/>
  <c r="D239" i="7"/>
  <c r="B238" i="7"/>
  <c r="K239" i="7" l="1"/>
  <c r="I239" i="7"/>
  <c r="L239" i="7"/>
  <c r="B239" i="7"/>
  <c r="D240" i="7"/>
  <c r="D241" i="7" l="1"/>
  <c r="B240" i="7"/>
  <c r="L240" i="7"/>
  <c r="K240" i="7"/>
  <c r="I240" i="7"/>
  <c r="I241" i="7" l="1"/>
  <c r="D242" i="7"/>
  <c r="L241" i="7"/>
  <c r="B241" i="7"/>
  <c r="K241" i="7"/>
  <c r="L242" i="7" l="1"/>
  <c r="B242" i="7"/>
  <c r="K242" i="7"/>
  <c r="I242" i="7"/>
  <c r="D243" i="7"/>
  <c r="K243" i="7" l="1"/>
  <c r="I243" i="7"/>
  <c r="D244" i="7"/>
  <c r="B243" i="7"/>
  <c r="L243" i="7"/>
  <c r="D245" i="7" l="1"/>
  <c r="B244" i="7"/>
  <c r="L244" i="7"/>
  <c r="I244" i="7"/>
  <c r="K244" i="7"/>
  <c r="I245" i="7" l="1"/>
  <c r="L245" i="7"/>
  <c r="B245" i="7"/>
  <c r="K245" i="7" s="1"/>
  <c r="D246" i="7"/>
  <c r="D247" i="7" l="1"/>
  <c r="B246" i="7"/>
  <c r="K246" i="7"/>
  <c r="L246" i="7"/>
  <c r="I246" i="7"/>
  <c r="D248" i="7" l="1"/>
  <c r="I247" i="7"/>
  <c r="L247" i="7"/>
  <c r="K247" i="7"/>
  <c r="B247" i="7"/>
  <c r="I248" i="7" l="1"/>
  <c r="B248" i="7"/>
  <c r="K248" i="7"/>
  <c r="L248" i="7"/>
  <c r="D249" i="7"/>
  <c r="K249" i="7" l="1"/>
  <c r="I249" i="7"/>
  <c r="L249" i="7"/>
  <c r="D250" i="7"/>
  <c r="B249" i="7"/>
  <c r="D251" i="7" l="1"/>
  <c r="I250" i="7"/>
  <c r="B250" i="7"/>
  <c r="K250" i="7"/>
  <c r="L250" i="7"/>
  <c r="I251" i="7" l="1"/>
  <c r="D252" i="7"/>
  <c r="L251" i="7"/>
  <c r="B251" i="7"/>
  <c r="K251" i="7"/>
  <c r="K252" i="7" l="1"/>
  <c r="I252" i="7"/>
  <c r="B252" i="7"/>
  <c r="L252" i="7"/>
  <c r="D253" i="7"/>
  <c r="D254" i="7" l="1"/>
  <c r="B253" i="7"/>
  <c r="I253" i="7"/>
  <c r="K253" i="7"/>
  <c r="L253" i="7"/>
  <c r="D255" i="7" l="1"/>
  <c r="B254" i="7"/>
  <c r="K254" i="7"/>
  <c r="I254" i="7"/>
  <c r="L254" i="7"/>
  <c r="I255" i="7" l="1"/>
  <c r="L255" i="7"/>
  <c r="K255" i="7"/>
  <c r="D256" i="7"/>
  <c r="B255" i="7"/>
  <c r="K256" i="7" l="1"/>
  <c r="I256" i="7"/>
  <c r="D257" i="7"/>
  <c r="B256" i="7"/>
  <c r="L256" i="7"/>
  <c r="L257" i="7" l="1"/>
  <c r="I257" i="7"/>
  <c r="K257" i="7"/>
  <c r="D258" i="7"/>
  <c r="B257" i="7"/>
  <c r="B258" i="7" l="1"/>
  <c r="L258" i="7"/>
  <c r="I258" i="7"/>
  <c r="D259" i="7"/>
  <c r="K258" i="7"/>
  <c r="K259" i="7" l="1"/>
  <c r="B259" i="7"/>
  <c r="L259" i="7"/>
  <c r="I259" i="7"/>
  <c r="D260" i="7"/>
  <c r="K260" i="7" l="1"/>
  <c r="L260" i="7"/>
  <c r="D261" i="7"/>
  <c r="I260" i="7"/>
  <c r="B260" i="7"/>
  <c r="I261" i="7" l="1"/>
  <c r="L261" i="7"/>
  <c r="K261" i="7"/>
  <c r="B261" i="7"/>
  <c r="D262" i="7"/>
  <c r="L262" i="7" l="1"/>
  <c r="K262" i="7"/>
  <c r="B262" i="7"/>
  <c r="I262" i="7"/>
  <c r="D263" i="7"/>
  <c r="B263" i="7" l="1"/>
  <c r="D264" i="7"/>
  <c r="L263" i="7"/>
  <c r="K263" i="7"/>
  <c r="I263" i="7"/>
  <c r="K264" i="7" l="1"/>
  <c r="L264" i="7"/>
  <c r="B264" i="7"/>
  <c r="D265" i="7"/>
  <c r="I264" i="7"/>
  <c r="D266" i="7" l="1"/>
  <c r="K265" i="7"/>
  <c r="L265" i="7"/>
  <c r="I265" i="7"/>
  <c r="B265" i="7"/>
  <c r="K266" i="7" l="1"/>
  <c r="I266" i="7"/>
  <c r="B266" i="7"/>
  <c r="D267" i="7"/>
  <c r="L266" i="7"/>
  <c r="D268" i="7" l="1"/>
  <c r="I267" i="7"/>
  <c r="L267" i="7"/>
  <c r="B267" i="7"/>
  <c r="K267" i="7" s="1"/>
  <c r="K268" i="7" l="1"/>
  <c r="B268" i="7"/>
  <c r="I268" i="7"/>
  <c r="D269" i="7"/>
  <c r="L268" i="7"/>
  <c r="D270" i="7" l="1"/>
  <c r="L269" i="7"/>
  <c r="K269" i="7"/>
  <c r="B269" i="7"/>
  <c r="I269" i="7"/>
  <c r="D271" i="7" l="1"/>
  <c r="B270" i="7"/>
  <c r="L270" i="7"/>
  <c r="K270" i="7"/>
  <c r="I270" i="7"/>
  <c r="L271" i="7" l="1"/>
  <c r="D272" i="7"/>
  <c r="B271" i="7"/>
  <c r="K271" i="7"/>
  <c r="I271" i="7"/>
  <c r="B272" i="7" l="1"/>
  <c r="D273" i="7"/>
  <c r="I272" i="7"/>
  <c r="K272" i="7"/>
  <c r="L272" i="7"/>
  <c r="I273" i="7" l="1"/>
  <c r="D274" i="7"/>
  <c r="B273" i="7"/>
  <c r="L273" i="7"/>
  <c r="K273" i="7"/>
  <c r="D275" i="7" l="1"/>
  <c r="L274" i="7"/>
  <c r="I274" i="7"/>
  <c r="B274" i="7"/>
  <c r="K274" i="7"/>
  <c r="D276" i="7" l="1"/>
  <c r="I275" i="7"/>
  <c r="B275" i="7"/>
  <c r="L275" i="7"/>
  <c r="K275" i="7"/>
  <c r="D277" i="7" l="1"/>
  <c r="K276" i="7"/>
  <c r="L276" i="7"/>
  <c r="I276" i="7"/>
  <c r="B276" i="7"/>
  <c r="B277" i="7" l="1"/>
  <c r="D278" i="7"/>
  <c r="I277" i="7"/>
  <c r="L277" i="7"/>
  <c r="K277" i="7"/>
  <c r="L278" i="7" l="1"/>
  <c r="K278" i="7"/>
  <c r="D279" i="7"/>
  <c r="B278" i="7"/>
  <c r="I278" i="7"/>
  <c r="K279" i="7" l="1"/>
  <c r="D280" i="7"/>
  <c r="B279" i="7"/>
  <c r="I279" i="7"/>
  <c r="L279" i="7"/>
  <c r="D281" i="7" l="1"/>
  <c r="K280" i="7"/>
  <c r="I280" i="7"/>
  <c r="B280" i="7"/>
  <c r="L280" i="7"/>
  <c r="B281" i="7" l="1"/>
  <c r="L281" i="7"/>
  <c r="K281" i="7"/>
  <c r="D282" i="7"/>
  <c r="I281" i="7"/>
  <c r="K282" i="7" l="1"/>
  <c r="I282" i="7"/>
  <c r="B282" i="7"/>
  <c r="D283" i="7"/>
  <c r="L282" i="7"/>
  <c r="L283" i="7" l="1"/>
  <c r="K283" i="7"/>
  <c r="I283" i="7"/>
  <c r="D284" i="7"/>
  <c r="B283" i="7"/>
  <c r="D285" i="7" l="1"/>
  <c r="L284" i="7"/>
  <c r="K284" i="7"/>
  <c r="I284" i="7"/>
  <c r="B284" i="7"/>
  <c r="D286" i="7" l="1"/>
  <c r="I285" i="7"/>
  <c r="B285" i="7"/>
  <c r="K285" i="7"/>
  <c r="L285" i="7"/>
  <c r="I286" i="7" l="1"/>
  <c r="L286" i="7"/>
  <c r="D287" i="7"/>
  <c r="B286" i="7"/>
  <c r="K286" i="7"/>
  <c r="K287" i="7" l="1"/>
  <c r="L287" i="7"/>
  <c r="I287" i="7"/>
  <c r="D288" i="7"/>
  <c r="B287" i="7"/>
  <c r="D289" i="7" l="1"/>
  <c r="B288" i="7"/>
  <c r="K288" i="7"/>
  <c r="L288" i="7"/>
  <c r="I288" i="7"/>
  <c r="D290" i="7" l="1"/>
  <c r="I289" i="7"/>
  <c r="L289" i="7"/>
  <c r="K289" i="7"/>
  <c r="B289" i="7"/>
  <c r="K290" i="7" l="1"/>
  <c r="D291" i="7"/>
  <c r="I290" i="7"/>
  <c r="L290" i="7"/>
  <c r="B290" i="7"/>
  <c r="L291" i="7" l="1"/>
  <c r="K291" i="7"/>
  <c r="D292" i="7"/>
  <c r="I291" i="7"/>
  <c r="B291" i="7"/>
  <c r="B292" i="7" l="1"/>
  <c r="K292" i="7"/>
  <c r="D293" i="7"/>
  <c r="L292" i="7"/>
  <c r="I292" i="7"/>
  <c r="D294" i="7" l="1"/>
  <c r="I293" i="7"/>
  <c r="L293" i="7"/>
  <c r="K293" i="7"/>
  <c r="B293" i="7"/>
  <c r="K294" i="7" l="1"/>
  <c r="I294" i="7"/>
  <c r="D295" i="7"/>
  <c r="B294" i="7"/>
  <c r="L294" i="7"/>
  <c r="K295" i="7" l="1"/>
  <c r="L295" i="7"/>
  <c r="B295" i="7"/>
  <c r="D296" i="7"/>
  <c r="I295" i="7"/>
  <c r="D297" i="7" l="1"/>
  <c r="B296" i="7"/>
  <c r="K296" i="7"/>
  <c r="L296" i="7"/>
  <c r="I296" i="7"/>
  <c r="D298" i="7" l="1"/>
  <c r="I297" i="7"/>
  <c r="B297" i="7"/>
  <c r="L297" i="7"/>
  <c r="K297" i="7"/>
  <c r="I298" i="7" l="1"/>
  <c r="B298" i="7"/>
  <c r="L298" i="7"/>
  <c r="K298" i="7"/>
  <c r="D299" i="7"/>
  <c r="K299" i="7" l="1"/>
  <c r="B299" i="7"/>
  <c r="L299" i="7"/>
  <c r="I299" i="7"/>
  <c r="D300" i="7"/>
  <c r="D301" i="7" l="1"/>
  <c r="B300" i="7"/>
  <c r="I300" i="7"/>
  <c r="K300" i="7"/>
  <c r="L300" i="7"/>
  <c r="D302" i="7" l="1"/>
  <c r="B301" i="7"/>
  <c r="L301" i="7"/>
  <c r="K301" i="7"/>
  <c r="I301" i="7"/>
  <c r="I302" i="7" l="1"/>
  <c r="K302" i="7"/>
  <c r="B302" i="7"/>
  <c r="L302" i="7"/>
  <c r="D303" i="7"/>
  <c r="L303" i="7" l="1"/>
  <c r="K303" i="7"/>
  <c r="B303" i="7"/>
  <c r="D304" i="7"/>
  <c r="I303" i="7"/>
  <c r="D305" i="7" l="1"/>
  <c r="B304" i="7"/>
  <c r="I304" i="7"/>
  <c r="L304" i="7"/>
  <c r="K304" i="7"/>
  <c r="B305" i="7" l="1"/>
  <c r="K305" i="7"/>
  <c r="D306" i="7"/>
  <c r="I305" i="7"/>
  <c r="L305" i="7"/>
  <c r="I306" i="7" l="1"/>
  <c r="D307" i="7"/>
  <c r="B306" i="7"/>
  <c r="K306" i="7"/>
  <c r="L306" i="7"/>
  <c r="L307" i="7" l="1"/>
  <c r="K307" i="7"/>
  <c r="B307" i="7"/>
  <c r="I307" i="7"/>
  <c r="D308" i="7"/>
  <c r="B308" i="7" l="1"/>
  <c r="L308" i="7"/>
  <c r="K308" i="7"/>
  <c r="D309" i="7"/>
  <c r="I308" i="7"/>
  <c r="B309" i="7" l="1"/>
  <c r="D310" i="7"/>
  <c r="I309" i="7"/>
  <c r="K309" i="7"/>
  <c r="L309" i="7"/>
  <c r="D311" i="7" l="1"/>
  <c r="B310" i="7"/>
  <c r="I310" i="7"/>
  <c r="L310" i="7"/>
  <c r="K310" i="7"/>
  <c r="I311" i="7" l="1"/>
  <c r="D312" i="7"/>
  <c r="B311" i="7"/>
  <c r="L311" i="7"/>
  <c r="K311" i="7"/>
  <c r="L312" i="7" l="1"/>
  <c r="K312" i="7"/>
  <c r="I312" i="7"/>
  <c r="D313" i="7"/>
  <c r="B312" i="7"/>
  <c r="K313" i="7" l="1"/>
  <c r="L313" i="7"/>
  <c r="I313" i="7"/>
  <c r="D314" i="7"/>
  <c r="B313" i="7"/>
  <c r="I314" i="7" l="1"/>
  <c r="D315" i="7"/>
  <c r="B314" i="7"/>
  <c r="L314" i="7"/>
  <c r="K314" i="7"/>
  <c r="I315" i="7" l="1"/>
  <c r="D316" i="7"/>
  <c r="B315" i="7"/>
  <c r="L315" i="7"/>
  <c r="K315" i="7"/>
  <c r="D317" i="7" l="1"/>
  <c r="L316" i="7"/>
  <c r="K316" i="7"/>
  <c r="I316" i="7"/>
  <c r="B316" i="7"/>
  <c r="K317" i="7" l="1"/>
  <c r="I317" i="7"/>
  <c r="D318" i="7"/>
  <c r="B317" i="7"/>
  <c r="L317" i="7"/>
  <c r="D319" i="7" l="1"/>
  <c r="L318" i="7"/>
  <c r="I318" i="7"/>
  <c r="B318" i="7"/>
  <c r="K318" i="7"/>
  <c r="L319" i="7" l="1"/>
  <c r="I319" i="7"/>
  <c r="D320" i="7"/>
  <c r="B319" i="7"/>
  <c r="K319" i="7"/>
  <c r="L320" i="7" l="1"/>
  <c r="K320" i="7"/>
  <c r="B320" i="7"/>
  <c r="D321" i="7"/>
  <c r="I320" i="7"/>
  <c r="L321" i="7" l="1"/>
  <c r="K321" i="7"/>
  <c r="I321" i="7"/>
  <c r="D322" i="7"/>
  <c r="B321" i="7"/>
  <c r="D323" i="7" l="1"/>
  <c r="B322" i="7"/>
  <c r="L322" i="7"/>
  <c r="K322" i="7"/>
  <c r="I322" i="7"/>
  <c r="I323" i="7" l="1"/>
  <c r="B323" i="7"/>
  <c r="L323" i="7"/>
  <c r="K323" i="7"/>
  <c r="D324" i="7"/>
  <c r="L324" i="7" l="1"/>
  <c r="B324" i="7"/>
  <c r="K324" i="7"/>
  <c r="I324" i="7"/>
  <c r="D325" i="7"/>
  <c r="K325" i="7" l="1"/>
  <c r="I325" i="7"/>
  <c r="B325" i="7"/>
  <c r="D326" i="7"/>
  <c r="L325" i="7"/>
  <c r="D327" i="7" l="1"/>
  <c r="I326" i="7"/>
  <c r="B326" i="7"/>
  <c r="L326" i="7"/>
  <c r="K326" i="7"/>
  <c r="I327" i="7" l="1"/>
  <c r="D328" i="7"/>
  <c r="B327" i="7"/>
  <c r="L327" i="7"/>
  <c r="K327" i="7"/>
  <c r="L328" i="7" l="1"/>
  <c r="K328" i="7"/>
  <c r="I328" i="7"/>
  <c r="D329" i="7"/>
  <c r="B328" i="7"/>
  <c r="D330" i="7" l="1"/>
  <c r="L329" i="7"/>
  <c r="I329" i="7"/>
  <c r="B329" i="7"/>
  <c r="K329" i="7" s="1"/>
  <c r="D331" i="7" l="1"/>
  <c r="B330" i="7"/>
  <c r="L330" i="7"/>
  <c r="I330" i="7"/>
  <c r="K330" i="7"/>
  <c r="D332" i="7" l="1"/>
  <c r="B331" i="7"/>
  <c r="L331" i="7"/>
  <c r="K331" i="7"/>
  <c r="I331" i="7"/>
  <c r="L332" i="7" l="1"/>
  <c r="K332" i="7"/>
  <c r="I332" i="7"/>
  <c r="D333" i="7"/>
  <c r="B332" i="7"/>
  <c r="K333" i="7" l="1"/>
  <c r="L333" i="7"/>
  <c r="I333" i="7"/>
  <c r="D334" i="7"/>
  <c r="B333" i="7"/>
  <c r="D335" i="7" l="1"/>
  <c r="B334" i="7"/>
  <c r="L334" i="7"/>
  <c r="K334" i="7"/>
  <c r="I334" i="7"/>
  <c r="I335" i="7" l="1"/>
  <c r="D336" i="7"/>
  <c r="B335" i="7"/>
  <c r="L335" i="7"/>
  <c r="K335" i="7"/>
  <c r="L336" i="7" l="1"/>
  <c r="K336" i="7"/>
  <c r="B336" i="7"/>
  <c r="I336" i="7"/>
  <c r="D337" i="7"/>
  <c r="L337" i="7" l="1"/>
  <c r="K337" i="7"/>
  <c r="D338" i="7"/>
  <c r="B337" i="7"/>
  <c r="I337" i="7"/>
  <c r="L338" i="7" l="1"/>
  <c r="K338" i="7"/>
  <c r="D339" i="7"/>
  <c r="I338" i="7"/>
  <c r="B338" i="7"/>
  <c r="D340" i="7" l="1"/>
  <c r="B339" i="7"/>
  <c r="K339" i="7"/>
  <c r="I339" i="7"/>
  <c r="L339" i="7"/>
  <c r="L340" i="7" l="1"/>
  <c r="D341" i="7"/>
  <c r="B340" i="7"/>
  <c r="K340" i="7"/>
  <c r="I340" i="7"/>
  <c r="L341" i="7" l="1"/>
  <c r="K341" i="7"/>
  <c r="B341" i="7"/>
  <c r="D342" i="7"/>
  <c r="I341" i="7"/>
  <c r="D343" i="7" l="1"/>
  <c r="L342" i="7"/>
  <c r="K342" i="7"/>
  <c r="B342" i="7"/>
  <c r="I342" i="7"/>
  <c r="I343" i="7" l="1"/>
  <c r="D344" i="7"/>
  <c r="L343" i="7"/>
  <c r="B343" i="7"/>
  <c r="K343" i="7"/>
  <c r="K344" i="7" l="1"/>
  <c r="I344" i="7"/>
  <c r="D345" i="7"/>
  <c r="B344" i="7"/>
  <c r="L344" i="7"/>
  <c r="L345" i="7" l="1"/>
  <c r="I345" i="7"/>
  <c r="D346" i="7"/>
  <c r="B345" i="7"/>
  <c r="K345" i="7"/>
  <c r="B346" i="7" l="1"/>
  <c r="I346" i="7"/>
  <c r="D347" i="7"/>
  <c r="L346" i="7"/>
  <c r="K346" i="7"/>
  <c r="I347" i="7" l="1"/>
  <c r="D348" i="7"/>
  <c r="B347" i="7"/>
  <c r="L347" i="7"/>
  <c r="K347" i="7"/>
  <c r="L348" i="7" l="1"/>
  <c r="K348" i="7"/>
  <c r="I348" i="7"/>
  <c r="D349" i="7"/>
  <c r="B348" i="7"/>
  <c r="L349" i="7" l="1"/>
  <c r="K349" i="7"/>
  <c r="D350" i="7"/>
  <c r="I349" i="7"/>
  <c r="B349" i="7"/>
  <c r="K350" i="7" l="1"/>
  <c r="D351" i="7"/>
  <c r="L350" i="7"/>
  <c r="B350" i="7"/>
  <c r="I350" i="7"/>
  <c r="I351" i="7" l="1"/>
  <c r="D352" i="7"/>
  <c r="K351" i="7"/>
  <c r="B351" i="7"/>
  <c r="L351" i="7"/>
  <c r="L352" i="7" l="1"/>
  <c r="K352" i="7"/>
  <c r="B352" i="7"/>
  <c r="I352" i="7"/>
  <c r="D353" i="7"/>
  <c r="L353" i="7" l="1"/>
  <c r="K353" i="7"/>
  <c r="B353" i="7"/>
  <c r="I353" i="7"/>
  <c r="D354" i="7"/>
  <c r="D355" i="7" l="1"/>
  <c r="B354" i="7"/>
  <c r="I354" i="7"/>
  <c r="L354" i="7"/>
  <c r="K354" i="7"/>
  <c r="I355" i="7" l="1"/>
  <c r="D356" i="7"/>
  <c r="B355" i="7"/>
  <c r="L355" i="7"/>
  <c r="K355" i="7"/>
  <c r="L356" i="7" l="1"/>
  <c r="K356" i="7"/>
  <c r="I356" i="7"/>
  <c r="B356" i="7"/>
  <c r="D357" i="7"/>
  <c r="K357" i="7" l="1"/>
  <c r="B357" i="7"/>
  <c r="D358" i="7"/>
  <c r="L357" i="7"/>
  <c r="I357" i="7"/>
  <c r="D359" i="7" l="1"/>
  <c r="B358" i="7"/>
  <c r="K358" i="7" s="1"/>
  <c r="L358" i="7"/>
  <c r="I358" i="7"/>
  <c r="K359" i="7" l="1"/>
  <c r="I359" i="7"/>
  <c r="D360" i="7"/>
  <c r="B359" i="7"/>
  <c r="L359" i="7"/>
  <c r="L360" i="7" l="1"/>
  <c r="K360" i="7"/>
  <c r="D361" i="7"/>
  <c r="I360" i="7"/>
  <c r="B360" i="7"/>
  <c r="K361" i="7" l="1"/>
  <c r="B361" i="7"/>
  <c r="D362" i="7"/>
  <c r="L361" i="7"/>
  <c r="I361" i="7"/>
  <c r="D363" i="7" l="1"/>
  <c r="B362" i="7"/>
  <c r="K362" i="7"/>
  <c r="L362" i="7"/>
  <c r="I362" i="7"/>
  <c r="I363" i="7" l="1"/>
  <c r="B363" i="7"/>
  <c r="K363" i="7" s="1"/>
  <c r="L363" i="7"/>
  <c r="D364" i="7"/>
  <c r="L364" i="7" l="1"/>
  <c r="K364" i="7"/>
  <c r="B364" i="7"/>
  <c r="I364" i="7"/>
  <c r="D365" i="7"/>
  <c r="I365" i="7" l="1"/>
  <c r="D366" i="7"/>
  <c r="B365" i="7"/>
  <c r="L365" i="7"/>
  <c r="K365" i="7"/>
  <c r="I366" i="7" l="1"/>
  <c r="D367" i="7"/>
  <c r="B366" i="7"/>
  <c r="L366" i="7"/>
  <c r="K366" i="7"/>
  <c r="I367" i="7" l="1"/>
  <c r="D368" i="7"/>
  <c r="B367" i="7"/>
  <c r="K367" i="7"/>
  <c r="L367" i="7"/>
  <c r="L368" i="7" l="1"/>
  <c r="K368" i="7"/>
  <c r="I368" i="7"/>
  <c r="D369" i="7"/>
  <c r="B368" i="7"/>
  <c r="L369" i="7" l="1"/>
  <c r="K369" i="7"/>
  <c r="I369" i="7"/>
  <c r="D370" i="7"/>
  <c r="B369" i="7"/>
  <c r="D371" i="7" l="1"/>
  <c r="B370" i="7"/>
  <c r="L370" i="7"/>
  <c r="I370" i="7"/>
  <c r="K370" i="7"/>
  <c r="B371" i="7" l="1"/>
  <c r="L371" i="7"/>
  <c r="I371" i="7"/>
  <c r="D372" i="7"/>
  <c r="K371" i="7"/>
  <c r="D373" i="7" l="1"/>
  <c r="L372" i="7"/>
  <c r="K372" i="7"/>
  <c r="I372" i="7"/>
  <c r="B372" i="7"/>
  <c r="I373" i="7" l="1"/>
  <c r="D374" i="7"/>
  <c r="B373" i="7"/>
  <c r="K373" i="7" s="1"/>
  <c r="L373" i="7"/>
  <c r="I374" i="7" l="1"/>
  <c r="B374" i="7"/>
  <c r="K374" i="7"/>
  <c r="D375" i="7"/>
  <c r="L374" i="7"/>
  <c r="K375" i="7" l="1"/>
  <c r="I375" i="7"/>
  <c r="D376" i="7"/>
  <c r="B375" i="7"/>
  <c r="L375" i="7"/>
  <c r="L376" i="7" l="1"/>
  <c r="I376" i="7"/>
  <c r="K376" i="7"/>
  <c r="B376" i="7"/>
  <c r="D377" i="7"/>
  <c r="D378" i="7" l="1"/>
  <c r="I377" i="7"/>
  <c r="B377" i="7"/>
  <c r="K377" i="7"/>
  <c r="L377" i="7"/>
  <c r="D379" i="7" l="1"/>
  <c r="B378" i="7"/>
  <c r="L378" i="7"/>
  <c r="K378" i="7"/>
  <c r="I378" i="7"/>
  <c r="K379" i="7" l="1"/>
  <c r="I379" i="7"/>
  <c r="D380" i="7"/>
  <c r="B379" i="7"/>
  <c r="L379" i="7"/>
  <c r="L380" i="7" l="1"/>
  <c r="I380" i="7"/>
  <c r="K380" i="7"/>
  <c r="D381" i="7"/>
  <c r="B380" i="7"/>
  <c r="D382" i="7" l="1"/>
  <c r="I381" i="7"/>
  <c r="B381" i="7"/>
  <c r="L381" i="7"/>
  <c r="K381" i="7"/>
  <c r="I382" i="7" l="1"/>
  <c r="B382" i="7"/>
  <c r="K382" i="7"/>
  <c r="D383" i="7"/>
  <c r="L382" i="7"/>
  <c r="D363" i="6"/>
  <c r="D364" i="6" s="1"/>
  <c r="D365" i="6" s="1"/>
  <c r="D366" i="6" s="1"/>
  <c r="D367" i="6" s="1"/>
  <c r="G362" i="6"/>
  <c r="D362" i="6"/>
  <c r="B362" i="6"/>
  <c r="B363" i="6" s="1"/>
  <c r="G361" i="6"/>
  <c r="J357" i="6"/>
  <c r="J358" i="6" s="1"/>
  <c r="J359" i="6" s="1"/>
  <c r="J360" i="6" s="1"/>
  <c r="J361" i="6" s="1"/>
  <c r="J362" i="6" s="1"/>
  <c r="J363" i="6" s="1"/>
  <c r="J364" i="6" s="1"/>
  <c r="J365" i="6" s="1"/>
  <c r="J366" i="6" s="1"/>
  <c r="J367" i="6" s="1"/>
  <c r="J340" i="6"/>
  <c r="J341" i="6" s="1"/>
  <c r="J342" i="6" s="1"/>
  <c r="J343" i="6" s="1"/>
  <c r="J344" i="6" s="1"/>
  <c r="J345" i="6" s="1"/>
  <c r="J346" i="6" s="1"/>
  <c r="J347" i="6" s="1"/>
  <c r="J348" i="6" s="1"/>
  <c r="J349" i="6" s="1"/>
  <c r="J350" i="6" s="1"/>
  <c r="J351" i="6" s="1"/>
  <c r="J352" i="6" s="1"/>
  <c r="J353" i="6" s="1"/>
  <c r="J354" i="6" s="1"/>
  <c r="J355" i="6" s="1"/>
  <c r="J356" i="6" s="1"/>
  <c r="J339" i="6"/>
  <c r="D339" i="6"/>
  <c r="D340" i="6" s="1"/>
  <c r="D341" i="6" s="1"/>
  <c r="D342" i="6" s="1"/>
  <c r="D343" i="6" s="1"/>
  <c r="D344" i="6" s="1"/>
  <c r="D345" i="6" s="1"/>
  <c r="D346" i="6" s="1"/>
  <c r="D347" i="6" s="1"/>
  <c r="D348" i="6" s="1"/>
  <c r="D349" i="6" s="1"/>
  <c r="D350" i="6" s="1"/>
  <c r="D351" i="6" s="1"/>
  <c r="D352" i="6" s="1"/>
  <c r="D353" i="6" s="1"/>
  <c r="D354" i="6" s="1"/>
  <c r="D355" i="6" s="1"/>
  <c r="D356" i="6" s="1"/>
  <c r="D357" i="6" s="1"/>
  <c r="D358" i="6" s="1"/>
  <c r="D359" i="6" s="1"/>
  <c r="D360" i="6" s="1"/>
  <c r="J338" i="6"/>
  <c r="I338" i="6"/>
  <c r="D338" i="6"/>
  <c r="B338" i="6"/>
  <c r="L337" i="6"/>
  <c r="G337" i="6"/>
  <c r="D337" i="6"/>
  <c r="B337" i="6"/>
  <c r="G336" i="6"/>
  <c r="J309" i="6"/>
  <c r="J310" i="6" s="1"/>
  <c r="J311" i="6" s="1"/>
  <c r="J312" i="6" s="1"/>
  <c r="J313" i="6" s="1"/>
  <c r="J314" i="6" s="1"/>
  <c r="J315" i="6" s="1"/>
  <c r="J316" i="6" s="1"/>
  <c r="J317" i="6" s="1"/>
  <c r="J318" i="6" s="1"/>
  <c r="J319" i="6" s="1"/>
  <c r="J320" i="6" s="1"/>
  <c r="J321" i="6" s="1"/>
  <c r="J322" i="6" s="1"/>
  <c r="J323" i="6" s="1"/>
  <c r="J324" i="6" s="1"/>
  <c r="J325" i="6" s="1"/>
  <c r="J326" i="6" s="1"/>
  <c r="J327" i="6" s="1"/>
  <c r="J328" i="6" s="1"/>
  <c r="J329" i="6" s="1"/>
  <c r="J330" i="6" s="1"/>
  <c r="J331" i="6" s="1"/>
  <c r="J332" i="6" s="1"/>
  <c r="J333" i="6" s="1"/>
  <c r="J334" i="6" s="1"/>
  <c r="J335" i="6" s="1"/>
  <c r="J336" i="6" s="1"/>
  <c r="J308" i="6"/>
  <c r="I308" i="6"/>
  <c r="L307" i="6"/>
  <c r="J284" i="6"/>
  <c r="J285" i="6" s="1"/>
  <c r="J286" i="6" s="1"/>
  <c r="J287" i="6" s="1"/>
  <c r="J288" i="6" s="1"/>
  <c r="J289" i="6" s="1"/>
  <c r="J290" i="6" s="1"/>
  <c r="J291" i="6" s="1"/>
  <c r="J292" i="6" s="1"/>
  <c r="J293" i="6" s="1"/>
  <c r="J294" i="6" s="1"/>
  <c r="J295" i="6" s="1"/>
  <c r="J296" i="6" s="1"/>
  <c r="J297" i="6" s="1"/>
  <c r="J298" i="6" s="1"/>
  <c r="J299" i="6" s="1"/>
  <c r="J300" i="6" s="1"/>
  <c r="J301" i="6" s="1"/>
  <c r="J302" i="6" s="1"/>
  <c r="J303" i="6" s="1"/>
  <c r="J304" i="6" s="1"/>
  <c r="J305" i="6" s="1"/>
  <c r="J306" i="6" s="1"/>
  <c r="J280" i="6"/>
  <c r="J281" i="6" s="1"/>
  <c r="J282" i="6" s="1"/>
  <c r="J283" i="6" s="1"/>
  <c r="J279" i="6"/>
  <c r="J278" i="6"/>
  <c r="I278" i="6"/>
  <c r="L277" i="6"/>
  <c r="J277" i="6"/>
  <c r="I277" i="6"/>
  <c r="L276" i="6"/>
  <c r="J269" i="6"/>
  <c r="J270" i="6" s="1"/>
  <c r="J271" i="6" s="1"/>
  <c r="J272" i="6" s="1"/>
  <c r="J273" i="6" s="1"/>
  <c r="J274" i="6" s="1"/>
  <c r="J275" i="6" s="1"/>
  <c r="J247" i="6"/>
  <c r="J248" i="6" s="1"/>
  <c r="J249" i="6" s="1"/>
  <c r="J250" i="6" s="1"/>
  <c r="J251" i="6" s="1"/>
  <c r="J252" i="6" s="1"/>
  <c r="J253" i="6" s="1"/>
  <c r="J254" i="6" s="1"/>
  <c r="J255" i="6" s="1"/>
  <c r="J256" i="6" s="1"/>
  <c r="J257" i="6" s="1"/>
  <c r="J258" i="6" s="1"/>
  <c r="J259" i="6" s="1"/>
  <c r="J260" i="6" s="1"/>
  <c r="J261" i="6" s="1"/>
  <c r="J262" i="6" s="1"/>
  <c r="J263" i="6" s="1"/>
  <c r="J264" i="6" s="1"/>
  <c r="J265" i="6" s="1"/>
  <c r="J266" i="6" s="1"/>
  <c r="J267" i="6" s="1"/>
  <c r="J268" i="6" s="1"/>
  <c r="I247" i="6"/>
  <c r="I248" i="6" s="1"/>
  <c r="L246" i="6"/>
  <c r="J216" i="6"/>
  <c r="J217" i="6" s="1"/>
  <c r="J218" i="6" s="1"/>
  <c r="J219" i="6" s="1"/>
  <c r="J220" i="6" s="1"/>
  <c r="J221" i="6" s="1"/>
  <c r="J222" i="6" s="1"/>
  <c r="J223" i="6" s="1"/>
  <c r="J224" i="6" s="1"/>
  <c r="J225" i="6" s="1"/>
  <c r="J226" i="6" s="1"/>
  <c r="J227" i="6" s="1"/>
  <c r="J228" i="6" s="1"/>
  <c r="J229" i="6" s="1"/>
  <c r="J230" i="6" s="1"/>
  <c r="J231" i="6" s="1"/>
  <c r="J232" i="6" s="1"/>
  <c r="J233" i="6" s="1"/>
  <c r="J234" i="6" s="1"/>
  <c r="J235" i="6" s="1"/>
  <c r="J236" i="6" s="1"/>
  <c r="J237" i="6" s="1"/>
  <c r="J238" i="6" s="1"/>
  <c r="J239" i="6" s="1"/>
  <c r="J240" i="6" s="1"/>
  <c r="J241" i="6" s="1"/>
  <c r="J242" i="6" s="1"/>
  <c r="J243" i="6" s="1"/>
  <c r="J244" i="6" s="1"/>
  <c r="J245" i="6" s="1"/>
  <c r="I216" i="6"/>
  <c r="L215" i="6"/>
  <c r="J189" i="6"/>
  <c r="J190" i="6" s="1"/>
  <c r="J191" i="6" s="1"/>
  <c r="J192" i="6" s="1"/>
  <c r="J193" i="6" s="1"/>
  <c r="J194" i="6" s="1"/>
  <c r="J195" i="6" s="1"/>
  <c r="J196" i="6" s="1"/>
  <c r="J197" i="6" s="1"/>
  <c r="J198" i="6" s="1"/>
  <c r="J199" i="6" s="1"/>
  <c r="J200" i="6" s="1"/>
  <c r="J201" i="6" s="1"/>
  <c r="J202" i="6" s="1"/>
  <c r="J203" i="6" s="1"/>
  <c r="J204" i="6" s="1"/>
  <c r="J205" i="6" s="1"/>
  <c r="J206" i="6" s="1"/>
  <c r="J207" i="6" s="1"/>
  <c r="J208" i="6" s="1"/>
  <c r="J209" i="6" s="1"/>
  <c r="J210" i="6" s="1"/>
  <c r="J211" i="6" s="1"/>
  <c r="J212" i="6" s="1"/>
  <c r="J213" i="6" s="1"/>
  <c r="J214" i="6" s="1"/>
  <c r="J186" i="6"/>
  <c r="J187" i="6" s="1"/>
  <c r="J188" i="6" s="1"/>
  <c r="J185" i="6"/>
  <c r="I185" i="6"/>
  <c r="L184" i="6"/>
  <c r="D168" i="6"/>
  <c r="D169" i="6" s="1"/>
  <c r="D170" i="6" s="1"/>
  <c r="D171" i="6" s="1"/>
  <c r="D172" i="6" s="1"/>
  <c r="D173" i="6" s="1"/>
  <c r="D174" i="6" s="1"/>
  <c r="D175" i="6" s="1"/>
  <c r="D176" i="6" s="1"/>
  <c r="D177" i="6" s="1"/>
  <c r="D178" i="6" s="1"/>
  <c r="D179" i="6" s="1"/>
  <c r="D180" i="6" s="1"/>
  <c r="D181" i="6" s="1"/>
  <c r="D182" i="6" s="1"/>
  <c r="D183" i="6" s="1"/>
  <c r="D184" i="6" s="1"/>
  <c r="D185" i="6" s="1"/>
  <c r="D186" i="6" s="1"/>
  <c r="D187" i="6" s="1"/>
  <c r="D188" i="6" s="1"/>
  <c r="D189" i="6" s="1"/>
  <c r="D190" i="6" s="1"/>
  <c r="D191" i="6" s="1"/>
  <c r="D192" i="6" s="1"/>
  <c r="D193" i="6" s="1"/>
  <c r="D194" i="6" s="1"/>
  <c r="D195" i="6" s="1"/>
  <c r="D196" i="6" s="1"/>
  <c r="D197" i="6" s="1"/>
  <c r="D198" i="6" s="1"/>
  <c r="D199" i="6" s="1"/>
  <c r="D200" i="6" s="1"/>
  <c r="D201" i="6" s="1"/>
  <c r="D202" i="6" s="1"/>
  <c r="D203" i="6" s="1"/>
  <c r="D204" i="6" s="1"/>
  <c r="D205" i="6" s="1"/>
  <c r="D206" i="6" s="1"/>
  <c r="D207" i="6" s="1"/>
  <c r="D208" i="6" s="1"/>
  <c r="D209" i="6" s="1"/>
  <c r="D210" i="6" s="1"/>
  <c r="D211" i="6" s="1"/>
  <c r="D212" i="6" s="1"/>
  <c r="D213" i="6" s="1"/>
  <c r="D214" i="6" s="1"/>
  <c r="D215" i="6" s="1"/>
  <c r="D216" i="6" s="1"/>
  <c r="D217" i="6" s="1"/>
  <c r="D218" i="6" s="1"/>
  <c r="D219" i="6" s="1"/>
  <c r="D220" i="6" s="1"/>
  <c r="D221" i="6" s="1"/>
  <c r="D222" i="6" s="1"/>
  <c r="D223" i="6" s="1"/>
  <c r="D224" i="6" s="1"/>
  <c r="D225" i="6" s="1"/>
  <c r="D226" i="6" s="1"/>
  <c r="D227" i="6" s="1"/>
  <c r="D228" i="6" s="1"/>
  <c r="D229" i="6" s="1"/>
  <c r="D230" i="6" s="1"/>
  <c r="D231" i="6" s="1"/>
  <c r="D232" i="6" s="1"/>
  <c r="D233" i="6" s="1"/>
  <c r="D234" i="6" s="1"/>
  <c r="D235" i="6" s="1"/>
  <c r="D236" i="6" s="1"/>
  <c r="D237" i="6" s="1"/>
  <c r="D238" i="6" s="1"/>
  <c r="D239" i="6" s="1"/>
  <c r="D240" i="6" s="1"/>
  <c r="D241" i="6" s="1"/>
  <c r="D242" i="6" s="1"/>
  <c r="D243" i="6" s="1"/>
  <c r="D244" i="6" s="1"/>
  <c r="D245" i="6" s="1"/>
  <c r="D246" i="6" s="1"/>
  <c r="D247" i="6" s="1"/>
  <c r="D248" i="6" s="1"/>
  <c r="D249" i="6" s="1"/>
  <c r="D250" i="6" s="1"/>
  <c r="D251" i="6" s="1"/>
  <c r="D252" i="6" s="1"/>
  <c r="D253" i="6" s="1"/>
  <c r="D254" i="6" s="1"/>
  <c r="D255" i="6" s="1"/>
  <c r="D256" i="6" s="1"/>
  <c r="D257" i="6" s="1"/>
  <c r="D258" i="6" s="1"/>
  <c r="D259" i="6" s="1"/>
  <c r="D260" i="6" s="1"/>
  <c r="D261" i="6" s="1"/>
  <c r="D262" i="6" s="1"/>
  <c r="D263" i="6" s="1"/>
  <c r="D264" i="6" s="1"/>
  <c r="D265" i="6" s="1"/>
  <c r="D266" i="6" s="1"/>
  <c r="D267" i="6" s="1"/>
  <c r="D268" i="6" s="1"/>
  <c r="D269" i="6" s="1"/>
  <c r="D270" i="6" s="1"/>
  <c r="D271" i="6" s="1"/>
  <c r="D272" i="6" s="1"/>
  <c r="D273" i="6" s="1"/>
  <c r="D274" i="6" s="1"/>
  <c r="D275" i="6" s="1"/>
  <c r="D276" i="6" s="1"/>
  <c r="D277" i="6" s="1"/>
  <c r="D278" i="6" s="1"/>
  <c r="D279" i="6" s="1"/>
  <c r="D280" i="6" s="1"/>
  <c r="D281" i="6" s="1"/>
  <c r="D282" i="6" s="1"/>
  <c r="D283" i="6" s="1"/>
  <c r="D284" i="6" s="1"/>
  <c r="D285" i="6" s="1"/>
  <c r="D286" i="6" s="1"/>
  <c r="D287" i="6" s="1"/>
  <c r="D288" i="6" s="1"/>
  <c r="D289" i="6" s="1"/>
  <c r="D290" i="6" s="1"/>
  <c r="D291" i="6" s="1"/>
  <c r="D292" i="6" s="1"/>
  <c r="D293" i="6" s="1"/>
  <c r="D294" i="6" s="1"/>
  <c r="D295" i="6" s="1"/>
  <c r="D296" i="6" s="1"/>
  <c r="D297" i="6" s="1"/>
  <c r="D298" i="6" s="1"/>
  <c r="D299" i="6" s="1"/>
  <c r="D300" i="6" s="1"/>
  <c r="D301" i="6" s="1"/>
  <c r="D302" i="6" s="1"/>
  <c r="D303" i="6" s="1"/>
  <c r="D304" i="6" s="1"/>
  <c r="D305" i="6" s="1"/>
  <c r="D306" i="6" s="1"/>
  <c r="D307" i="6" s="1"/>
  <c r="D308" i="6" s="1"/>
  <c r="D309" i="6" s="1"/>
  <c r="D310" i="6" s="1"/>
  <c r="D311" i="6" s="1"/>
  <c r="D312" i="6" s="1"/>
  <c r="D313" i="6" s="1"/>
  <c r="D314" i="6" s="1"/>
  <c r="D315" i="6" s="1"/>
  <c r="D316" i="6" s="1"/>
  <c r="D317" i="6" s="1"/>
  <c r="D318" i="6" s="1"/>
  <c r="D319" i="6" s="1"/>
  <c r="D320" i="6" s="1"/>
  <c r="D321" i="6" s="1"/>
  <c r="D322" i="6" s="1"/>
  <c r="D323" i="6" s="1"/>
  <c r="D324" i="6" s="1"/>
  <c r="D325" i="6" s="1"/>
  <c r="D326" i="6" s="1"/>
  <c r="D327" i="6" s="1"/>
  <c r="D328" i="6" s="1"/>
  <c r="D329" i="6" s="1"/>
  <c r="D330" i="6" s="1"/>
  <c r="D331" i="6" s="1"/>
  <c r="D332" i="6" s="1"/>
  <c r="D333" i="6" s="1"/>
  <c r="D334" i="6" s="1"/>
  <c r="D335" i="6" s="1"/>
  <c r="D163" i="6"/>
  <c r="D164" i="6" s="1"/>
  <c r="D165" i="6" s="1"/>
  <c r="D166" i="6" s="1"/>
  <c r="D167" i="6" s="1"/>
  <c r="B163" i="6"/>
  <c r="D162" i="6"/>
  <c r="G162" i="6" s="1"/>
  <c r="J161" i="6"/>
  <c r="J162" i="6" s="1"/>
  <c r="J163" i="6" s="1"/>
  <c r="J164" i="6" s="1"/>
  <c r="J165" i="6" s="1"/>
  <c r="J166" i="6" s="1"/>
  <c r="J167" i="6" s="1"/>
  <c r="J168" i="6" s="1"/>
  <c r="J169" i="6" s="1"/>
  <c r="J170" i="6" s="1"/>
  <c r="J171" i="6" s="1"/>
  <c r="J172" i="6" s="1"/>
  <c r="J173" i="6" s="1"/>
  <c r="J174" i="6" s="1"/>
  <c r="J175" i="6" s="1"/>
  <c r="J176" i="6" s="1"/>
  <c r="J177" i="6" s="1"/>
  <c r="J178" i="6" s="1"/>
  <c r="J179" i="6" s="1"/>
  <c r="J180" i="6" s="1"/>
  <c r="J181" i="6" s="1"/>
  <c r="J182" i="6" s="1"/>
  <c r="J183" i="6" s="1"/>
  <c r="G161" i="6"/>
  <c r="J160" i="6"/>
  <c r="L156" i="6"/>
  <c r="I156" i="6"/>
  <c r="I157" i="6" s="1"/>
  <c r="L155" i="6"/>
  <c r="J155" i="6"/>
  <c r="J156" i="6" s="1"/>
  <c r="J157" i="6" s="1"/>
  <c r="J158" i="6" s="1"/>
  <c r="J159" i="6" s="1"/>
  <c r="I155" i="6"/>
  <c r="L154" i="6"/>
  <c r="L125" i="6"/>
  <c r="J125" i="6"/>
  <c r="J126" i="6" s="1"/>
  <c r="J127" i="6" s="1"/>
  <c r="J128" i="6" s="1"/>
  <c r="J129" i="6" s="1"/>
  <c r="J130" i="6" s="1"/>
  <c r="J131" i="6" s="1"/>
  <c r="J132" i="6" s="1"/>
  <c r="J133" i="6" s="1"/>
  <c r="J134" i="6" s="1"/>
  <c r="J135" i="6" s="1"/>
  <c r="J136" i="6" s="1"/>
  <c r="J137" i="6" s="1"/>
  <c r="J138" i="6" s="1"/>
  <c r="J139" i="6" s="1"/>
  <c r="J140" i="6" s="1"/>
  <c r="J141" i="6" s="1"/>
  <c r="J142" i="6" s="1"/>
  <c r="J143" i="6" s="1"/>
  <c r="J144" i="6" s="1"/>
  <c r="J145" i="6" s="1"/>
  <c r="J146" i="6" s="1"/>
  <c r="J147" i="6" s="1"/>
  <c r="J148" i="6" s="1"/>
  <c r="J149" i="6" s="1"/>
  <c r="J150" i="6" s="1"/>
  <c r="J151" i="6" s="1"/>
  <c r="J152" i="6" s="1"/>
  <c r="J153" i="6" s="1"/>
  <c r="J124" i="6"/>
  <c r="I124" i="6"/>
  <c r="I125" i="6" s="1"/>
  <c r="I126" i="6" s="1"/>
  <c r="I127" i="6" s="1"/>
  <c r="L127" i="6" s="1"/>
  <c r="L123" i="6"/>
  <c r="D121" i="6"/>
  <c r="D122" i="6" s="1"/>
  <c r="D123" i="6" s="1"/>
  <c r="D124" i="6" s="1"/>
  <c r="D125" i="6" s="1"/>
  <c r="D126" i="6" s="1"/>
  <c r="D127" i="6" s="1"/>
  <c r="D128" i="6" s="1"/>
  <c r="D129" i="6" s="1"/>
  <c r="D130" i="6" s="1"/>
  <c r="D131" i="6" s="1"/>
  <c r="D132" i="6" s="1"/>
  <c r="D133" i="6" s="1"/>
  <c r="D134" i="6" s="1"/>
  <c r="D135" i="6" s="1"/>
  <c r="D136" i="6" s="1"/>
  <c r="D137" i="6" s="1"/>
  <c r="D138" i="6" s="1"/>
  <c r="D139" i="6" s="1"/>
  <c r="D140" i="6" s="1"/>
  <c r="D141" i="6" s="1"/>
  <c r="D142" i="6" s="1"/>
  <c r="D143" i="6" s="1"/>
  <c r="D144" i="6" s="1"/>
  <c r="D145" i="6" s="1"/>
  <c r="D146" i="6" s="1"/>
  <c r="D147" i="6" s="1"/>
  <c r="D148" i="6" s="1"/>
  <c r="D149" i="6" s="1"/>
  <c r="D150" i="6" s="1"/>
  <c r="D151" i="6" s="1"/>
  <c r="D152" i="6" s="1"/>
  <c r="D153" i="6" s="1"/>
  <c r="D154" i="6" s="1"/>
  <c r="D155" i="6" s="1"/>
  <c r="D156" i="6" s="1"/>
  <c r="D157" i="6" s="1"/>
  <c r="D158" i="6" s="1"/>
  <c r="D159" i="6" s="1"/>
  <c r="D160" i="6" s="1"/>
  <c r="D120" i="6"/>
  <c r="D117" i="6"/>
  <c r="D118" i="6" s="1"/>
  <c r="B114" i="6"/>
  <c r="D113" i="6"/>
  <c r="D114" i="6" s="1"/>
  <c r="D115" i="6" s="1"/>
  <c r="D116" i="6" s="1"/>
  <c r="B113" i="6"/>
  <c r="G112" i="6"/>
  <c r="B110" i="6"/>
  <c r="D101" i="6"/>
  <c r="D102" i="6" s="1"/>
  <c r="D103" i="6" s="1"/>
  <c r="D104" i="6" s="1"/>
  <c r="D105" i="6" s="1"/>
  <c r="D106" i="6" s="1"/>
  <c r="D107" i="6" s="1"/>
  <c r="D108" i="6" s="1"/>
  <c r="D109" i="6" s="1"/>
  <c r="D99" i="6"/>
  <c r="D100" i="6" s="1"/>
  <c r="J95" i="6"/>
  <c r="J96" i="6" s="1"/>
  <c r="J97" i="6" s="1"/>
  <c r="J98" i="6" s="1"/>
  <c r="J99" i="6" s="1"/>
  <c r="J100" i="6" s="1"/>
  <c r="J101" i="6" s="1"/>
  <c r="J102" i="6" s="1"/>
  <c r="J103" i="6" s="1"/>
  <c r="J104" i="6" s="1"/>
  <c r="J105" i="6" s="1"/>
  <c r="J106" i="6" s="1"/>
  <c r="J107" i="6" s="1"/>
  <c r="J108" i="6" s="1"/>
  <c r="J109" i="6" s="1"/>
  <c r="J110" i="6" s="1"/>
  <c r="J111" i="6" s="1"/>
  <c r="J112" i="6" s="1"/>
  <c r="J113" i="6" s="1"/>
  <c r="J114" i="6" s="1"/>
  <c r="J115" i="6" s="1"/>
  <c r="J116" i="6" s="1"/>
  <c r="J117" i="6" s="1"/>
  <c r="J118" i="6" s="1"/>
  <c r="J119" i="6" s="1"/>
  <c r="J120" i="6" s="1"/>
  <c r="J121" i="6" s="1"/>
  <c r="J122" i="6" s="1"/>
  <c r="J94" i="6"/>
  <c r="I94" i="6"/>
  <c r="L94" i="6" s="1"/>
  <c r="D94" i="6"/>
  <c r="D95" i="6" s="1"/>
  <c r="D96" i="6" s="1"/>
  <c r="D97" i="6" s="1"/>
  <c r="L93" i="6"/>
  <c r="D93" i="6"/>
  <c r="D92" i="6"/>
  <c r="D87" i="6"/>
  <c r="D88" i="6" s="1"/>
  <c r="D89" i="6" s="1"/>
  <c r="D90" i="6" s="1"/>
  <c r="D86" i="6"/>
  <c r="D85" i="6"/>
  <c r="D79" i="6"/>
  <c r="D80" i="6" s="1"/>
  <c r="D81" i="6" s="1"/>
  <c r="D82" i="6" s="1"/>
  <c r="D83" i="6" s="1"/>
  <c r="D78" i="6"/>
  <c r="D75" i="6"/>
  <c r="D76" i="6" s="1"/>
  <c r="D72" i="6"/>
  <c r="D73" i="6" s="1"/>
  <c r="D74" i="6" s="1"/>
  <c r="D71" i="6"/>
  <c r="D68" i="6"/>
  <c r="D69" i="6" s="1"/>
  <c r="D67" i="6"/>
  <c r="B67" i="6"/>
  <c r="G66" i="6"/>
  <c r="I65" i="6"/>
  <c r="I64" i="6"/>
  <c r="L64" i="6" s="1"/>
  <c r="L63" i="6"/>
  <c r="J63" i="6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J84" i="6" s="1"/>
  <c r="J85" i="6" s="1"/>
  <c r="J86" i="6" s="1"/>
  <c r="J87" i="6" s="1"/>
  <c r="J88" i="6" s="1"/>
  <c r="J89" i="6" s="1"/>
  <c r="J90" i="6" s="1"/>
  <c r="J91" i="6" s="1"/>
  <c r="J92" i="6" s="1"/>
  <c r="I63" i="6"/>
  <c r="L62" i="6"/>
  <c r="D50" i="6"/>
  <c r="D51" i="6" s="1"/>
  <c r="D52" i="6" s="1"/>
  <c r="D53" i="6" s="1"/>
  <c r="D54" i="6" s="1"/>
  <c r="D55" i="6" s="1"/>
  <c r="D56" i="6" s="1"/>
  <c r="D57" i="6" s="1"/>
  <c r="D58" i="6" s="1"/>
  <c r="D59" i="6" s="1"/>
  <c r="D60" i="6" s="1"/>
  <c r="D61" i="6" s="1"/>
  <c r="D62" i="6" s="1"/>
  <c r="D63" i="6" s="1"/>
  <c r="D64" i="6" s="1"/>
  <c r="D65" i="6" s="1"/>
  <c r="J36" i="6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I36" i="6"/>
  <c r="J35" i="6"/>
  <c r="I35" i="6"/>
  <c r="L35" i="6" s="1"/>
  <c r="L34" i="6"/>
  <c r="D27" i="6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39" i="6" s="1"/>
  <c r="D40" i="6" s="1"/>
  <c r="D41" i="6" s="1"/>
  <c r="D42" i="6" s="1"/>
  <c r="D43" i="6" s="1"/>
  <c r="D44" i="6" s="1"/>
  <c r="D45" i="6" s="1"/>
  <c r="D46" i="6" s="1"/>
  <c r="D47" i="6" s="1"/>
  <c r="D48" i="6" s="1"/>
  <c r="D49" i="6" s="1"/>
  <c r="D18" i="6"/>
  <c r="D19" i="6" s="1"/>
  <c r="D20" i="6" s="1"/>
  <c r="D21" i="6" s="1"/>
  <c r="D22" i="6" s="1"/>
  <c r="D23" i="6" s="1"/>
  <c r="D24" i="6" s="1"/>
  <c r="D25" i="6" s="1"/>
  <c r="D26" i="6" s="1"/>
  <c r="D15" i="6"/>
  <c r="D16" i="6" s="1"/>
  <c r="D17" i="6" s="1"/>
  <c r="B15" i="6"/>
  <c r="G15" i="6" s="1"/>
  <c r="G14" i="6"/>
  <c r="G12" i="6"/>
  <c r="G11" i="6"/>
  <c r="G10" i="6"/>
  <c r="G9" i="6"/>
  <c r="G8" i="6"/>
  <c r="I6" i="6"/>
  <c r="L6" i="6" s="1"/>
  <c r="G6" i="6"/>
  <c r="B6" i="6"/>
  <c r="I5" i="6"/>
  <c r="L5" i="6" s="1"/>
  <c r="B5" i="6"/>
  <c r="G5" i="6" s="1"/>
  <c r="L4" i="6"/>
  <c r="J4" i="6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I4" i="6"/>
  <c r="B4" i="6"/>
  <c r="G4" i="6" s="1"/>
  <c r="L3" i="6"/>
  <c r="G3" i="6"/>
  <c r="N3" i="6" s="1"/>
  <c r="L3" i="1"/>
  <c r="L337" i="1"/>
  <c r="L307" i="1"/>
  <c r="L276" i="1"/>
  <c r="L246" i="1"/>
  <c r="L215" i="1"/>
  <c r="L184" i="1"/>
  <c r="L154" i="1"/>
  <c r="L123" i="1"/>
  <c r="L93" i="1"/>
  <c r="L82" i="1"/>
  <c r="L62" i="1"/>
  <c r="L51" i="1"/>
  <c r="L34" i="1"/>
  <c r="L18" i="1"/>
  <c r="G12" i="1"/>
  <c r="G11" i="1"/>
  <c r="G10" i="1"/>
  <c r="G9" i="1"/>
  <c r="G8" i="1"/>
  <c r="G3" i="1"/>
  <c r="N3" i="1" s="1"/>
  <c r="B4" i="1"/>
  <c r="B5" i="1" s="1"/>
  <c r="B6" i="1" s="1"/>
  <c r="B7" i="1" s="1"/>
  <c r="G7" i="1" s="1"/>
  <c r="N7" i="1" s="1"/>
  <c r="B337" i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62" i="1"/>
  <c r="B363" i="1" s="1"/>
  <c r="G336" i="1"/>
  <c r="D337" i="1"/>
  <c r="J4" i="1"/>
  <c r="J5" i="1" s="1"/>
  <c r="J6" i="1" s="1"/>
  <c r="J7" i="1" s="1"/>
  <c r="J8" i="1" s="1"/>
  <c r="J9" i="1" s="1"/>
  <c r="J10" i="1" s="1"/>
  <c r="J11" i="1" s="1"/>
  <c r="J12" i="1" s="1"/>
  <c r="J13" i="1" s="1"/>
  <c r="J14" i="1" s="1"/>
  <c r="J15" i="1" s="1"/>
  <c r="J16" i="1" s="1"/>
  <c r="J17" i="1" s="1"/>
  <c r="J18" i="1" s="1"/>
  <c r="J19" i="1" s="1"/>
  <c r="J20" i="1" s="1"/>
  <c r="J21" i="1" s="1"/>
  <c r="J22" i="1" s="1"/>
  <c r="J23" i="1" s="1"/>
  <c r="J24" i="1" s="1"/>
  <c r="J25" i="1" s="1"/>
  <c r="J26" i="1" s="1"/>
  <c r="J27" i="1" s="1"/>
  <c r="J28" i="1" s="1"/>
  <c r="J29" i="1" s="1"/>
  <c r="J30" i="1" s="1"/>
  <c r="J31" i="1" s="1"/>
  <c r="J32" i="1" s="1"/>
  <c r="J33" i="1" s="1"/>
  <c r="J35" i="1" s="1"/>
  <c r="J36" i="1" s="1"/>
  <c r="J37" i="1" s="1"/>
  <c r="J38" i="1" s="1"/>
  <c r="J39" i="1" s="1"/>
  <c r="J40" i="1" s="1"/>
  <c r="J41" i="1" s="1"/>
  <c r="J42" i="1" s="1"/>
  <c r="J43" i="1" s="1"/>
  <c r="J44" i="1" s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I4" i="1"/>
  <c r="I5" i="1" s="1"/>
  <c r="I6" i="1" s="1"/>
  <c r="I7" i="1" s="1"/>
  <c r="I8" i="1" s="1"/>
  <c r="I9" i="1" s="1"/>
  <c r="I10" i="1" s="1"/>
  <c r="I11" i="1" s="1"/>
  <c r="I12" i="1" s="1"/>
  <c r="I13" i="1" s="1"/>
  <c r="I14" i="1" s="1"/>
  <c r="I15" i="1" s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35" i="1" s="1"/>
  <c r="I36" i="1" s="1"/>
  <c r="I37" i="1" s="1"/>
  <c r="I38" i="1" s="1"/>
  <c r="I39" i="1" s="1"/>
  <c r="I40" i="1" s="1"/>
  <c r="I41" i="1" s="1"/>
  <c r="I42" i="1" s="1"/>
  <c r="I43" i="1" s="1"/>
  <c r="I44" i="1" s="1"/>
  <c r="I45" i="1" s="1"/>
  <c r="I46" i="1" s="1"/>
  <c r="I47" i="1" s="1"/>
  <c r="I48" i="1" s="1"/>
  <c r="I49" i="1" s="1"/>
  <c r="I50" i="1" s="1"/>
  <c r="I51" i="1" s="1"/>
  <c r="I52" i="1" s="1"/>
  <c r="I53" i="1" s="1"/>
  <c r="I54" i="1" s="1"/>
  <c r="I55" i="1" s="1"/>
  <c r="I56" i="1" s="1"/>
  <c r="I57" i="1" s="1"/>
  <c r="I58" i="1" s="1"/>
  <c r="I59" i="1" s="1"/>
  <c r="I60" i="1" s="1"/>
  <c r="I61" i="1" s="1"/>
  <c r="I63" i="1" s="1"/>
  <c r="I64" i="1" s="1"/>
  <c r="I65" i="1" s="1"/>
  <c r="I66" i="1" s="1"/>
  <c r="I67" i="1" s="1"/>
  <c r="I68" i="1" s="1"/>
  <c r="I69" i="1" s="1"/>
  <c r="I70" i="1" s="1"/>
  <c r="I71" i="1" s="1"/>
  <c r="I72" i="1" s="1"/>
  <c r="I73" i="1" s="1"/>
  <c r="I74" i="1" s="1"/>
  <c r="I75" i="1" s="1"/>
  <c r="I76" i="1" s="1"/>
  <c r="I77" i="1" s="1"/>
  <c r="I78" i="1" s="1"/>
  <c r="I79" i="1" s="1"/>
  <c r="I80" i="1" s="1"/>
  <c r="I81" i="1" s="1"/>
  <c r="I82" i="1" s="1"/>
  <c r="I83" i="1" s="1"/>
  <c r="I84" i="1" s="1"/>
  <c r="I85" i="1" s="1"/>
  <c r="I86" i="1" s="1"/>
  <c r="I87" i="1" s="1"/>
  <c r="I88" i="1" s="1"/>
  <c r="I89" i="1" s="1"/>
  <c r="I90" i="1" s="1"/>
  <c r="I91" i="1" s="1"/>
  <c r="I92" i="1" s="1"/>
  <c r="I94" i="1" s="1"/>
  <c r="I95" i="1" s="1"/>
  <c r="I96" i="1" s="1"/>
  <c r="I97" i="1" s="1"/>
  <c r="I98" i="1" s="1"/>
  <c r="I99" i="1" s="1"/>
  <c r="I100" i="1" s="1"/>
  <c r="I101" i="1" s="1"/>
  <c r="I102" i="1" s="1"/>
  <c r="I103" i="1" s="1"/>
  <c r="I104" i="1" s="1"/>
  <c r="I105" i="1" s="1"/>
  <c r="I106" i="1" s="1"/>
  <c r="I107" i="1" s="1"/>
  <c r="I108" i="1" s="1"/>
  <c r="I109" i="1" s="1"/>
  <c r="I110" i="1" s="1"/>
  <c r="I111" i="1" s="1"/>
  <c r="I112" i="1" s="1"/>
  <c r="I113" i="1" s="1"/>
  <c r="I114" i="1" s="1"/>
  <c r="I115" i="1" s="1"/>
  <c r="I116" i="1" s="1"/>
  <c r="I117" i="1" s="1"/>
  <c r="I118" i="1" s="1"/>
  <c r="I119" i="1" s="1"/>
  <c r="I120" i="1" s="1"/>
  <c r="I121" i="1" s="1"/>
  <c r="I122" i="1" s="1"/>
  <c r="I124" i="1" s="1"/>
  <c r="I125" i="1" s="1"/>
  <c r="I126" i="1" s="1"/>
  <c r="I127" i="1" s="1"/>
  <c r="I128" i="1" s="1"/>
  <c r="I129" i="1" s="1"/>
  <c r="I130" i="1" s="1"/>
  <c r="I131" i="1" s="1"/>
  <c r="I132" i="1" s="1"/>
  <c r="I133" i="1" s="1"/>
  <c r="I134" i="1" s="1"/>
  <c r="I135" i="1" s="1"/>
  <c r="I136" i="1" s="1"/>
  <c r="I137" i="1" s="1"/>
  <c r="I138" i="1" s="1"/>
  <c r="I139" i="1" s="1"/>
  <c r="I140" i="1" s="1"/>
  <c r="I141" i="1" s="1"/>
  <c r="I142" i="1" s="1"/>
  <c r="I143" i="1" s="1"/>
  <c r="I144" i="1" s="1"/>
  <c r="I145" i="1" s="1"/>
  <c r="I146" i="1" s="1"/>
  <c r="I147" i="1" s="1"/>
  <c r="I148" i="1" s="1"/>
  <c r="I149" i="1" s="1"/>
  <c r="I150" i="1" s="1"/>
  <c r="I151" i="1" s="1"/>
  <c r="I152" i="1" s="1"/>
  <c r="I153" i="1" s="1"/>
  <c r="I155" i="1" s="1"/>
  <c r="I156" i="1" s="1"/>
  <c r="I157" i="1" s="1"/>
  <c r="I158" i="1" s="1"/>
  <c r="I159" i="1" s="1"/>
  <c r="I160" i="1" s="1"/>
  <c r="I161" i="1" s="1"/>
  <c r="I162" i="1" s="1"/>
  <c r="I163" i="1" s="1"/>
  <c r="I164" i="1" s="1"/>
  <c r="I165" i="1" s="1"/>
  <c r="I166" i="1" s="1"/>
  <c r="I167" i="1" s="1"/>
  <c r="I168" i="1" s="1"/>
  <c r="I169" i="1" s="1"/>
  <c r="I170" i="1" s="1"/>
  <c r="I171" i="1" s="1"/>
  <c r="I172" i="1" s="1"/>
  <c r="I173" i="1" s="1"/>
  <c r="I174" i="1" s="1"/>
  <c r="I175" i="1" s="1"/>
  <c r="I176" i="1" s="1"/>
  <c r="I177" i="1" s="1"/>
  <c r="I178" i="1" s="1"/>
  <c r="I179" i="1" s="1"/>
  <c r="I180" i="1" s="1"/>
  <c r="I181" i="1" s="1"/>
  <c r="I182" i="1" s="1"/>
  <c r="I183" i="1" s="1"/>
  <c r="I185" i="1" s="1"/>
  <c r="I186" i="1" s="1"/>
  <c r="I187" i="1" s="1"/>
  <c r="I188" i="1" s="1"/>
  <c r="I189" i="1" s="1"/>
  <c r="I190" i="1" s="1"/>
  <c r="I191" i="1" s="1"/>
  <c r="I192" i="1" s="1"/>
  <c r="I193" i="1" s="1"/>
  <c r="I194" i="1" s="1"/>
  <c r="I195" i="1" s="1"/>
  <c r="I196" i="1" s="1"/>
  <c r="I197" i="1" s="1"/>
  <c r="I198" i="1" s="1"/>
  <c r="I199" i="1" s="1"/>
  <c r="I200" i="1" s="1"/>
  <c r="I201" i="1" s="1"/>
  <c r="I202" i="1" s="1"/>
  <c r="I203" i="1" s="1"/>
  <c r="I204" i="1" s="1"/>
  <c r="I205" i="1" s="1"/>
  <c r="I206" i="1" s="1"/>
  <c r="I207" i="1" s="1"/>
  <c r="I208" i="1" s="1"/>
  <c r="I209" i="1" s="1"/>
  <c r="I210" i="1" s="1"/>
  <c r="I211" i="1" s="1"/>
  <c r="I212" i="1" s="1"/>
  <c r="I213" i="1" s="1"/>
  <c r="I214" i="1" s="1"/>
  <c r="I216" i="1" s="1"/>
  <c r="I217" i="1" s="1"/>
  <c r="I218" i="1" s="1"/>
  <c r="I219" i="1" s="1"/>
  <c r="I220" i="1" s="1"/>
  <c r="I221" i="1" s="1"/>
  <c r="I222" i="1" s="1"/>
  <c r="I223" i="1" s="1"/>
  <c r="I224" i="1" s="1"/>
  <c r="I225" i="1" s="1"/>
  <c r="I226" i="1" s="1"/>
  <c r="I227" i="1" s="1"/>
  <c r="I228" i="1" s="1"/>
  <c r="I229" i="1" s="1"/>
  <c r="I230" i="1" s="1"/>
  <c r="I231" i="1" s="1"/>
  <c r="I232" i="1" s="1"/>
  <c r="I233" i="1" s="1"/>
  <c r="I234" i="1" s="1"/>
  <c r="I235" i="1" s="1"/>
  <c r="I236" i="1" s="1"/>
  <c r="I237" i="1" s="1"/>
  <c r="I238" i="1" s="1"/>
  <c r="I239" i="1" s="1"/>
  <c r="I240" i="1" s="1"/>
  <c r="I241" i="1" s="1"/>
  <c r="I242" i="1" s="1"/>
  <c r="I243" i="1" s="1"/>
  <c r="I244" i="1" s="1"/>
  <c r="I245" i="1" s="1"/>
  <c r="I247" i="1" s="1"/>
  <c r="I248" i="1" s="1"/>
  <c r="I249" i="1" s="1"/>
  <c r="I250" i="1" s="1"/>
  <c r="I251" i="1" s="1"/>
  <c r="I252" i="1" s="1"/>
  <c r="I253" i="1" s="1"/>
  <c r="I254" i="1" s="1"/>
  <c r="I255" i="1" s="1"/>
  <c r="I256" i="1" s="1"/>
  <c r="I257" i="1" s="1"/>
  <c r="I258" i="1" s="1"/>
  <c r="I259" i="1" s="1"/>
  <c r="I260" i="1" s="1"/>
  <c r="I261" i="1" s="1"/>
  <c r="I262" i="1" s="1"/>
  <c r="I263" i="1" s="1"/>
  <c r="I264" i="1" s="1"/>
  <c r="I265" i="1" s="1"/>
  <c r="I266" i="1" s="1"/>
  <c r="I267" i="1" s="1"/>
  <c r="I268" i="1" s="1"/>
  <c r="I269" i="1" s="1"/>
  <c r="I270" i="1" s="1"/>
  <c r="I271" i="1" s="1"/>
  <c r="I272" i="1" s="1"/>
  <c r="I273" i="1" s="1"/>
  <c r="I274" i="1" s="1"/>
  <c r="I275" i="1" s="1"/>
  <c r="I277" i="1" s="1"/>
  <c r="I278" i="1" s="1"/>
  <c r="I279" i="1" s="1"/>
  <c r="I280" i="1" s="1"/>
  <c r="I281" i="1" s="1"/>
  <c r="I282" i="1" s="1"/>
  <c r="I283" i="1" s="1"/>
  <c r="I284" i="1" s="1"/>
  <c r="I285" i="1" s="1"/>
  <c r="I286" i="1" s="1"/>
  <c r="I287" i="1" s="1"/>
  <c r="I288" i="1" s="1"/>
  <c r="I289" i="1" s="1"/>
  <c r="I290" i="1" s="1"/>
  <c r="I291" i="1" s="1"/>
  <c r="I292" i="1" s="1"/>
  <c r="I293" i="1" s="1"/>
  <c r="I294" i="1" s="1"/>
  <c r="I295" i="1" s="1"/>
  <c r="I296" i="1" s="1"/>
  <c r="I297" i="1" s="1"/>
  <c r="I298" i="1" s="1"/>
  <c r="I299" i="1" s="1"/>
  <c r="I300" i="1" s="1"/>
  <c r="I301" i="1" s="1"/>
  <c r="I302" i="1" s="1"/>
  <c r="I303" i="1" s="1"/>
  <c r="I304" i="1" s="1"/>
  <c r="I305" i="1" s="1"/>
  <c r="I306" i="1" s="1"/>
  <c r="I308" i="1" s="1"/>
  <c r="I309" i="1" s="1"/>
  <c r="I310" i="1" s="1"/>
  <c r="I311" i="1" s="1"/>
  <c r="I312" i="1" s="1"/>
  <c r="I313" i="1" s="1"/>
  <c r="I314" i="1" s="1"/>
  <c r="I315" i="1" s="1"/>
  <c r="I316" i="1" s="1"/>
  <c r="I317" i="1" s="1"/>
  <c r="I318" i="1" s="1"/>
  <c r="I319" i="1" s="1"/>
  <c r="I320" i="1" s="1"/>
  <c r="I321" i="1" s="1"/>
  <c r="I322" i="1" s="1"/>
  <c r="I323" i="1" s="1"/>
  <c r="I324" i="1" s="1"/>
  <c r="I325" i="1" s="1"/>
  <c r="I326" i="1" s="1"/>
  <c r="I327" i="1" s="1"/>
  <c r="I328" i="1" s="1"/>
  <c r="I329" i="1" s="1"/>
  <c r="I330" i="1" s="1"/>
  <c r="I331" i="1" s="1"/>
  <c r="I332" i="1" s="1"/>
  <c r="I333" i="1" s="1"/>
  <c r="I334" i="1" s="1"/>
  <c r="I335" i="1" s="1"/>
  <c r="I336" i="1" s="1"/>
  <c r="I338" i="1" s="1"/>
  <c r="I339" i="1" s="1"/>
  <c r="I340" i="1" s="1"/>
  <c r="I341" i="1" s="1"/>
  <c r="I342" i="1" s="1"/>
  <c r="I343" i="1" s="1"/>
  <c r="I344" i="1" s="1"/>
  <c r="I345" i="1" s="1"/>
  <c r="I346" i="1" s="1"/>
  <c r="I347" i="1" s="1"/>
  <c r="I348" i="1" s="1"/>
  <c r="I349" i="1" s="1"/>
  <c r="I350" i="1" s="1"/>
  <c r="I351" i="1" s="1"/>
  <c r="I352" i="1" s="1"/>
  <c r="I353" i="1" s="1"/>
  <c r="I354" i="1" s="1"/>
  <c r="I355" i="1" s="1"/>
  <c r="I356" i="1" s="1"/>
  <c r="I357" i="1" s="1"/>
  <c r="I358" i="1" s="1"/>
  <c r="I359" i="1" s="1"/>
  <c r="I360" i="1" s="1"/>
  <c r="I361" i="1" s="1"/>
  <c r="I362" i="1" s="1"/>
  <c r="I363" i="1" s="1"/>
  <c r="I364" i="1" s="1"/>
  <c r="I365" i="1" s="1"/>
  <c r="I366" i="1" s="1"/>
  <c r="I367" i="1" s="1"/>
  <c r="L367" i="1" s="1"/>
  <c r="J63" i="1"/>
  <c r="J64" i="1" s="1"/>
  <c r="J65" i="1" s="1"/>
  <c r="J66" i="1" s="1"/>
  <c r="J67" i="1" s="1"/>
  <c r="J68" i="1" s="1"/>
  <c r="J69" i="1" s="1"/>
  <c r="J70" i="1" s="1"/>
  <c r="J71" i="1" s="1"/>
  <c r="J72" i="1" s="1"/>
  <c r="J73" i="1" s="1"/>
  <c r="J74" i="1" s="1"/>
  <c r="J75" i="1" s="1"/>
  <c r="J76" i="1" s="1"/>
  <c r="J77" i="1" s="1"/>
  <c r="J78" i="1" s="1"/>
  <c r="J79" i="1" s="1"/>
  <c r="J80" i="1" s="1"/>
  <c r="J81" i="1" s="1"/>
  <c r="J82" i="1" s="1"/>
  <c r="J83" i="1" s="1"/>
  <c r="J84" i="1" s="1"/>
  <c r="J85" i="1" s="1"/>
  <c r="J86" i="1" s="1"/>
  <c r="J87" i="1" s="1"/>
  <c r="J88" i="1" s="1"/>
  <c r="J89" i="1" s="1"/>
  <c r="J90" i="1" s="1"/>
  <c r="J91" i="1" s="1"/>
  <c r="J92" i="1" s="1"/>
  <c r="J94" i="1" s="1"/>
  <c r="J95" i="1" s="1"/>
  <c r="J96" i="1" s="1"/>
  <c r="J97" i="1" s="1"/>
  <c r="J98" i="1" s="1"/>
  <c r="J99" i="1" s="1"/>
  <c r="J100" i="1" s="1"/>
  <c r="J101" i="1" s="1"/>
  <c r="J102" i="1" s="1"/>
  <c r="J103" i="1" s="1"/>
  <c r="J104" i="1" s="1"/>
  <c r="J105" i="1" s="1"/>
  <c r="J106" i="1" s="1"/>
  <c r="J107" i="1" s="1"/>
  <c r="J108" i="1" s="1"/>
  <c r="J109" i="1" s="1"/>
  <c r="J110" i="1" s="1"/>
  <c r="J111" i="1" s="1"/>
  <c r="J112" i="1" s="1"/>
  <c r="J113" i="1" s="1"/>
  <c r="J114" i="1" s="1"/>
  <c r="J115" i="1" s="1"/>
  <c r="J116" i="1" s="1"/>
  <c r="J117" i="1" s="1"/>
  <c r="J118" i="1" s="1"/>
  <c r="J119" i="1" s="1"/>
  <c r="J120" i="1" s="1"/>
  <c r="J121" i="1" s="1"/>
  <c r="J122" i="1" s="1"/>
  <c r="J124" i="1" s="1"/>
  <c r="J125" i="1" s="1"/>
  <c r="J126" i="1" s="1"/>
  <c r="J127" i="1" s="1"/>
  <c r="J128" i="1" s="1"/>
  <c r="J129" i="1" s="1"/>
  <c r="J130" i="1" s="1"/>
  <c r="J131" i="1" s="1"/>
  <c r="J132" i="1" s="1"/>
  <c r="J133" i="1" s="1"/>
  <c r="J134" i="1" s="1"/>
  <c r="J135" i="1" s="1"/>
  <c r="J136" i="1" s="1"/>
  <c r="J137" i="1" s="1"/>
  <c r="J138" i="1" s="1"/>
  <c r="J139" i="1" s="1"/>
  <c r="J140" i="1" s="1"/>
  <c r="J141" i="1" s="1"/>
  <c r="J142" i="1" s="1"/>
  <c r="J143" i="1" s="1"/>
  <c r="J144" i="1" s="1"/>
  <c r="J145" i="1" s="1"/>
  <c r="J146" i="1" s="1"/>
  <c r="J147" i="1" s="1"/>
  <c r="J148" i="1" s="1"/>
  <c r="J149" i="1" s="1"/>
  <c r="J150" i="1" s="1"/>
  <c r="J151" i="1" s="1"/>
  <c r="J152" i="1" s="1"/>
  <c r="J153" i="1" s="1"/>
  <c r="J155" i="1" s="1"/>
  <c r="J156" i="1" s="1"/>
  <c r="J157" i="1" s="1"/>
  <c r="J158" i="1" s="1"/>
  <c r="J159" i="1" s="1"/>
  <c r="J160" i="1" s="1"/>
  <c r="J161" i="1" s="1"/>
  <c r="J162" i="1" s="1"/>
  <c r="J163" i="1" s="1"/>
  <c r="J164" i="1" s="1"/>
  <c r="J165" i="1" s="1"/>
  <c r="J166" i="1" s="1"/>
  <c r="J167" i="1" s="1"/>
  <c r="J168" i="1" s="1"/>
  <c r="J169" i="1" s="1"/>
  <c r="J170" i="1" s="1"/>
  <c r="J171" i="1" s="1"/>
  <c r="J172" i="1" s="1"/>
  <c r="J173" i="1" s="1"/>
  <c r="J174" i="1" s="1"/>
  <c r="J175" i="1" s="1"/>
  <c r="J176" i="1" s="1"/>
  <c r="J177" i="1" s="1"/>
  <c r="J178" i="1" s="1"/>
  <c r="J179" i="1" s="1"/>
  <c r="J180" i="1" s="1"/>
  <c r="J181" i="1" s="1"/>
  <c r="J182" i="1" s="1"/>
  <c r="J183" i="1" s="1"/>
  <c r="J185" i="1" s="1"/>
  <c r="J186" i="1" s="1"/>
  <c r="J187" i="1" s="1"/>
  <c r="J188" i="1" s="1"/>
  <c r="J189" i="1" s="1"/>
  <c r="J190" i="1" s="1"/>
  <c r="J191" i="1" s="1"/>
  <c r="J192" i="1" s="1"/>
  <c r="J193" i="1" s="1"/>
  <c r="J194" i="1" s="1"/>
  <c r="J195" i="1" s="1"/>
  <c r="J196" i="1" s="1"/>
  <c r="J197" i="1" s="1"/>
  <c r="J198" i="1" s="1"/>
  <c r="J199" i="1" s="1"/>
  <c r="J200" i="1" s="1"/>
  <c r="J201" i="1" s="1"/>
  <c r="J202" i="1" s="1"/>
  <c r="J203" i="1" s="1"/>
  <c r="J204" i="1" s="1"/>
  <c r="J205" i="1" s="1"/>
  <c r="J206" i="1" s="1"/>
  <c r="J207" i="1" s="1"/>
  <c r="J208" i="1" s="1"/>
  <c r="J209" i="1" s="1"/>
  <c r="J210" i="1" s="1"/>
  <c r="J211" i="1" s="1"/>
  <c r="J212" i="1" s="1"/>
  <c r="J213" i="1" s="1"/>
  <c r="J214" i="1" s="1"/>
  <c r="J216" i="1" s="1"/>
  <c r="J217" i="1" s="1"/>
  <c r="J218" i="1" s="1"/>
  <c r="J219" i="1" s="1"/>
  <c r="J220" i="1" s="1"/>
  <c r="J221" i="1" s="1"/>
  <c r="J222" i="1" s="1"/>
  <c r="J223" i="1" s="1"/>
  <c r="J224" i="1" s="1"/>
  <c r="J225" i="1" s="1"/>
  <c r="J226" i="1" s="1"/>
  <c r="J227" i="1" s="1"/>
  <c r="J228" i="1" s="1"/>
  <c r="J229" i="1" s="1"/>
  <c r="J230" i="1" s="1"/>
  <c r="J231" i="1" s="1"/>
  <c r="J232" i="1" s="1"/>
  <c r="J233" i="1" s="1"/>
  <c r="J234" i="1" s="1"/>
  <c r="J235" i="1" s="1"/>
  <c r="J236" i="1" s="1"/>
  <c r="J237" i="1" s="1"/>
  <c r="J238" i="1" s="1"/>
  <c r="J239" i="1" s="1"/>
  <c r="J240" i="1" s="1"/>
  <c r="J241" i="1" s="1"/>
  <c r="J242" i="1" s="1"/>
  <c r="J243" i="1" s="1"/>
  <c r="J244" i="1" s="1"/>
  <c r="J245" i="1" s="1"/>
  <c r="J247" i="1" s="1"/>
  <c r="J248" i="1" s="1"/>
  <c r="J249" i="1" s="1"/>
  <c r="J250" i="1" s="1"/>
  <c r="J251" i="1" s="1"/>
  <c r="J252" i="1" s="1"/>
  <c r="J253" i="1" s="1"/>
  <c r="J254" i="1" s="1"/>
  <c r="J255" i="1" s="1"/>
  <c r="J256" i="1" s="1"/>
  <c r="J257" i="1" s="1"/>
  <c r="J258" i="1" s="1"/>
  <c r="J259" i="1" s="1"/>
  <c r="J260" i="1" s="1"/>
  <c r="J261" i="1" s="1"/>
  <c r="J262" i="1" s="1"/>
  <c r="J263" i="1" s="1"/>
  <c r="J264" i="1" s="1"/>
  <c r="J265" i="1" s="1"/>
  <c r="J266" i="1" s="1"/>
  <c r="J267" i="1" s="1"/>
  <c r="J268" i="1" s="1"/>
  <c r="J269" i="1" s="1"/>
  <c r="J270" i="1" s="1"/>
  <c r="J271" i="1" s="1"/>
  <c r="J272" i="1" s="1"/>
  <c r="J273" i="1" s="1"/>
  <c r="J274" i="1" s="1"/>
  <c r="J275" i="1" s="1"/>
  <c r="J277" i="1" s="1"/>
  <c r="J278" i="1" s="1"/>
  <c r="J279" i="1" s="1"/>
  <c r="J280" i="1" s="1"/>
  <c r="J281" i="1" s="1"/>
  <c r="J282" i="1" s="1"/>
  <c r="J283" i="1" s="1"/>
  <c r="J284" i="1" s="1"/>
  <c r="J285" i="1" s="1"/>
  <c r="J286" i="1" s="1"/>
  <c r="J287" i="1" s="1"/>
  <c r="J288" i="1" s="1"/>
  <c r="J289" i="1" s="1"/>
  <c r="J290" i="1" s="1"/>
  <c r="J291" i="1" s="1"/>
  <c r="J292" i="1" s="1"/>
  <c r="J293" i="1" s="1"/>
  <c r="J294" i="1" s="1"/>
  <c r="J295" i="1" s="1"/>
  <c r="J296" i="1" s="1"/>
  <c r="J297" i="1" s="1"/>
  <c r="J298" i="1" s="1"/>
  <c r="J299" i="1" s="1"/>
  <c r="J300" i="1" s="1"/>
  <c r="J301" i="1" s="1"/>
  <c r="J302" i="1" s="1"/>
  <c r="J303" i="1" s="1"/>
  <c r="J304" i="1" s="1"/>
  <c r="J305" i="1" s="1"/>
  <c r="J306" i="1" s="1"/>
  <c r="J308" i="1" s="1"/>
  <c r="J309" i="1" s="1"/>
  <c r="J310" i="1" s="1"/>
  <c r="J311" i="1" s="1"/>
  <c r="J312" i="1" s="1"/>
  <c r="J313" i="1" s="1"/>
  <c r="J314" i="1" s="1"/>
  <c r="J315" i="1" s="1"/>
  <c r="J316" i="1" s="1"/>
  <c r="J317" i="1" s="1"/>
  <c r="J318" i="1" s="1"/>
  <c r="J319" i="1" s="1"/>
  <c r="J320" i="1" s="1"/>
  <c r="J321" i="1" s="1"/>
  <c r="J322" i="1" s="1"/>
  <c r="J323" i="1" s="1"/>
  <c r="J324" i="1" s="1"/>
  <c r="J325" i="1" s="1"/>
  <c r="J326" i="1" s="1"/>
  <c r="J327" i="1" s="1"/>
  <c r="J328" i="1" s="1"/>
  <c r="J329" i="1" s="1"/>
  <c r="J330" i="1" s="1"/>
  <c r="J331" i="1" s="1"/>
  <c r="J332" i="1" s="1"/>
  <c r="J333" i="1" s="1"/>
  <c r="J334" i="1" s="1"/>
  <c r="J335" i="1" s="1"/>
  <c r="J336" i="1" s="1"/>
  <c r="J338" i="1" s="1"/>
  <c r="J339" i="1" s="1"/>
  <c r="J340" i="1" s="1"/>
  <c r="J341" i="1" s="1"/>
  <c r="J342" i="1" s="1"/>
  <c r="J343" i="1" s="1"/>
  <c r="J344" i="1" s="1"/>
  <c r="J345" i="1" s="1"/>
  <c r="J346" i="1" s="1"/>
  <c r="J347" i="1" s="1"/>
  <c r="J348" i="1" s="1"/>
  <c r="J349" i="1" s="1"/>
  <c r="J350" i="1" s="1"/>
  <c r="J351" i="1" s="1"/>
  <c r="J352" i="1" s="1"/>
  <c r="J353" i="1" s="1"/>
  <c r="J354" i="1" s="1"/>
  <c r="J355" i="1" s="1"/>
  <c r="J356" i="1" s="1"/>
  <c r="J357" i="1" s="1"/>
  <c r="J358" i="1" s="1"/>
  <c r="J359" i="1" s="1"/>
  <c r="J360" i="1" s="1"/>
  <c r="J361" i="1" s="1"/>
  <c r="J362" i="1" s="1"/>
  <c r="J363" i="1" s="1"/>
  <c r="J364" i="1" s="1"/>
  <c r="J365" i="1" s="1"/>
  <c r="J366" i="1" s="1"/>
  <c r="J367" i="1" s="1"/>
  <c r="J2" i="4"/>
  <c r="E3" i="5"/>
  <c r="E4" i="5" s="1"/>
  <c r="E5" i="5" s="1"/>
  <c r="E6" i="5" s="1"/>
  <c r="E7" i="5" s="1"/>
  <c r="E8" i="5" s="1"/>
  <c r="E9" i="5" s="1"/>
  <c r="E10" i="5" s="1"/>
  <c r="E11" i="5" s="1"/>
  <c r="E12" i="5" s="1"/>
  <c r="E13" i="5" s="1"/>
  <c r="E14" i="5" s="1"/>
  <c r="E15" i="5" s="1"/>
  <c r="E16" i="5" s="1"/>
  <c r="E17" i="5" s="1"/>
  <c r="E18" i="5" s="1"/>
  <c r="E19" i="5" s="1"/>
  <c r="E20" i="5" s="1"/>
  <c r="E21" i="5" s="1"/>
  <c r="E22" i="5" s="1"/>
  <c r="E23" i="5" s="1"/>
  <c r="E24" i="5" s="1"/>
  <c r="E25" i="5" s="1"/>
  <c r="E26" i="5" s="1"/>
  <c r="E27" i="5" s="1"/>
  <c r="E28" i="5" s="1"/>
  <c r="E29" i="5" s="1"/>
  <c r="E30" i="5" s="1"/>
  <c r="E31" i="5" s="1"/>
  <c r="E32" i="5" s="1"/>
  <c r="E33" i="5" s="1"/>
  <c r="E34" i="5" s="1"/>
  <c r="E35" i="5" s="1"/>
  <c r="E36" i="5" s="1"/>
  <c r="E37" i="5" s="1"/>
  <c r="E38" i="5" s="1"/>
  <c r="E39" i="5" s="1"/>
  <c r="E40" i="5" s="1"/>
  <c r="E41" i="5" s="1"/>
  <c r="E42" i="5" s="1"/>
  <c r="E43" i="5" s="1"/>
  <c r="E44" i="5" s="1"/>
  <c r="E45" i="5" s="1"/>
  <c r="E46" i="5" s="1"/>
  <c r="E47" i="5" s="1"/>
  <c r="E48" i="5" s="1"/>
  <c r="E49" i="5" s="1"/>
  <c r="E50" i="5" s="1"/>
  <c r="E51" i="5" s="1"/>
  <c r="E52" i="5" s="1"/>
  <c r="E53" i="5" s="1"/>
  <c r="E54" i="5" s="1"/>
  <c r="E55" i="5" s="1"/>
  <c r="E56" i="5" s="1"/>
  <c r="E57" i="5" s="1"/>
  <c r="E58" i="5" s="1"/>
  <c r="E59" i="5" s="1"/>
  <c r="E60" i="5" s="1"/>
  <c r="E61" i="5" s="1"/>
  <c r="E62" i="5" s="1"/>
  <c r="E63" i="5" s="1"/>
  <c r="E64" i="5" s="1"/>
  <c r="E65" i="5" s="1"/>
  <c r="E66" i="5" s="1"/>
  <c r="E67" i="5" s="1"/>
  <c r="E68" i="5" s="1"/>
  <c r="E69" i="5" s="1"/>
  <c r="E70" i="5" s="1"/>
  <c r="E71" i="5" s="1"/>
  <c r="E72" i="5" s="1"/>
  <c r="E73" i="5" s="1"/>
  <c r="E74" i="5" s="1"/>
  <c r="E75" i="5" s="1"/>
  <c r="E76" i="5" s="1"/>
  <c r="E77" i="5" s="1"/>
  <c r="E78" i="5" s="1"/>
  <c r="E79" i="5" s="1"/>
  <c r="E80" i="5" s="1"/>
  <c r="E81" i="5" s="1"/>
  <c r="E82" i="5" s="1"/>
  <c r="E83" i="5" s="1"/>
  <c r="E84" i="5" s="1"/>
  <c r="E85" i="5" s="1"/>
  <c r="E86" i="5" s="1"/>
  <c r="E87" i="5" s="1"/>
  <c r="E88" i="5" s="1"/>
  <c r="E89" i="5" s="1"/>
  <c r="E90" i="5" s="1"/>
  <c r="E91" i="5" s="1"/>
  <c r="E92" i="5" s="1"/>
  <c r="E93" i="5" s="1"/>
  <c r="E94" i="5" s="1"/>
  <c r="E95" i="5" s="1"/>
  <c r="E96" i="5" s="1"/>
  <c r="E97" i="5" s="1"/>
  <c r="E98" i="5" s="1"/>
  <c r="E99" i="5" s="1"/>
  <c r="E100" i="5" s="1"/>
  <c r="E101" i="5" s="1"/>
  <c r="E102" i="5" s="1"/>
  <c r="E103" i="5" s="1"/>
  <c r="E104" i="5" s="1"/>
  <c r="E105" i="5" s="1"/>
  <c r="E106" i="5" s="1"/>
  <c r="E107" i="5" s="1"/>
  <c r="E108" i="5" s="1"/>
  <c r="E109" i="5" s="1"/>
  <c r="E110" i="5" s="1"/>
  <c r="E111" i="5" s="1"/>
  <c r="E112" i="5" s="1"/>
  <c r="E113" i="5" s="1"/>
  <c r="E114" i="5" s="1"/>
  <c r="E115" i="5" s="1"/>
  <c r="E116" i="5" s="1"/>
  <c r="E117" i="5" s="1"/>
  <c r="E118" i="5" s="1"/>
  <c r="E119" i="5" s="1"/>
  <c r="E120" i="5" s="1"/>
  <c r="E121" i="5" s="1"/>
  <c r="E122" i="5" s="1"/>
  <c r="E123" i="5" s="1"/>
  <c r="E124" i="5" s="1"/>
  <c r="E125" i="5" s="1"/>
  <c r="E126" i="5" s="1"/>
  <c r="E127" i="5" s="1"/>
  <c r="E128" i="5" s="1"/>
  <c r="E129" i="5" s="1"/>
  <c r="E130" i="5" s="1"/>
  <c r="E131" i="5" s="1"/>
  <c r="E132" i="5" s="1"/>
  <c r="E133" i="5" s="1"/>
  <c r="E134" i="5" s="1"/>
  <c r="E135" i="5" s="1"/>
  <c r="E136" i="5" s="1"/>
  <c r="E137" i="5" s="1"/>
  <c r="E138" i="5" s="1"/>
  <c r="E139" i="5" s="1"/>
  <c r="E140" i="5" s="1"/>
  <c r="E141" i="5" s="1"/>
  <c r="E142" i="5" s="1"/>
  <c r="E143" i="5" s="1"/>
  <c r="E144" i="5" s="1"/>
  <c r="E145" i="5" s="1"/>
  <c r="E146" i="5" s="1"/>
  <c r="E147" i="5" s="1"/>
  <c r="E148" i="5" s="1"/>
  <c r="E149" i="5" s="1"/>
  <c r="E150" i="5" s="1"/>
  <c r="E151" i="5" s="1"/>
  <c r="E152" i="5" s="1"/>
  <c r="E153" i="5" s="1"/>
  <c r="E154" i="5" s="1"/>
  <c r="E155" i="5" s="1"/>
  <c r="E156" i="5" s="1"/>
  <c r="E157" i="5" s="1"/>
  <c r="E158" i="5" s="1"/>
  <c r="E159" i="5" s="1"/>
  <c r="E160" i="5" s="1"/>
  <c r="E161" i="5" s="1"/>
  <c r="E162" i="5" s="1"/>
  <c r="E163" i="5" s="1"/>
  <c r="E164" i="5" s="1"/>
  <c r="E165" i="5" s="1"/>
  <c r="E166" i="5" s="1"/>
  <c r="E167" i="5" s="1"/>
  <c r="E168" i="5" s="1"/>
  <c r="E169" i="5" s="1"/>
  <c r="E170" i="5" s="1"/>
  <c r="E171" i="5" s="1"/>
  <c r="E172" i="5" s="1"/>
  <c r="E173" i="5" s="1"/>
  <c r="E174" i="5" s="1"/>
  <c r="E175" i="5" s="1"/>
  <c r="E176" i="5" s="1"/>
  <c r="E177" i="5" s="1"/>
  <c r="E178" i="5" s="1"/>
  <c r="E179" i="5" s="1"/>
  <c r="E180" i="5" s="1"/>
  <c r="E181" i="5" s="1"/>
  <c r="E182" i="5" s="1"/>
  <c r="E183" i="5" s="1"/>
  <c r="E184" i="5" s="1"/>
  <c r="E185" i="5" s="1"/>
  <c r="E186" i="5" s="1"/>
  <c r="E187" i="5" s="1"/>
  <c r="E188" i="5" s="1"/>
  <c r="E189" i="5" s="1"/>
  <c r="E190" i="5" s="1"/>
  <c r="E191" i="5" s="1"/>
  <c r="E192" i="5" s="1"/>
  <c r="E193" i="5" s="1"/>
  <c r="E194" i="5" s="1"/>
  <c r="E195" i="5" s="1"/>
  <c r="E196" i="5" s="1"/>
  <c r="E197" i="5" s="1"/>
  <c r="E198" i="5" s="1"/>
  <c r="E199" i="5" s="1"/>
  <c r="E200" i="5" s="1"/>
  <c r="E201" i="5" s="1"/>
  <c r="E202" i="5" s="1"/>
  <c r="E203" i="5" s="1"/>
  <c r="E204" i="5" s="1"/>
  <c r="E205" i="5" s="1"/>
  <c r="E206" i="5" s="1"/>
  <c r="E207" i="5" s="1"/>
  <c r="E208" i="5" s="1"/>
  <c r="E209" i="5" s="1"/>
  <c r="E210" i="5" s="1"/>
  <c r="E211" i="5" s="1"/>
  <c r="E212" i="5" s="1"/>
  <c r="E213" i="5" s="1"/>
  <c r="E214" i="5" s="1"/>
  <c r="E215" i="5" s="1"/>
  <c r="E216" i="5" s="1"/>
  <c r="E217" i="5" s="1"/>
  <c r="E218" i="5" s="1"/>
  <c r="E219" i="5" s="1"/>
  <c r="E220" i="5" s="1"/>
  <c r="E221" i="5" s="1"/>
  <c r="E222" i="5" s="1"/>
  <c r="E223" i="5" s="1"/>
  <c r="E224" i="5" s="1"/>
  <c r="E225" i="5" s="1"/>
  <c r="E226" i="5" s="1"/>
  <c r="E227" i="5" s="1"/>
  <c r="E228" i="5" s="1"/>
  <c r="E229" i="5" s="1"/>
  <c r="E230" i="5" s="1"/>
  <c r="E231" i="5" s="1"/>
  <c r="E232" i="5" s="1"/>
  <c r="E233" i="5" s="1"/>
  <c r="E234" i="5" s="1"/>
  <c r="E235" i="5" s="1"/>
  <c r="E236" i="5" s="1"/>
  <c r="E237" i="5" s="1"/>
  <c r="E238" i="5" s="1"/>
  <c r="E239" i="5" s="1"/>
  <c r="C3" i="5"/>
  <c r="G3" i="5" s="1"/>
  <c r="G2" i="5"/>
  <c r="E3" i="4"/>
  <c r="E4" i="4" s="1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44" i="4" s="1"/>
  <c r="E45" i="4" s="1"/>
  <c r="E46" i="4" s="1"/>
  <c r="E47" i="4" s="1"/>
  <c r="E48" i="4" s="1"/>
  <c r="E49" i="4" s="1"/>
  <c r="E50" i="4" s="1"/>
  <c r="E51" i="4" s="1"/>
  <c r="E52" i="4" s="1"/>
  <c r="E53" i="4" s="1"/>
  <c r="E54" i="4" s="1"/>
  <c r="E55" i="4" s="1"/>
  <c r="E56" i="4" s="1"/>
  <c r="E57" i="4" s="1"/>
  <c r="E58" i="4" s="1"/>
  <c r="E59" i="4" s="1"/>
  <c r="E60" i="4" s="1"/>
  <c r="E61" i="4" s="1"/>
  <c r="E62" i="4" s="1"/>
  <c r="E63" i="4" s="1"/>
  <c r="E64" i="4" s="1"/>
  <c r="E65" i="4" s="1"/>
  <c r="E66" i="4" s="1"/>
  <c r="E67" i="4" s="1"/>
  <c r="E68" i="4" s="1"/>
  <c r="E69" i="4" s="1"/>
  <c r="E70" i="4" s="1"/>
  <c r="E71" i="4" s="1"/>
  <c r="E72" i="4" s="1"/>
  <c r="E73" i="4" s="1"/>
  <c r="E74" i="4" s="1"/>
  <c r="E75" i="4" s="1"/>
  <c r="E76" i="4" s="1"/>
  <c r="E77" i="4" s="1"/>
  <c r="E78" i="4" s="1"/>
  <c r="E79" i="4" s="1"/>
  <c r="E80" i="4" s="1"/>
  <c r="E81" i="4" s="1"/>
  <c r="E82" i="4" s="1"/>
  <c r="E83" i="4" s="1"/>
  <c r="E84" i="4" s="1"/>
  <c r="E85" i="4" s="1"/>
  <c r="E86" i="4" s="1"/>
  <c r="E87" i="4" s="1"/>
  <c r="E88" i="4" s="1"/>
  <c r="E89" i="4" s="1"/>
  <c r="E90" i="4" s="1"/>
  <c r="E91" i="4" s="1"/>
  <c r="E92" i="4" s="1"/>
  <c r="E93" i="4" s="1"/>
  <c r="E94" i="4" s="1"/>
  <c r="E95" i="4" s="1"/>
  <c r="E96" i="4" s="1"/>
  <c r="E97" i="4" s="1"/>
  <c r="E98" i="4" s="1"/>
  <c r="E99" i="4" s="1"/>
  <c r="E100" i="4" s="1"/>
  <c r="E101" i="4" s="1"/>
  <c r="E102" i="4" s="1"/>
  <c r="E103" i="4" s="1"/>
  <c r="E104" i="4" s="1"/>
  <c r="E105" i="4" s="1"/>
  <c r="E106" i="4" s="1"/>
  <c r="E107" i="4" s="1"/>
  <c r="E108" i="4" s="1"/>
  <c r="E109" i="4" s="1"/>
  <c r="E110" i="4" s="1"/>
  <c r="E111" i="4" s="1"/>
  <c r="E112" i="4" s="1"/>
  <c r="E113" i="4" s="1"/>
  <c r="E114" i="4" s="1"/>
  <c r="E115" i="4" s="1"/>
  <c r="E116" i="4" s="1"/>
  <c r="E117" i="4" s="1"/>
  <c r="E118" i="4" s="1"/>
  <c r="E119" i="4" s="1"/>
  <c r="E120" i="4" s="1"/>
  <c r="E121" i="4" s="1"/>
  <c r="E122" i="4" s="1"/>
  <c r="E123" i="4" s="1"/>
  <c r="E124" i="4" s="1"/>
  <c r="E125" i="4" s="1"/>
  <c r="E126" i="4" s="1"/>
  <c r="E127" i="4" s="1"/>
  <c r="E128" i="4" s="1"/>
  <c r="E129" i="4" s="1"/>
  <c r="E130" i="4" s="1"/>
  <c r="E131" i="4" s="1"/>
  <c r="E132" i="4" s="1"/>
  <c r="E133" i="4" s="1"/>
  <c r="E134" i="4" s="1"/>
  <c r="E135" i="4" s="1"/>
  <c r="E136" i="4" s="1"/>
  <c r="E137" i="4" s="1"/>
  <c r="E138" i="4" s="1"/>
  <c r="E139" i="4" s="1"/>
  <c r="E140" i="4" s="1"/>
  <c r="E141" i="4" s="1"/>
  <c r="E142" i="4" s="1"/>
  <c r="E143" i="4" s="1"/>
  <c r="E144" i="4" s="1"/>
  <c r="E145" i="4" s="1"/>
  <c r="E146" i="4" s="1"/>
  <c r="E147" i="4" s="1"/>
  <c r="E148" i="4" s="1"/>
  <c r="E149" i="4" s="1"/>
  <c r="E150" i="4" s="1"/>
  <c r="E151" i="4" s="1"/>
  <c r="E152" i="4" s="1"/>
  <c r="E153" i="4" s="1"/>
  <c r="E154" i="4" s="1"/>
  <c r="E155" i="4" s="1"/>
  <c r="E156" i="4" s="1"/>
  <c r="E157" i="4" s="1"/>
  <c r="E158" i="4" s="1"/>
  <c r="E159" i="4" s="1"/>
  <c r="E160" i="4" s="1"/>
  <c r="E161" i="4" s="1"/>
  <c r="E162" i="4" s="1"/>
  <c r="E163" i="4" s="1"/>
  <c r="E164" i="4" s="1"/>
  <c r="E165" i="4" s="1"/>
  <c r="E166" i="4" s="1"/>
  <c r="E167" i="4" s="1"/>
  <c r="E168" i="4" s="1"/>
  <c r="E169" i="4" s="1"/>
  <c r="E170" i="4" s="1"/>
  <c r="E171" i="4" s="1"/>
  <c r="E172" i="4" s="1"/>
  <c r="E173" i="4" s="1"/>
  <c r="E174" i="4" s="1"/>
  <c r="E175" i="4" s="1"/>
  <c r="E176" i="4" s="1"/>
  <c r="E177" i="4" s="1"/>
  <c r="E178" i="4" s="1"/>
  <c r="E179" i="4" s="1"/>
  <c r="E180" i="4" s="1"/>
  <c r="E181" i="4" s="1"/>
  <c r="E182" i="4" s="1"/>
  <c r="E183" i="4" s="1"/>
  <c r="E184" i="4" s="1"/>
  <c r="E185" i="4" s="1"/>
  <c r="E186" i="4" s="1"/>
  <c r="E187" i="4" s="1"/>
  <c r="E188" i="4" s="1"/>
  <c r="E189" i="4" s="1"/>
  <c r="E190" i="4" s="1"/>
  <c r="E191" i="4" s="1"/>
  <c r="E192" i="4" s="1"/>
  <c r="E193" i="4" s="1"/>
  <c r="E194" i="4" s="1"/>
  <c r="E195" i="4" s="1"/>
  <c r="E196" i="4" s="1"/>
  <c r="E197" i="4" s="1"/>
  <c r="E198" i="4" s="1"/>
  <c r="E199" i="4" s="1"/>
  <c r="E200" i="4" s="1"/>
  <c r="E201" i="4" s="1"/>
  <c r="E202" i="4" s="1"/>
  <c r="E203" i="4" s="1"/>
  <c r="E204" i="4" s="1"/>
  <c r="E205" i="4" s="1"/>
  <c r="E206" i="4" s="1"/>
  <c r="E207" i="4" s="1"/>
  <c r="E208" i="4" s="1"/>
  <c r="E209" i="4" s="1"/>
  <c r="E210" i="4" s="1"/>
  <c r="E211" i="4" s="1"/>
  <c r="E212" i="4" s="1"/>
  <c r="E213" i="4" s="1"/>
  <c r="E214" i="4" s="1"/>
  <c r="E215" i="4" s="1"/>
  <c r="E216" i="4" s="1"/>
  <c r="E217" i="4" s="1"/>
  <c r="E218" i="4" s="1"/>
  <c r="E219" i="4" s="1"/>
  <c r="E220" i="4" s="1"/>
  <c r="E221" i="4" s="1"/>
  <c r="E222" i="4" s="1"/>
  <c r="E223" i="4" s="1"/>
  <c r="E224" i="4" s="1"/>
  <c r="E225" i="4" s="1"/>
  <c r="E226" i="4" s="1"/>
  <c r="E227" i="4" s="1"/>
  <c r="E228" i="4" s="1"/>
  <c r="E229" i="4" s="1"/>
  <c r="E230" i="4" s="1"/>
  <c r="E231" i="4" s="1"/>
  <c r="E232" i="4" s="1"/>
  <c r="E233" i="4" s="1"/>
  <c r="E234" i="4" s="1"/>
  <c r="E235" i="4" s="1"/>
  <c r="E236" i="4" s="1"/>
  <c r="E237" i="4" s="1"/>
  <c r="E238" i="4" s="1"/>
  <c r="E239" i="4" s="1"/>
  <c r="C3" i="4"/>
  <c r="C4" i="4" s="1"/>
  <c r="H2" i="4"/>
  <c r="E3" i="3"/>
  <c r="E4" i="3" s="1"/>
  <c r="E5" i="3" s="1"/>
  <c r="E6" i="3" s="1"/>
  <c r="E7" i="3" s="1"/>
  <c r="E8" i="3" s="1"/>
  <c r="E9" i="3" s="1"/>
  <c r="E10" i="3" s="1"/>
  <c r="E11" i="3" s="1"/>
  <c r="E12" i="3" s="1"/>
  <c r="E13" i="3" s="1"/>
  <c r="E14" i="3" s="1"/>
  <c r="E15" i="3" s="1"/>
  <c r="C3" i="3"/>
  <c r="C4" i="3" s="1"/>
  <c r="C5" i="3" s="1"/>
  <c r="G2" i="3"/>
  <c r="E4" i="2"/>
  <c r="E5" i="2" s="1"/>
  <c r="E6" i="2" s="1"/>
  <c r="E7" i="2" s="1"/>
  <c r="E8" i="2" s="1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E27" i="2" s="1"/>
  <c r="E28" i="2" s="1"/>
  <c r="E29" i="2" s="1"/>
  <c r="E3" i="2"/>
  <c r="C3" i="2"/>
  <c r="G3" i="2" s="1"/>
  <c r="G2" i="2"/>
  <c r="B15" i="1"/>
  <c r="B16" i="1" s="1"/>
  <c r="B17" i="1" s="1"/>
  <c r="B18" i="1" s="1"/>
  <c r="B19" i="1" s="1"/>
  <c r="B20" i="1" s="1"/>
  <c r="B21" i="1" s="1"/>
  <c r="D15" i="1"/>
  <c r="K383" i="7" l="1"/>
  <c r="L383" i="7"/>
  <c r="I383" i="7"/>
  <c r="D384" i="7"/>
  <c r="B383" i="7"/>
  <c r="N5" i="6"/>
  <c r="N4" i="6"/>
  <c r="I37" i="6"/>
  <c r="L36" i="6"/>
  <c r="G109" i="6"/>
  <c r="D110" i="6"/>
  <c r="I66" i="6"/>
  <c r="L65" i="6"/>
  <c r="B7" i="6"/>
  <c r="N6" i="6"/>
  <c r="B115" i="6"/>
  <c r="G114" i="6"/>
  <c r="G67" i="6"/>
  <c r="B68" i="6"/>
  <c r="B164" i="6"/>
  <c r="G163" i="6"/>
  <c r="I7" i="6"/>
  <c r="B111" i="6"/>
  <c r="L157" i="6"/>
  <c r="I158" i="6"/>
  <c r="B16" i="6"/>
  <c r="I95" i="6"/>
  <c r="G113" i="6"/>
  <c r="L278" i="6"/>
  <c r="I279" i="6"/>
  <c r="L124" i="6"/>
  <c r="L126" i="6"/>
  <c r="I128" i="6"/>
  <c r="L216" i="6"/>
  <c r="I217" i="6"/>
  <c r="I249" i="6"/>
  <c r="L248" i="6"/>
  <c r="L185" i="6"/>
  <c r="I186" i="6"/>
  <c r="L247" i="6"/>
  <c r="L308" i="6"/>
  <c r="I309" i="6"/>
  <c r="L338" i="6"/>
  <c r="I339" i="6"/>
  <c r="B339" i="6"/>
  <c r="G338" i="6"/>
  <c r="N338" i="6" s="1"/>
  <c r="G363" i="6"/>
  <c r="B364" i="6"/>
  <c r="N337" i="6"/>
  <c r="L139" i="1"/>
  <c r="L258" i="1"/>
  <c r="L25" i="1"/>
  <c r="L58" i="1"/>
  <c r="L83" i="1"/>
  <c r="L114" i="1"/>
  <c r="L146" i="1"/>
  <c r="L178" i="1"/>
  <c r="L266" i="1"/>
  <c r="L314" i="1"/>
  <c r="L26" i="1"/>
  <c r="L59" i="1"/>
  <c r="L90" i="1"/>
  <c r="L115" i="1"/>
  <c r="L147" i="1"/>
  <c r="L179" i="1"/>
  <c r="L218" i="1"/>
  <c r="L274" i="1"/>
  <c r="L322" i="1"/>
  <c r="L107" i="1"/>
  <c r="L91" i="1"/>
  <c r="L122" i="1"/>
  <c r="L226" i="1"/>
  <c r="L330" i="1"/>
  <c r="L171" i="1"/>
  <c r="L35" i="1"/>
  <c r="L66" i="1"/>
  <c r="L155" i="1"/>
  <c r="L186" i="1"/>
  <c r="L234" i="1"/>
  <c r="L282" i="1"/>
  <c r="L42" i="1"/>
  <c r="L67" i="1"/>
  <c r="L98" i="1"/>
  <c r="L130" i="1"/>
  <c r="L162" i="1"/>
  <c r="L187" i="1"/>
  <c r="L242" i="1"/>
  <c r="L290" i="1"/>
  <c r="L210" i="1"/>
  <c r="L43" i="1"/>
  <c r="L74" i="1"/>
  <c r="L99" i="1"/>
  <c r="L131" i="1"/>
  <c r="L163" i="1"/>
  <c r="L194" i="1"/>
  <c r="L298" i="1"/>
  <c r="L5" i="1"/>
  <c r="L17" i="1"/>
  <c r="L50" i="1"/>
  <c r="L75" i="1"/>
  <c r="L106" i="1"/>
  <c r="L138" i="1"/>
  <c r="L170" i="1"/>
  <c r="L202" i="1"/>
  <c r="L250" i="1"/>
  <c r="L306" i="1"/>
  <c r="L6" i="1"/>
  <c r="L251" i="1"/>
  <c r="L19" i="1"/>
  <c r="L27" i="1"/>
  <c r="L36" i="1"/>
  <c r="L44" i="1"/>
  <c r="L52" i="1"/>
  <c r="L60" i="1"/>
  <c r="L68" i="1"/>
  <c r="L76" i="1"/>
  <c r="L84" i="1"/>
  <c r="L92" i="1"/>
  <c r="L100" i="1"/>
  <c r="L108" i="1"/>
  <c r="L116" i="1"/>
  <c r="L124" i="1"/>
  <c r="L132" i="1"/>
  <c r="L140" i="1"/>
  <c r="L148" i="1"/>
  <c r="L156" i="1"/>
  <c r="L164" i="1"/>
  <c r="L172" i="1"/>
  <c r="L180" i="1"/>
  <c r="L188" i="1"/>
  <c r="L196" i="1"/>
  <c r="L204" i="1"/>
  <c r="L212" i="1"/>
  <c r="L220" i="1"/>
  <c r="L228" i="1"/>
  <c r="L236" i="1"/>
  <c r="L244" i="1"/>
  <c r="L252" i="1"/>
  <c r="L260" i="1"/>
  <c r="L268" i="1"/>
  <c r="L284" i="1"/>
  <c r="L292" i="1"/>
  <c r="L300" i="1"/>
  <c r="L308" i="1"/>
  <c r="L316" i="1"/>
  <c r="L324" i="1"/>
  <c r="L332" i="1"/>
  <c r="L340" i="1"/>
  <c r="L348" i="1"/>
  <c r="L356" i="1"/>
  <c r="L364" i="1"/>
  <c r="L7" i="1"/>
  <c r="L346" i="1"/>
  <c r="L243" i="1"/>
  <c r="L20" i="1"/>
  <c r="L28" i="1"/>
  <c r="L37" i="1"/>
  <c r="L45" i="1"/>
  <c r="L53" i="1"/>
  <c r="L61" i="1"/>
  <c r="L69" i="1"/>
  <c r="L77" i="1"/>
  <c r="L85" i="1"/>
  <c r="L101" i="1"/>
  <c r="L109" i="1"/>
  <c r="L117" i="1"/>
  <c r="L125" i="1"/>
  <c r="L133" i="1"/>
  <c r="L141" i="1"/>
  <c r="L149" i="1"/>
  <c r="L157" i="1"/>
  <c r="L165" i="1"/>
  <c r="L173" i="1"/>
  <c r="L181" i="1"/>
  <c r="L189" i="1"/>
  <c r="L197" i="1"/>
  <c r="L205" i="1"/>
  <c r="L213" i="1"/>
  <c r="L221" i="1"/>
  <c r="L229" i="1"/>
  <c r="L237" i="1"/>
  <c r="L245" i="1"/>
  <c r="L253" i="1"/>
  <c r="L261" i="1"/>
  <c r="L269" i="1"/>
  <c r="L277" i="1"/>
  <c r="L285" i="1"/>
  <c r="L293" i="1"/>
  <c r="L301" i="1"/>
  <c r="L309" i="1"/>
  <c r="L317" i="1"/>
  <c r="L325" i="1"/>
  <c r="L333" i="1"/>
  <c r="L341" i="1"/>
  <c r="L349" i="1"/>
  <c r="L357" i="1"/>
  <c r="L365" i="1"/>
  <c r="L8" i="1"/>
  <c r="G4" i="1"/>
  <c r="L14" i="1"/>
  <c r="L21" i="1"/>
  <c r="L29" i="1"/>
  <c r="L38" i="1"/>
  <c r="L46" i="1"/>
  <c r="L54" i="1"/>
  <c r="L70" i="1"/>
  <c r="L78" i="1"/>
  <c r="L86" i="1"/>
  <c r="L94" i="1"/>
  <c r="L102" i="1"/>
  <c r="L110" i="1"/>
  <c r="L118" i="1"/>
  <c r="L126" i="1"/>
  <c r="L134" i="1"/>
  <c r="L142" i="1"/>
  <c r="L150" i="1"/>
  <c r="L158" i="1"/>
  <c r="L166" i="1"/>
  <c r="L174" i="1"/>
  <c r="L182" i="1"/>
  <c r="L190" i="1"/>
  <c r="L198" i="1"/>
  <c r="L206" i="1"/>
  <c r="L214" i="1"/>
  <c r="L222" i="1"/>
  <c r="L230" i="1"/>
  <c r="L238" i="1"/>
  <c r="L254" i="1"/>
  <c r="L262" i="1"/>
  <c r="L270" i="1"/>
  <c r="L278" i="1"/>
  <c r="L286" i="1"/>
  <c r="L294" i="1"/>
  <c r="L302" i="1"/>
  <c r="L310" i="1"/>
  <c r="L318" i="1"/>
  <c r="L326" i="1"/>
  <c r="L334" i="1"/>
  <c r="L342" i="1"/>
  <c r="L350" i="1"/>
  <c r="L358" i="1"/>
  <c r="L366" i="1"/>
  <c r="L9" i="1"/>
  <c r="G5" i="1"/>
  <c r="L33" i="1"/>
  <c r="L22" i="1"/>
  <c r="L30" i="1"/>
  <c r="L39" i="1"/>
  <c r="L47" i="1"/>
  <c r="L55" i="1"/>
  <c r="L63" i="1"/>
  <c r="L71" i="1"/>
  <c r="L79" i="1"/>
  <c r="L87" i="1"/>
  <c r="L95" i="1"/>
  <c r="L103" i="1"/>
  <c r="L111" i="1"/>
  <c r="L119" i="1"/>
  <c r="L127" i="1"/>
  <c r="L135" i="1"/>
  <c r="L143" i="1"/>
  <c r="L151" i="1"/>
  <c r="L159" i="1"/>
  <c r="L167" i="1"/>
  <c r="L175" i="1"/>
  <c r="L183" i="1"/>
  <c r="L191" i="1"/>
  <c r="L199" i="1"/>
  <c r="L207" i="1"/>
  <c r="L223" i="1"/>
  <c r="L231" i="1"/>
  <c r="L239" i="1"/>
  <c r="L247" i="1"/>
  <c r="L255" i="1"/>
  <c r="L263" i="1"/>
  <c r="L271" i="1"/>
  <c r="L279" i="1"/>
  <c r="L287" i="1"/>
  <c r="L295" i="1"/>
  <c r="L303" i="1"/>
  <c r="L311" i="1"/>
  <c r="L319" i="1"/>
  <c r="L327" i="1"/>
  <c r="L335" i="1"/>
  <c r="L343" i="1"/>
  <c r="L351" i="1"/>
  <c r="L359" i="1"/>
  <c r="L10" i="1"/>
  <c r="L338" i="1"/>
  <c r="L354" i="1"/>
  <c r="L362" i="1"/>
  <c r="L203" i="1"/>
  <c r="L211" i="1"/>
  <c r="L219" i="1"/>
  <c r="L235" i="1"/>
  <c r="L259" i="1"/>
  <c r="L267" i="1"/>
  <c r="L275" i="1"/>
  <c r="L283" i="1"/>
  <c r="L291" i="1"/>
  <c r="L299" i="1"/>
  <c r="L315" i="1"/>
  <c r="L331" i="1"/>
  <c r="L363" i="1"/>
  <c r="G6" i="1"/>
  <c r="L15" i="1"/>
  <c r="L23" i="1"/>
  <c r="L31" i="1"/>
  <c r="L40" i="1"/>
  <c r="L48" i="1"/>
  <c r="L56" i="1"/>
  <c r="L64" i="1"/>
  <c r="L72" i="1"/>
  <c r="L80" i="1"/>
  <c r="L88" i="1"/>
  <c r="L96" i="1"/>
  <c r="L104" i="1"/>
  <c r="L112" i="1"/>
  <c r="L120" i="1"/>
  <c r="L128" i="1"/>
  <c r="L136" i="1"/>
  <c r="L144" i="1"/>
  <c r="L152" i="1"/>
  <c r="L160" i="1"/>
  <c r="L168" i="1"/>
  <c r="L176" i="1"/>
  <c r="L192" i="1"/>
  <c r="L200" i="1"/>
  <c r="L208" i="1"/>
  <c r="L216" i="1"/>
  <c r="L224" i="1"/>
  <c r="L232" i="1"/>
  <c r="L240" i="1"/>
  <c r="L248" i="1"/>
  <c r="L256" i="1"/>
  <c r="L264" i="1"/>
  <c r="L272" i="1"/>
  <c r="L280" i="1"/>
  <c r="L288" i="1"/>
  <c r="L296" i="1"/>
  <c r="L304" i="1"/>
  <c r="L312" i="1"/>
  <c r="L320" i="1"/>
  <c r="L328" i="1"/>
  <c r="L336" i="1"/>
  <c r="L344" i="1"/>
  <c r="L352" i="1"/>
  <c r="L360" i="1"/>
  <c r="L11" i="1"/>
  <c r="L195" i="1"/>
  <c r="L227" i="1"/>
  <c r="L323" i="1"/>
  <c r="L339" i="1"/>
  <c r="L347" i="1"/>
  <c r="L355" i="1"/>
  <c r="L16" i="1"/>
  <c r="L24" i="1"/>
  <c r="L32" i="1"/>
  <c r="L41" i="1"/>
  <c r="L49" i="1"/>
  <c r="L57" i="1"/>
  <c r="L65" i="1"/>
  <c r="L73" i="1"/>
  <c r="L81" i="1"/>
  <c r="L89" i="1"/>
  <c r="L97" i="1"/>
  <c r="L105" i="1"/>
  <c r="L113" i="1"/>
  <c r="L121" i="1"/>
  <c r="L129" i="1"/>
  <c r="L137" i="1"/>
  <c r="L145" i="1"/>
  <c r="L153" i="1"/>
  <c r="L161" i="1"/>
  <c r="L169" i="1"/>
  <c r="L177" i="1"/>
  <c r="L185" i="1"/>
  <c r="L193" i="1"/>
  <c r="L201" i="1"/>
  <c r="L209" i="1"/>
  <c r="L217" i="1"/>
  <c r="L225" i="1"/>
  <c r="L233" i="1"/>
  <c r="L241" i="1"/>
  <c r="L249" i="1"/>
  <c r="L257" i="1"/>
  <c r="L265" i="1"/>
  <c r="L273" i="1"/>
  <c r="L281" i="1"/>
  <c r="L289" i="1"/>
  <c r="L297" i="1"/>
  <c r="L305" i="1"/>
  <c r="L313" i="1"/>
  <c r="L321" i="1"/>
  <c r="L329" i="1"/>
  <c r="L345" i="1"/>
  <c r="L353" i="1"/>
  <c r="L361" i="1"/>
  <c r="L4" i="1"/>
  <c r="L12" i="1"/>
  <c r="B364" i="1"/>
  <c r="N336" i="1"/>
  <c r="N4" i="1"/>
  <c r="N12" i="1"/>
  <c r="N11" i="1"/>
  <c r="N6" i="1"/>
  <c r="N5" i="1"/>
  <c r="N8" i="1"/>
  <c r="N9" i="1"/>
  <c r="N10" i="1"/>
  <c r="B365" i="1"/>
  <c r="B351" i="1"/>
  <c r="D338" i="1"/>
  <c r="G337" i="1"/>
  <c r="N337" i="1" s="1"/>
  <c r="H3" i="4"/>
  <c r="C4" i="5"/>
  <c r="C5" i="5" s="1"/>
  <c r="G5" i="5"/>
  <c r="C6" i="5"/>
  <c r="G4" i="5"/>
  <c r="C5" i="4"/>
  <c r="H4" i="4"/>
  <c r="G5" i="3"/>
  <c r="C6" i="3"/>
  <c r="G3" i="3"/>
  <c r="G4" i="3"/>
  <c r="C4" i="2"/>
  <c r="C5" i="2" s="1"/>
  <c r="C6" i="2"/>
  <c r="G5" i="2"/>
  <c r="G4" i="2"/>
  <c r="B22" i="1"/>
  <c r="G15" i="1"/>
  <c r="N15" i="1" s="1"/>
  <c r="D16" i="1"/>
  <c r="G14" i="1"/>
  <c r="N14" i="1" s="1"/>
  <c r="L384" i="7" l="1"/>
  <c r="I384" i="7"/>
  <c r="K384" i="7"/>
  <c r="B384" i="7"/>
  <c r="D385" i="7"/>
  <c r="I67" i="6"/>
  <c r="N66" i="6"/>
  <c r="L66" i="6"/>
  <c r="L249" i="6"/>
  <c r="I250" i="6"/>
  <c r="G110" i="6"/>
  <c r="D111" i="6"/>
  <c r="G111" i="6" s="1"/>
  <c r="B340" i="6"/>
  <c r="G339" i="6"/>
  <c r="N339" i="6" s="1"/>
  <c r="B165" i="6"/>
  <c r="G164" i="6"/>
  <c r="G364" i="6"/>
  <c r="B365" i="6"/>
  <c r="L128" i="6"/>
  <c r="I129" i="6"/>
  <c r="L158" i="6"/>
  <c r="I159" i="6"/>
  <c r="B116" i="6"/>
  <c r="G115" i="6"/>
  <c r="L217" i="6"/>
  <c r="I218" i="6"/>
  <c r="I310" i="6"/>
  <c r="L309" i="6"/>
  <c r="G16" i="6"/>
  <c r="B17" i="6"/>
  <c r="I280" i="6"/>
  <c r="L279" i="6"/>
  <c r="L339" i="6"/>
  <c r="I340" i="6"/>
  <c r="I8" i="6"/>
  <c r="L7" i="6"/>
  <c r="L95" i="6"/>
  <c r="I96" i="6"/>
  <c r="G68" i="6"/>
  <c r="B69" i="6"/>
  <c r="I38" i="6"/>
  <c r="L37" i="6"/>
  <c r="L186" i="6"/>
  <c r="I187" i="6"/>
  <c r="N67" i="6"/>
  <c r="G7" i="6"/>
  <c r="N7" i="6" s="1"/>
  <c r="B352" i="1"/>
  <c r="B366" i="1"/>
  <c r="G338" i="1"/>
  <c r="N338" i="1" s="1"/>
  <c r="D339" i="1"/>
  <c r="B23" i="1"/>
  <c r="G6" i="5"/>
  <c r="C7" i="5"/>
  <c r="C6" i="4"/>
  <c r="H5" i="4"/>
  <c r="G6" i="3"/>
  <c r="C7" i="3"/>
  <c r="G6" i="2"/>
  <c r="C7" i="2"/>
  <c r="D17" i="1"/>
  <c r="G16" i="1"/>
  <c r="N16" i="1" s="1"/>
  <c r="D386" i="7" l="1"/>
  <c r="B385" i="7"/>
  <c r="I385" i="7"/>
  <c r="L385" i="7"/>
  <c r="K385" i="7"/>
  <c r="I68" i="6"/>
  <c r="L67" i="6"/>
  <c r="B70" i="6"/>
  <c r="G69" i="6"/>
  <c r="B341" i="6"/>
  <c r="G340" i="6"/>
  <c r="N340" i="6" s="1"/>
  <c r="I341" i="6"/>
  <c r="L340" i="6"/>
  <c r="I39" i="6"/>
  <c r="L38" i="6"/>
  <c r="L310" i="6"/>
  <c r="I311" i="6"/>
  <c r="L129" i="6"/>
  <c r="I130" i="6"/>
  <c r="L96" i="6"/>
  <c r="I97" i="6"/>
  <c r="I188" i="6"/>
  <c r="L187" i="6"/>
  <c r="L250" i="6"/>
  <c r="I251" i="6"/>
  <c r="I219" i="6"/>
  <c r="L218" i="6"/>
  <c r="I281" i="6"/>
  <c r="L280" i="6"/>
  <c r="G365" i="6"/>
  <c r="B366" i="6"/>
  <c r="G17" i="6"/>
  <c r="B18" i="6"/>
  <c r="B117" i="6"/>
  <c r="G116" i="6"/>
  <c r="L159" i="6"/>
  <c r="I160" i="6"/>
  <c r="N8" i="6"/>
  <c r="I9" i="6"/>
  <c r="L8" i="6"/>
  <c r="B166" i="6"/>
  <c r="G165" i="6"/>
  <c r="B353" i="1"/>
  <c r="B367" i="1"/>
  <c r="D340" i="1"/>
  <c r="G339" i="1"/>
  <c r="N339" i="1" s="1"/>
  <c r="B24" i="1"/>
  <c r="C8" i="5"/>
  <c r="G7" i="5"/>
  <c r="H6" i="4"/>
  <c r="C7" i="4"/>
  <c r="C8" i="3"/>
  <c r="G7" i="3"/>
  <c r="C8" i="2"/>
  <c r="G7" i="2"/>
  <c r="D18" i="1"/>
  <c r="G17" i="1"/>
  <c r="N17" i="1" s="1"/>
  <c r="D387" i="7" l="1"/>
  <c r="B386" i="7"/>
  <c r="K386" i="7" s="1"/>
  <c r="L386" i="7"/>
  <c r="I386" i="7"/>
  <c r="B367" i="6"/>
  <c r="G366" i="6"/>
  <c r="L188" i="6"/>
  <c r="I189" i="6"/>
  <c r="I40" i="6"/>
  <c r="L39" i="6"/>
  <c r="I161" i="6"/>
  <c r="L160" i="6"/>
  <c r="L97" i="6"/>
  <c r="I98" i="6"/>
  <c r="G166" i="6"/>
  <c r="B167" i="6"/>
  <c r="G117" i="6"/>
  <c r="B118" i="6"/>
  <c r="L281" i="6"/>
  <c r="I282" i="6"/>
  <c r="I342" i="6"/>
  <c r="L341" i="6"/>
  <c r="L68" i="6"/>
  <c r="I69" i="6"/>
  <c r="N69" i="6" s="1"/>
  <c r="N68" i="6"/>
  <c r="B71" i="6"/>
  <c r="G70" i="6"/>
  <c r="L130" i="6"/>
  <c r="I131" i="6"/>
  <c r="G18" i="6"/>
  <c r="B19" i="6"/>
  <c r="L9" i="6"/>
  <c r="I10" i="6"/>
  <c r="N9" i="6"/>
  <c r="I220" i="6"/>
  <c r="L219" i="6"/>
  <c r="G341" i="6"/>
  <c r="N341" i="6" s="1"/>
  <c r="B342" i="6"/>
  <c r="L251" i="6"/>
  <c r="I252" i="6"/>
  <c r="I312" i="6"/>
  <c r="L311" i="6"/>
  <c r="B354" i="1"/>
  <c r="D362" i="1"/>
  <c r="G361" i="1"/>
  <c r="N361" i="1" s="1"/>
  <c r="D341" i="1"/>
  <c r="G340" i="1"/>
  <c r="N340" i="1" s="1"/>
  <c r="B25" i="1"/>
  <c r="G8" i="5"/>
  <c r="C9" i="5"/>
  <c r="C8" i="4"/>
  <c r="H7" i="4"/>
  <c r="C9" i="3"/>
  <c r="G8" i="3"/>
  <c r="C9" i="2"/>
  <c r="G8" i="2"/>
  <c r="D19" i="1"/>
  <c r="G18" i="1"/>
  <c r="N18" i="1" s="1"/>
  <c r="K387" i="7" l="1"/>
  <c r="L387" i="7"/>
  <c r="I387" i="7"/>
  <c r="D388" i="7"/>
  <c r="B387" i="7"/>
  <c r="L40" i="6"/>
  <c r="I41" i="6"/>
  <c r="I132" i="6"/>
  <c r="L131" i="6"/>
  <c r="G167" i="6"/>
  <c r="B168" i="6"/>
  <c r="I190" i="6"/>
  <c r="L189" i="6"/>
  <c r="I221" i="6"/>
  <c r="L220" i="6"/>
  <c r="L342" i="6"/>
  <c r="I343" i="6"/>
  <c r="B72" i="6"/>
  <c r="G71" i="6"/>
  <c r="G367" i="6"/>
  <c r="L282" i="6"/>
  <c r="I283" i="6"/>
  <c r="I99" i="6"/>
  <c r="L98" i="6"/>
  <c r="I11" i="6"/>
  <c r="L10" i="6"/>
  <c r="N10" i="6"/>
  <c r="B343" i="6"/>
  <c r="G342" i="6"/>
  <c r="N342" i="6" s="1"/>
  <c r="B119" i="6"/>
  <c r="G118" i="6"/>
  <c r="I162" i="6"/>
  <c r="N161" i="6"/>
  <c r="L161" i="6"/>
  <c r="I313" i="6"/>
  <c r="L312" i="6"/>
  <c r="I253" i="6"/>
  <c r="L252" i="6"/>
  <c r="B20" i="6"/>
  <c r="G19" i="6"/>
  <c r="L69" i="6"/>
  <c r="I70" i="6"/>
  <c r="B355" i="1"/>
  <c r="D363" i="1"/>
  <c r="G362" i="1"/>
  <c r="N362" i="1" s="1"/>
  <c r="D342" i="1"/>
  <c r="G341" i="1"/>
  <c r="N341" i="1" s="1"/>
  <c r="B26" i="1"/>
  <c r="C10" i="5"/>
  <c r="G9" i="5"/>
  <c r="H8" i="4"/>
  <c r="C9" i="4"/>
  <c r="C10" i="3"/>
  <c r="G9" i="3"/>
  <c r="C10" i="2"/>
  <c r="G9" i="2"/>
  <c r="G19" i="1"/>
  <c r="N19" i="1" s="1"/>
  <c r="D20" i="1"/>
  <c r="D21" i="1" s="1"/>
  <c r="L388" i="7" l="1"/>
  <c r="B388" i="7"/>
  <c r="I388" i="7"/>
  <c r="K388" i="7"/>
  <c r="D389" i="7"/>
  <c r="I284" i="6"/>
  <c r="L283" i="6"/>
  <c r="L70" i="6"/>
  <c r="I71" i="6"/>
  <c r="I314" i="6"/>
  <c r="L313" i="6"/>
  <c r="I133" i="6"/>
  <c r="L132" i="6"/>
  <c r="B344" i="6"/>
  <c r="G343" i="6"/>
  <c r="N343" i="6" s="1"/>
  <c r="L221" i="6"/>
  <c r="I222" i="6"/>
  <c r="L41" i="6"/>
  <c r="I42" i="6"/>
  <c r="B21" i="6"/>
  <c r="G20" i="6"/>
  <c r="I191" i="6"/>
  <c r="L190" i="6"/>
  <c r="L11" i="6"/>
  <c r="I12" i="6"/>
  <c r="N11" i="6"/>
  <c r="G168" i="6"/>
  <c r="B169" i="6"/>
  <c r="L162" i="6"/>
  <c r="I163" i="6"/>
  <c r="N162" i="6"/>
  <c r="N70" i="6"/>
  <c r="G72" i="6"/>
  <c r="B73" i="6"/>
  <c r="I254" i="6"/>
  <c r="L253" i="6"/>
  <c r="G119" i="6"/>
  <c r="B120" i="6"/>
  <c r="I100" i="6"/>
  <c r="L99" i="6"/>
  <c r="L343" i="6"/>
  <c r="I344" i="6"/>
  <c r="G363" i="1"/>
  <c r="N363" i="1" s="1"/>
  <c r="D364" i="1"/>
  <c r="B356" i="1"/>
  <c r="G342" i="1"/>
  <c r="N342" i="1" s="1"/>
  <c r="D343" i="1"/>
  <c r="B27" i="1"/>
  <c r="D22" i="1"/>
  <c r="G21" i="1"/>
  <c r="N21" i="1" s="1"/>
  <c r="C11" i="5"/>
  <c r="G10" i="5"/>
  <c r="C10" i="4"/>
  <c r="H9" i="4"/>
  <c r="C11" i="3"/>
  <c r="G10" i="3"/>
  <c r="C11" i="2"/>
  <c r="G10" i="2"/>
  <c r="G20" i="1"/>
  <c r="N20" i="1" s="1"/>
  <c r="D390" i="7" l="1"/>
  <c r="B389" i="7"/>
  <c r="I389" i="7"/>
  <c r="L389" i="7"/>
  <c r="K389" i="7"/>
  <c r="L222" i="6"/>
  <c r="I223" i="6"/>
  <c r="L314" i="6"/>
  <c r="I315" i="6"/>
  <c r="L163" i="6"/>
  <c r="I164" i="6"/>
  <c r="N163" i="6"/>
  <c r="I72" i="6"/>
  <c r="L71" i="6"/>
  <c r="I192" i="6"/>
  <c r="L191" i="6"/>
  <c r="G120" i="6"/>
  <c r="B121" i="6"/>
  <c r="I255" i="6"/>
  <c r="L254" i="6"/>
  <c r="G169" i="6"/>
  <c r="B170" i="6"/>
  <c r="N344" i="6"/>
  <c r="B345" i="6"/>
  <c r="G344" i="6"/>
  <c r="I285" i="6"/>
  <c r="L284" i="6"/>
  <c r="B22" i="6"/>
  <c r="G21" i="6"/>
  <c r="I13" i="6"/>
  <c r="I14" i="6" s="1"/>
  <c r="L12" i="6"/>
  <c r="N12" i="6"/>
  <c r="L344" i="6"/>
  <c r="I345" i="6"/>
  <c r="G73" i="6"/>
  <c r="B74" i="6"/>
  <c r="I101" i="6"/>
  <c r="L100" i="6"/>
  <c r="L42" i="6"/>
  <c r="I43" i="6"/>
  <c r="I134" i="6"/>
  <c r="L133" i="6"/>
  <c r="N71" i="6"/>
  <c r="B357" i="1"/>
  <c r="D365" i="1"/>
  <c r="G364" i="1"/>
  <c r="N364" i="1" s="1"/>
  <c r="D344" i="1"/>
  <c r="G343" i="1"/>
  <c r="N343" i="1" s="1"/>
  <c r="B28" i="1"/>
  <c r="G22" i="1"/>
  <c r="N22" i="1" s="1"/>
  <c r="D23" i="1"/>
  <c r="C12" i="5"/>
  <c r="G11" i="5"/>
  <c r="H10" i="4"/>
  <c r="C11" i="4"/>
  <c r="C12" i="3"/>
  <c r="G11" i="3"/>
  <c r="G11" i="2"/>
  <c r="C12" i="2"/>
  <c r="I390" i="7" l="1"/>
  <c r="B390" i="7"/>
  <c r="D391" i="7"/>
  <c r="L390" i="7"/>
  <c r="K390" i="7"/>
  <c r="L164" i="6"/>
  <c r="I165" i="6"/>
  <c r="N164" i="6"/>
  <c r="G345" i="6"/>
  <c r="N345" i="6" s="1"/>
  <c r="B346" i="6"/>
  <c r="G121" i="6"/>
  <c r="B122" i="6"/>
  <c r="L101" i="6"/>
  <c r="I102" i="6"/>
  <c r="I15" i="6"/>
  <c r="L14" i="6"/>
  <c r="N14" i="6"/>
  <c r="G170" i="6"/>
  <c r="B171" i="6"/>
  <c r="I193" i="6"/>
  <c r="L192" i="6"/>
  <c r="I224" i="6"/>
  <c r="L223" i="6"/>
  <c r="I316" i="6"/>
  <c r="L315" i="6"/>
  <c r="G74" i="6"/>
  <c r="B75" i="6"/>
  <c r="B23" i="6"/>
  <c r="G22" i="6"/>
  <c r="L43" i="6"/>
  <c r="I44" i="6"/>
  <c r="L285" i="6"/>
  <c r="I286" i="6"/>
  <c r="L255" i="6"/>
  <c r="I256" i="6"/>
  <c r="I135" i="6"/>
  <c r="L134" i="6"/>
  <c r="I346" i="6"/>
  <c r="L345" i="6"/>
  <c r="I73" i="6"/>
  <c r="L72" i="6"/>
  <c r="N72" i="6"/>
  <c r="D366" i="1"/>
  <c r="G365" i="1"/>
  <c r="N365" i="1" s="1"/>
  <c r="B358" i="1"/>
  <c r="D345" i="1"/>
  <c r="G344" i="1"/>
  <c r="N344" i="1" s="1"/>
  <c r="B29" i="1"/>
  <c r="D24" i="1"/>
  <c r="G23" i="1"/>
  <c r="N23" i="1" s="1"/>
  <c r="C13" i="5"/>
  <c r="G12" i="5"/>
  <c r="H11" i="4"/>
  <c r="C12" i="4"/>
  <c r="C13" i="3"/>
  <c r="G12" i="3"/>
  <c r="C13" i="2"/>
  <c r="G12" i="2"/>
  <c r="K391" i="7" l="1"/>
  <c r="I391" i="7"/>
  <c r="L391" i="7"/>
  <c r="D392" i="7"/>
  <c r="B391" i="7"/>
  <c r="L135" i="6"/>
  <c r="I136" i="6"/>
  <c r="L224" i="6"/>
  <c r="I225" i="6"/>
  <c r="I16" i="6"/>
  <c r="N15" i="6"/>
  <c r="L15" i="6"/>
  <c r="L165" i="6"/>
  <c r="I166" i="6"/>
  <c r="N165" i="6"/>
  <c r="I347" i="6"/>
  <c r="L346" i="6"/>
  <c r="B347" i="6"/>
  <c r="G346" i="6"/>
  <c r="N346" i="6" s="1"/>
  <c r="L193" i="6"/>
  <c r="I194" i="6"/>
  <c r="L286" i="6"/>
  <c r="I287" i="6"/>
  <c r="G75" i="6"/>
  <c r="B76" i="6"/>
  <c r="G171" i="6"/>
  <c r="B172" i="6"/>
  <c r="B123" i="6"/>
  <c r="G122" i="6"/>
  <c r="L316" i="6"/>
  <c r="I317" i="6"/>
  <c r="I257" i="6"/>
  <c r="L256" i="6"/>
  <c r="G23" i="6"/>
  <c r="B24" i="6"/>
  <c r="L102" i="6"/>
  <c r="I103" i="6"/>
  <c r="I74" i="6"/>
  <c r="N74" i="6" s="1"/>
  <c r="L73" i="6"/>
  <c r="N73" i="6"/>
  <c r="I45" i="6"/>
  <c r="L44" i="6"/>
  <c r="B359" i="1"/>
  <c r="D367" i="1"/>
  <c r="G366" i="1"/>
  <c r="N366" i="1" s="1"/>
  <c r="G345" i="1"/>
  <c r="N345" i="1" s="1"/>
  <c r="D346" i="1"/>
  <c r="B30" i="1"/>
  <c r="D25" i="1"/>
  <c r="G24" i="1"/>
  <c r="N24" i="1" s="1"/>
  <c r="G13" i="5"/>
  <c r="C14" i="5"/>
  <c r="C13" i="4"/>
  <c r="H12" i="4"/>
  <c r="G13" i="3"/>
  <c r="C14" i="3"/>
  <c r="C14" i="2"/>
  <c r="G13" i="2"/>
  <c r="L392" i="7" l="1"/>
  <c r="I392" i="7"/>
  <c r="D393" i="7"/>
  <c r="K392" i="7"/>
  <c r="B392" i="7"/>
  <c r="B124" i="6"/>
  <c r="G123" i="6"/>
  <c r="N123" i="6"/>
  <c r="L287" i="6"/>
  <c r="I288" i="6"/>
  <c r="L347" i="6"/>
  <c r="I348" i="6"/>
  <c r="G24" i="6"/>
  <c r="B25" i="6"/>
  <c r="L136" i="6"/>
  <c r="I137" i="6"/>
  <c r="I226" i="6"/>
  <c r="L225" i="6"/>
  <c r="L194" i="6"/>
  <c r="I195" i="6"/>
  <c r="L166" i="6"/>
  <c r="I167" i="6"/>
  <c r="N166" i="6"/>
  <c r="G172" i="6"/>
  <c r="B173" i="6"/>
  <c r="I46" i="6"/>
  <c r="L45" i="6"/>
  <c r="L257" i="6"/>
  <c r="I258" i="6"/>
  <c r="I75" i="6"/>
  <c r="L74" i="6"/>
  <c r="I318" i="6"/>
  <c r="L317" i="6"/>
  <c r="B77" i="6"/>
  <c r="G76" i="6"/>
  <c r="L103" i="6"/>
  <c r="I104" i="6"/>
  <c r="B348" i="6"/>
  <c r="G347" i="6"/>
  <c r="N347" i="6" s="1"/>
  <c r="I17" i="6"/>
  <c r="L16" i="6"/>
  <c r="N16" i="6"/>
  <c r="G367" i="1"/>
  <c r="N367" i="1" s="1"/>
  <c r="B360" i="1"/>
  <c r="D347" i="1"/>
  <c r="G346" i="1"/>
  <c r="N346" i="1" s="1"/>
  <c r="B31" i="1"/>
  <c r="D26" i="1"/>
  <c r="G25" i="1"/>
  <c r="N25" i="1" s="1"/>
  <c r="C15" i="5"/>
  <c r="G14" i="5"/>
  <c r="C14" i="4"/>
  <c r="H13" i="4"/>
  <c r="C15" i="3"/>
  <c r="G14" i="3"/>
  <c r="C15" i="2"/>
  <c r="G14" i="2"/>
  <c r="D394" i="7" l="1"/>
  <c r="I393" i="7"/>
  <c r="B393" i="7"/>
  <c r="L393" i="7"/>
  <c r="K393" i="7"/>
  <c r="B174" i="6"/>
  <c r="G173" i="6"/>
  <c r="B349" i="6"/>
  <c r="G348" i="6"/>
  <c r="N348" i="6"/>
  <c r="L137" i="6"/>
  <c r="I138" i="6"/>
  <c r="L258" i="6"/>
  <c r="I259" i="6"/>
  <c r="I319" i="6"/>
  <c r="L318" i="6"/>
  <c r="G25" i="6"/>
  <c r="B26" i="6"/>
  <c r="G124" i="6"/>
  <c r="N124" i="6"/>
  <c r="B125" i="6"/>
  <c r="L75" i="6"/>
  <c r="I76" i="6"/>
  <c r="B78" i="6"/>
  <c r="G77" i="6"/>
  <c r="L195" i="6"/>
  <c r="I196" i="6"/>
  <c r="N75" i="6"/>
  <c r="I227" i="6"/>
  <c r="L226" i="6"/>
  <c r="I289" i="6"/>
  <c r="L288" i="6"/>
  <c r="I105" i="6"/>
  <c r="L104" i="6"/>
  <c r="L167" i="6"/>
  <c r="I168" i="6"/>
  <c r="N167" i="6"/>
  <c r="I18" i="6"/>
  <c r="L17" i="6"/>
  <c r="N17" i="6"/>
  <c r="I47" i="6"/>
  <c r="L46" i="6"/>
  <c r="L348" i="6"/>
  <c r="I349" i="6"/>
  <c r="D348" i="1"/>
  <c r="G347" i="1"/>
  <c r="N347" i="1" s="1"/>
  <c r="B32" i="1"/>
  <c r="D27" i="1"/>
  <c r="G26" i="1"/>
  <c r="N26" i="1" s="1"/>
  <c r="G15" i="5"/>
  <c r="C16" i="5"/>
  <c r="C15" i="4"/>
  <c r="H14" i="4"/>
  <c r="G15" i="3"/>
  <c r="G15" i="2"/>
  <c r="C16" i="2"/>
  <c r="D395" i="7" l="1"/>
  <c r="I394" i="7"/>
  <c r="L394" i="7"/>
  <c r="K394" i="7"/>
  <c r="B394" i="7"/>
  <c r="L18" i="6"/>
  <c r="I19" i="6"/>
  <c r="N18" i="6"/>
  <c r="L76" i="6"/>
  <c r="I77" i="6"/>
  <c r="G349" i="6"/>
  <c r="N349" i="6" s="1"/>
  <c r="B350" i="6"/>
  <c r="G125" i="6"/>
  <c r="B126" i="6"/>
  <c r="N125" i="6"/>
  <c r="I260" i="6"/>
  <c r="L259" i="6"/>
  <c r="I228" i="6"/>
  <c r="L227" i="6"/>
  <c r="L196" i="6"/>
  <c r="I197" i="6"/>
  <c r="B175" i="6"/>
  <c r="G174" i="6"/>
  <c r="G26" i="6"/>
  <c r="B27" i="6"/>
  <c r="I139" i="6"/>
  <c r="L138" i="6"/>
  <c r="I290" i="6"/>
  <c r="L289" i="6"/>
  <c r="B79" i="6"/>
  <c r="G78" i="6"/>
  <c r="L319" i="6"/>
  <c r="I320" i="6"/>
  <c r="I350" i="6"/>
  <c r="L349" i="6"/>
  <c r="I169" i="6"/>
  <c r="L168" i="6"/>
  <c r="N168" i="6"/>
  <c r="I48" i="6"/>
  <c r="L47" i="6"/>
  <c r="I106" i="6"/>
  <c r="L105" i="6"/>
  <c r="N76" i="6"/>
  <c r="D349" i="1"/>
  <c r="G348" i="1"/>
  <c r="N348" i="1" s="1"/>
  <c r="B33" i="1"/>
  <c r="D28" i="1"/>
  <c r="G27" i="1"/>
  <c r="N27" i="1" s="1"/>
  <c r="C17" i="5"/>
  <c r="G16" i="5"/>
  <c r="H15" i="4"/>
  <c r="C16" i="4"/>
  <c r="C17" i="2"/>
  <c r="G16" i="2"/>
  <c r="K395" i="7" l="1"/>
  <c r="I395" i="7"/>
  <c r="D396" i="7"/>
  <c r="L395" i="7"/>
  <c r="B395" i="7"/>
  <c r="G79" i="6"/>
  <c r="B80" i="6"/>
  <c r="I261" i="6"/>
  <c r="L260" i="6"/>
  <c r="L290" i="6"/>
  <c r="I291" i="6"/>
  <c r="B176" i="6"/>
  <c r="G175" i="6"/>
  <c r="G126" i="6"/>
  <c r="N126" i="6"/>
  <c r="B127" i="6"/>
  <c r="L19" i="6"/>
  <c r="I20" i="6"/>
  <c r="N19" i="6"/>
  <c r="B28" i="6"/>
  <c r="G27" i="6"/>
  <c r="L228" i="6"/>
  <c r="I229" i="6"/>
  <c r="I351" i="6"/>
  <c r="L350" i="6"/>
  <c r="I198" i="6"/>
  <c r="L197" i="6"/>
  <c r="L48" i="6"/>
  <c r="I49" i="6"/>
  <c r="L77" i="6"/>
  <c r="I78" i="6"/>
  <c r="N78" i="6" s="1"/>
  <c r="N77" i="6"/>
  <c r="I170" i="6"/>
  <c r="L169" i="6"/>
  <c r="N169" i="6"/>
  <c r="I107" i="6"/>
  <c r="L106" i="6"/>
  <c r="L320" i="6"/>
  <c r="I321" i="6"/>
  <c r="I140" i="6"/>
  <c r="L139" i="6"/>
  <c r="G350" i="6"/>
  <c r="B351" i="6"/>
  <c r="N350" i="6"/>
  <c r="G349" i="1"/>
  <c r="N349" i="1" s="1"/>
  <c r="D350" i="1"/>
  <c r="B34" i="1"/>
  <c r="D29" i="1"/>
  <c r="G28" i="1"/>
  <c r="N28" i="1" s="1"/>
  <c r="C18" i="5"/>
  <c r="G17" i="5"/>
  <c r="C17" i="4"/>
  <c r="H16" i="4"/>
  <c r="C18" i="2"/>
  <c r="G17" i="2"/>
  <c r="L396" i="7" l="1"/>
  <c r="B396" i="7"/>
  <c r="I396" i="7"/>
  <c r="K396" i="7"/>
  <c r="D397" i="7"/>
  <c r="G176" i="6"/>
  <c r="B177" i="6"/>
  <c r="L107" i="6"/>
  <c r="I108" i="6"/>
  <c r="I199" i="6"/>
  <c r="L198" i="6"/>
  <c r="L49" i="6"/>
  <c r="I50" i="6"/>
  <c r="B29" i="6"/>
  <c r="G28" i="6"/>
  <c r="G80" i="6"/>
  <c r="B81" i="6"/>
  <c r="L20" i="6"/>
  <c r="I21" i="6"/>
  <c r="N20" i="6"/>
  <c r="I292" i="6"/>
  <c r="L291" i="6"/>
  <c r="I322" i="6"/>
  <c r="L321" i="6"/>
  <c r="I79" i="6"/>
  <c r="L78" i="6"/>
  <c r="L229" i="6"/>
  <c r="I230" i="6"/>
  <c r="B128" i="6"/>
  <c r="G127" i="6"/>
  <c r="N127" i="6"/>
  <c r="I262" i="6"/>
  <c r="L261" i="6"/>
  <c r="N351" i="6"/>
  <c r="G351" i="6"/>
  <c r="B352" i="6"/>
  <c r="L170" i="6"/>
  <c r="I171" i="6"/>
  <c r="N170" i="6"/>
  <c r="I141" i="6"/>
  <c r="L140" i="6"/>
  <c r="L351" i="6"/>
  <c r="I352" i="6"/>
  <c r="D351" i="1"/>
  <c r="G350" i="1"/>
  <c r="N350" i="1" s="1"/>
  <c r="B35" i="1"/>
  <c r="D30" i="1"/>
  <c r="G29" i="1"/>
  <c r="N29" i="1" s="1"/>
  <c r="C19" i="5"/>
  <c r="G18" i="5"/>
  <c r="C18" i="4"/>
  <c r="H17" i="4"/>
  <c r="C19" i="2"/>
  <c r="G18" i="2"/>
  <c r="D398" i="7" l="1"/>
  <c r="B397" i="7"/>
  <c r="L397" i="7"/>
  <c r="I397" i="7"/>
  <c r="K397" i="7"/>
  <c r="I200" i="6"/>
  <c r="L199" i="6"/>
  <c r="B30" i="6"/>
  <c r="G29" i="6"/>
  <c r="G177" i="6"/>
  <c r="B178" i="6"/>
  <c r="G352" i="6"/>
  <c r="N352" i="6" s="1"/>
  <c r="B353" i="6"/>
  <c r="L230" i="6"/>
  <c r="I231" i="6"/>
  <c r="L352" i="6"/>
  <c r="I353" i="6"/>
  <c r="L21" i="6"/>
  <c r="I22" i="6"/>
  <c r="N21" i="6"/>
  <c r="L50" i="6"/>
  <c r="I51" i="6"/>
  <c r="I142" i="6"/>
  <c r="L141" i="6"/>
  <c r="L262" i="6"/>
  <c r="I263" i="6"/>
  <c r="I109" i="6"/>
  <c r="L108" i="6"/>
  <c r="L171" i="6"/>
  <c r="I172" i="6"/>
  <c r="N171" i="6"/>
  <c r="G128" i="6"/>
  <c r="N128" i="6" s="1"/>
  <c r="B129" i="6"/>
  <c r="I293" i="6"/>
  <c r="L292" i="6"/>
  <c r="I323" i="6"/>
  <c r="L322" i="6"/>
  <c r="I80" i="6"/>
  <c r="L79" i="6"/>
  <c r="N79" i="6"/>
  <c r="G81" i="6"/>
  <c r="B82" i="6"/>
  <c r="D352" i="1"/>
  <c r="G351" i="1"/>
  <c r="N351" i="1" s="1"/>
  <c r="B36" i="1"/>
  <c r="D31" i="1"/>
  <c r="G30" i="1"/>
  <c r="N30" i="1" s="1"/>
  <c r="C20" i="5"/>
  <c r="G19" i="5"/>
  <c r="C19" i="4"/>
  <c r="H18" i="4"/>
  <c r="G19" i="2"/>
  <c r="C20" i="2"/>
  <c r="I398" i="7" l="1"/>
  <c r="B398" i="7"/>
  <c r="L398" i="7"/>
  <c r="K398" i="7"/>
  <c r="D399" i="7"/>
  <c r="L353" i="6"/>
  <c r="I354" i="6"/>
  <c r="B130" i="6"/>
  <c r="G129" i="6"/>
  <c r="N129" i="6" s="1"/>
  <c r="I143" i="6"/>
  <c r="L142" i="6"/>
  <c r="L172" i="6"/>
  <c r="I173" i="6"/>
  <c r="N172" i="6"/>
  <c r="L51" i="6"/>
  <c r="I52" i="6"/>
  <c r="L323" i="6"/>
  <c r="I324" i="6"/>
  <c r="G353" i="6"/>
  <c r="N353" i="6" s="1"/>
  <c r="B354" i="6"/>
  <c r="B31" i="6"/>
  <c r="G30" i="6"/>
  <c r="I232" i="6"/>
  <c r="L231" i="6"/>
  <c r="L263" i="6"/>
  <c r="I264" i="6"/>
  <c r="G178" i="6"/>
  <c r="B179" i="6"/>
  <c r="I81" i="6"/>
  <c r="L80" i="6"/>
  <c r="N80" i="6"/>
  <c r="G82" i="6"/>
  <c r="B83" i="6"/>
  <c r="L293" i="6"/>
  <c r="I294" i="6"/>
  <c r="I110" i="6"/>
  <c r="L109" i="6"/>
  <c r="N109" i="6"/>
  <c r="I23" i="6"/>
  <c r="L22" i="6"/>
  <c r="N22" i="6"/>
  <c r="I201" i="6"/>
  <c r="L200" i="6"/>
  <c r="G352" i="1"/>
  <c r="D353" i="1"/>
  <c r="N352" i="1"/>
  <c r="B37" i="1"/>
  <c r="D32" i="1"/>
  <c r="G31" i="1"/>
  <c r="N31" i="1" s="1"/>
  <c r="C21" i="5"/>
  <c r="G20" i="5"/>
  <c r="C20" i="4"/>
  <c r="H19" i="4"/>
  <c r="C21" i="2"/>
  <c r="G20" i="2"/>
  <c r="K399" i="7" l="1"/>
  <c r="I399" i="7"/>
  <c r="D400" i="7"/>
  <c r="L399" i="7"/>
  <c r="B399" i="7"/>
  <c r="L110" i="6"/>
  <c r="I111" i="6"/>
  <c r="N110" i="6"/>
  <c r="I82" i="6"/>
  <c r="L81" i="6"/>
  <c r="I53" i="6"/>
  <c r="L52" i="6"/>
  <c r="L232" i="6"/>
  <c r="I233" i="6"/>
  <c r="L294" i="6"/>
  <c r="I295" i="6"/>
  <c r="L201" i="6"/>
  <c r="I202" i="6"/>
  <c r="G179" i="6"/>
  <c r="B180" i="6"/>
  <c r="G31" i="6"/>
  <c r="B32" i="6"/>
  <c r="L354" i="6"/>
  <c r="I355" i="6"/>
  <c r="B131" i="6"/>
  <c r="N130" i="6"/>
  <c r="G130" i="6"/>
  <c r="B355" i="6"/>
  <c r="G354" i="6"/>
  <c r="N354" i="6" s="1"/>
  <c r="I174" i="6"/>
  <c r="L173" i="6"/>
  <c r="N173" i="6"/>
  <c r="B84" i="6"/>
  <c r="G83" i="6"/>
  <c r="I265" i="6"/>
  <c r="L264" i="6"/>
  <c r="L324" i="6"/>
  <c r="I325" i="6"/>
  <c r="L143" i="6"/>
  <c r="I144" i="6"/>
  <c r="I24" i="6"/>
  <c r="L23" i="6"/>
  <c r="N23" i="6"/>
  <c r="N81" i="6"/>
  <c r="D354" i="1"/>
  <c r="G353" i="1"/>
  <c r="N353" i="1" s="1"/>
  <c r="B38" i="1"/>
  <c r="D33" i="1"/>
  <c r="G32" i="1"/>
  <c r="N32" i="1" s="1"/>
  <c r="G21" i="5"/>
  <c r="C22" i="5"/>
  <c r="C21" i="4"/>
  <c r="H20" i="4"/>
  <c r="C22" i="2"/>
  <c r="G21" i="2"/>
  <c r="L400" i="7" l="1"/>
  <c r="I400" i="7"/>
  <c r="K400" i="7"/>
  <c r="B400" i="7"/>
  <c r="D401" i="7"/>
  <c r="B132" i="6"/>
  <c r="G131" i="6"/>
  <c r="N131" i="6" s="1"/>
  <c r="I356" i="6"/>
  <c r="L355" i="6"/>
  <c r="L202" i="6"/>
  <c r="I203" i="6"/>
  <c r="I296" i="6"/>
  <c r="L295" i="6"/>
  <c r="I54" i="6"/>
  <c r="L53" i="6"/>
  <c r="L82" i="6"/>
  <c r="I83" i="6"/>
  <c r="G32" i="6"/>
  <c r="B33" i="6"/>
  <c r="I112" i="6"/>
  <c r="L111" i="6"/>
  <c r="N111" i="6"/>
  <c r="B181" i="6"/>
  <c r="G180" i="6"/>
  <c r="L174" i="6"/>
  <c r="I175" i="6"/>
  <c r="N174" i="6"/>
  <c r="L265" i="6"/>
  <c r="I266" i="6"/>
  <c r="B356" i="6"/>
  <c r="G355" i="6"/>
  <c r="N355" i="6"/>
  <c r="I234" i="6"/>
  <c r="L233" i="6"/>
  <c r="L144" i="6"/>
  <c r="I145" i="6"/>
  <c r="I326" i="6"/>
  <c r="L325" i="6"/>
  <c r="I25" i="6"/>
  <c r="L24" i="6"/>
  <c r="N24" i="6"/>
  <c r="B85" i="6"/>
  <c r="G84" i="6"/>
  <c r="N82" i="6"/>
  <c r="D355" i="1"/>
  <c r="G354" i="1"/>
  <c r="N354" i="1"/>
  <c r="B39" i="1"/>
  <c r="D34" i="1"/>
  <c r="G33" i="1"/>
  <c r="N33" i="1" s="1"/>
  <c r="C23" i="5"/>
  <c r="G22" i="5"/>
  <c r="H21" i="4"/>
  <c r="C22" i="4"/>
  <c r="C23" i="2"/>
  <c r="G22" i="2"/>
  <c r="D402" i="7" l="1"/>
  <c r="K401" i="7"/>
  <c r="B401" i="7"/>
  <c r="L401" i="7"/>
  <c r="I401" i="7"/>
  <c r="I235" i="6"/>
  <c r="L234" i="6"/>
  <c r="G33" i="6"/>
  <c r="B34" i="6"/>
  <c r="L203" i="6"/>
  <c r="I204" i="6"/>
  <c r="I26" i="6"/>
  <c r="L25" i="6"/>
  <c r="N25" i="6"/>
  <c r="B182" i="6"/>
  <c r="G181" i="6"/>
  <c r="L83" i="6"/>
  <c r="I84" i="6"/>
  <c r="N83" i="6"/>
  <c r="I357" i="6"/>
  <c r="L356" i="6"/>
  <c r="I327" i="6"/>
  <c r="L326" i="6"/>
  <c r="I267" i="6"/>
  <c r="L266" i="6"/>
  <c r="L145" i="6"/>
  <c r="I146" i="6"/>
  <c r="I55" i="6"/>
  <c r="L54" i="6"/>
  <c r="I113" i="6"/>
  <c r="N112" i="6"/>
  <c r="L112" i="6"/>
  <c r="G132" i="6"/>
  <c r="B133" i="6"/>
  <c r="N132" i="6"/>
  <c r="G356" i="6"/>
  <c r="B357" i="6"/>
  <c r="N356" i="6"/>
  <c r="B86" i="6"/>
  <c r="G85" i="6"/>
  <c r="I176" i="6"/>
  <c r="L175" i="6"/>
  <c r="N175" i="6"/>
  <c r="I297" i="6"/>
  <c r="L296" i="6"/>
  <c r="D356" i="1"/>
  <c r="G355" i="1"/>
  <c r="N355" i="1"/>
  <c r="B40" i="1"/>
  <c r="D35" i="1"/>
  <c r="G34" i="1"/>
  <c r="N34" i="1" s="1"/>
  <c r="G23" i="5"/>
  <c r="C24" i="5"/>
  <c r="C23" i="4"/>
  <c r="H22" i="4"/>
  <c r="G23" i="2"/>
  <c r="C24" i="2"/>
  <c r="D403" i="7" l="1"/>
  <c r="K402" i="7"/>
  <c r="L402" i="7"/>
  <c r="I402" i="7"/>
  <c r="B402" i="7"/>
  <c r="I177" i="6"/>
  <c r="L176" i="6"/>
  <c r="N176" i="6"/>
  <c r="L146" i="6"/>
  <c r="I147" i="6"/>
  <c r="L26" i="6"/>
  <c r="I27" i="6"/>
  <c r="N26" i="6"/>
  <c r="I268" i="6"/>
  <c r="L267" i="6"/>
  <c r="B35" i="6"/>
  <c r="G34" i="6"/>
  <c r="N34" i="6" s="1"/>
  <c r="L113" i="6"/>
  <c r="I114" i="6"/>
  <c r="N113" i="6"/>
  <c r="L327" i="6"/>
  <c r="I328" i="6"/>
  <c r="B183" i="6"/>
  <c r="G182" i="6"/>
  <c r="G133" i="6"/>
  <c r="N133" i="6" s="1"/>
  <c r="B134" i="6"/>
  <c r="G86" i="6"/>
  <c r="B87" i="6"/>
  <c r="G357" i="6"/>
  <c r="N357" i="6"/>
  <c r="B358" i="6"/>
  <c r="L84" i="6"/>
  <c r="I85" i="6"/>
  <c r="N84" i="6"/>
  <c r="L204" i="6"/>
  <c r="I205" i="6"/>
  <c r="I298" i="6"/>
  <c r="L297" i="6"/>
  <c r="I56" i="6"/>
  <c r="L55" i="6"/>
  <c r="I358" i="6"/>
  <c r="L357" i="6"/>
  <c r="I236" i="6"/>
  <c r="L235" i="6"/>
  <c r="D357" i="1"/>
  <c r="G356" i="1"/>
  <c r="N356" i="1" s="1"/>
  <c r="B41" i="1"/>
  <c r="D36" i="1"/>
  <c r="G35" i="1"/>
  <c r="N35" i="1" s="1"/>
  <c r="C25" i="5"/>
  <c r="G24" i="5"/>
  <c r="H23" i="4"/>
  <c r="C24" i="4"/>
  <c r="C25" i="2"/>
  <c r="G24" i="2"/>
  <c r="K403" i="7" l="1"/>
  <c r="I403" i="7"/>
  <c r="B403" i="7"/>
  <c r="D404" i="7"/>
  <c r="L403" i="7"/>
  <c r="L56" i="6"/>
  <c r="I57" i="6"/>
  <c r="I237" i="6"/>
  <c r="L236" i="6"/>
  <c r="G87" i="6"/>
  <c r="B88" i="6"/>
  <c r="I329" i="6"/>
  <c r="L328" i="6"/>
  <c r="I148" i="6"/>
  <c r="L147" i="6"/>
  <c r="L205" i="6"/>
  <c r="I206" i="6"/>
  <c r="I269" i="6"/>
  <c r="L268" i="6"/>
  <c r="I178" i="6"/>
  <c r="L177" i="6"/>
  <c r="N177" i="6"/>
  <c r="G358" i="6"/>
  <c r="N358" i="6"/>
  <c r="B359" i="6"/>
  <c r="L298" i="6"/>
  <c r="I299" i="6"/>
  <c r="G183" i="6"/>
  <c r="B184" i="6"/>
  <c r="B36" i="6"/>
  <c r="N35" i="6"/>
  <c r="G35" i="6"/>
  <c r="I359" i="6"/>
  <c r="L358" i="6"/>
  <c r="I86" i="6"/>
  <c r="L85" i="6"/>
  <c r="G134" i="6"/>
  <c r="B135" i="6"/>
  <c r="N134" i="6"/>
  <c r="L114" i="6"/>
  <c r="I115" i="6"/>
  <c r="N114" i="6"/>
  <c r="L27" i="6"/>
  <c r="I28" i="6"/>
  <c r="N27" i="6"/>
  <c r="N85" i="6"/>
  <c r="D358" i="1"/>
  <c r="G357" i="1"/>
  <c r="N357" i="1"/>
  <c r="B42" i="1"/>
  <c r="D37" i="1"/>
  <c r="G36" i="1"/>
  <c r="N36" i="1" s="1"/>
  <c r="C26" i="5"/>
  <c r="G25" i="5"/>
  <c r="C25" i="4"/>
  <c r="H24" i="4"/>
  <c r="C26" i="2"/>
  <c r="G25" i="2"/>
  <c r="L404" i="7" l="1"/>
  <c r="I404" i="7"/>
  <c r="K404" i="7"/>
  <c r="D405" i="7"/>
  <c r="B404" i="7"/>
  <c r="I270" i="6"/>
  <c r="L269" i="6"/>
  <c r="G359" i="6"/>
  <c r="N359" i="6"/>
  <c r="B360" i="6"/>
  <c r="I207" i="6"/>
  <c r="L206" i="6"/>
  <c r="I300" i="6"/>
  <c r="L299" i="6"/>
  <c r="L237" i="6"/>
  <c r="I238" i="6"/>
  <c r="G184" i="6"/>
  <c r="B185" i="6"/>
  <c r="N184" i="6"/>
  <c r="I149" i="6"/>
  <c r="L148" i="6"/>
  <c r="L57" i="6"/>
  <c r="I58" i="6"/>
  <c r="G88" i="6"/>
  <c r="B89" i="6"/>
  <c r="I116" i="6"/>
  <c r="L115" i="6"/>
  <c r="N115" i="6"/>
  <c r="L359" i="6"/>
  <c r="I360" i="6"/>
  <c r="B136" i="6"/>
  <c r="G135" i="6"/>
  <c r="N135" i="6" s="1"/>
  <c r="B37" i="6"/>
  <c r="N36" i="6"/>
  <c r="G36" i="6"/>
  <c r="L28" i="6"/>
  <c r="I29" i="6"/>
  <c r="N28" i="6"/>
  <c r="I87" i="6"/>
  <c r="L86" i="6"/>
  <c r="N86" i="6"/>
  <c r="I179" i="6"/>
  <c r="L178" i="6"/>
  <c r="N178" i="6"/>
  <c r="I330" i="6"/>
  <c r="L329" i="6"/>
  <c r="D359" i="1"/>
  <c r="G358" i="1"/>
  <c r="N358" i="1" s="1"/>
  <c r="B43" i="1"/>
  <c r="D38" i="1"/>
  <c r="G37" i="1"/>
  <c r="N37" i="1" s="1"/>
  <c r="C27" i="5"/>
  <c r="G26" i="5"/>
  <c r="C26" i="4"/>
  <c r="H25" i="4"/>
  <c r="G26" i="2"/>
  <c r="C27" i="2"/>
  <c r="D406" i="7" l="1"/>
  <c r="I405" i="7"/>
  <c r="B405" i="7"/>
  <c r="L405" i="7"/>
  <c r="K405" i="7"/>
  <c r="G185" i="6"/>
  <c r="B186" i="6"/>
  <c r="N185" i="6"/>
  <c r="G360" i="6"/>
  <c r="N360" i="6" s="1"/>
  <c r="B137" i="6"/>
  <c r="G136" i="6"/>
  <c r="N136" i="6" s="1"/>
  <c r="I117" i="6"/>
  <c r="L116" i="6"/>
  <c r="N116" i="6"/>
  <c r="I88" i="6"/>
  <c r="L87" i="6"/>
  <c r="N87" i="6"/>
  <c r="L238" i="6"/>
  <c r="I239" i="6"/>
  <c r="I331" i="6"/>
  <c r="L330" i="6"/>
  <c r="L29" i="6"/>
  <c r="I30" i="6"/>
  <c r="N29" i="6"/>
  <c r="L360" i="6"/>
  <c r="I361" i="6"/>
  <c r="L58" i="6"/>
  <c r="I59" i="6"/>
  <c r="L179" i="6"/>
  <c r="I180" i="6"/>
  <c r="N179" i="6"/>
  <c r="I150" i="6"/>
  <c r="L149" i="6"/>
  <c r="G37" i="6"/>
  <c r="N37" i="6" s="1"/>
  <c r="B38" i="6"/>
  <c r="L207" i="6"/>
  <c r="I208" i="6"/>
  <c r="G89" i="6"/>
  <c r="B90" i="6"/>
  <c r="L270" i="6"/>
  <c r="I271" i="6"/>
  <c r="I301" i="6"/>
  <c r="L300" i="6"/>
  <c r="D360" i="1"/>
  <c r="G359" i="1"/>
  <c r="N359" i="1" s="1"/>
  <c r="B44" i="1"/>
  <c r="D39" i="1"/>
  <c r="G38" i="1"/>
  <c r="N38" i="1" s="1"/>
  <c r="C28" i="5"/>
  <c r="G27" i="5"/>
  <c r="C27" i="4"/>
  <c r="H26" i="4"/>
  <c r="G27" i="2"/>
  <c r="C28" i="2"/>
  <c r="I406" i="7" l="1"/>
  <c r="B406" i="7"/>
  <c r="L406" i="7"/>
  <c r="D407" i="7"/>
  <c r="K406" i="7"/>
  <c r="I272" i="6"/>
  <c r="L271" i="6"/>
  <c r="L239" i="6"/>
  <c r="I240" i="6"/>
  <c r="I362" i="6"/>
  <c r="L361" i="6"/>
  <c r="N361" i="6"/>
  <c r="B91" i="6"/>
  <c r="G90" i="6"/>
  <c r="I151" i="6"/>
  <c r="L150" i="6"/>
  <c r="I31" i="6"/>
  <c r="L30" i="6"/>
  <c r="N30" i="6"/>
  <c r="I89" i="6"/>
  <c r="L88" i="6"/>
  <c r="N88" i="6"/>
  <c r="G38" i="6"/>
  <c r="B39" i="6"/>
  <c r="N38" i="6"/>
  <c r="L180" i="6"/>
  <c r="I181" i="6"/>
  <c r="N180" i="6"/>
  <c r="L208" i="6"/>
  <c r="I209" i="6"/>
  <c r="B187" i="6"/>
  <c r="G186" i="6"/>
  <c r="N186" i="6" s="1"/>
  <c r="B138" i="6"/>
  <c r="G137" i="6"/>
  <c r="N137" i="6" s="1"/>
  <c r="I302" i="6"/>
  <c r="L301" i="6"/>
  <c r="L59" i="6"/>
  <c r="I60" i="6"/>
  <c r="L331" i="6"/>
  <c r="I332" i="6"/>
  <c r="L117" i="6"/>
  <c r="I118" i="6"/>
  <c r="N117" i="6"/>
  <c r="G360" i="1"/>
  <c r="N360" i="1" s="1"/>
  <c r="B45" i="1"/>
  <c r="D40" i="1"/>
  <c r="G39" i="1"/>
  <c r="N39" i="1" s="1"/>
  <c r="C29" i="5"/>
  <c r="G28" i="5"/>
  <c r="C28" i="4"/>
  <c r="H27" i="4"/>
  <c r="C29" i="2"/>
  <c r="G28" i="2"/>
  <c r="K407" i="7" l="1"/>
  <c r="I407" i="7"/>
  <c r="B407" i="7"/>
  <c r="L407" i="7"/>
  <c r="D408" i="7"/>
  <c r="L332" i="6"/>
  <c r="I333" i="6"/>
  <c r="B139" i="6"/>
  <c r="G138" i="6"/>
  <c r="N138" i="6" s="1"/>
  <c r="L181" i="6"/>
  <c r="I182" i="6"/>
  <c r="N181" i="6"/>
  <c r="I32" i="6"/>
  <c r="L31" i="6"/>
  <c r="N31" i="6"/>
  <c r="L362" i="6"/>
  <c r="I363" i="6"/>
  <c r="N362" i="6"/>
  <c r="I61" i="6"/>
  <c r="L61" i="6" s="1"/>
  <c r="L60" i="6"/>
  <c r="B188" i="6"/>
  <c r="N187" i="6"/>
  <c r="G187" i="6"/>
  <c r="G39" i="6"/>
  <c r="B40" i="6"/>
  <c r="N39" i="6"/>
  <c r="L240" i="6"/>
  <c r="I241" i="6"/>
  <c r="L151" i="6"/>
  <c r="I152" i="6"/>
  <c r="I119" i="6"/>
  <c r="L118" i="6"/>
  <c r="N118" i="6"/>
  <c r="L89" i="6"/>
  <c r="I90" i="6"/>
  <c r="N89" i="6"/>
  <c r="L209" i="6"/>
  <c r="I210" i="6"/>
  <c r="L302" i="6"/>
  <c r="I303" i="6"/>
  <c r="B92" i="6"/>
  <c r="G91" i="6"/>
  <c r="L272" i="6"/>
  <c r="I273" i="6"/>
  <c r="B46" i="1"/>
  <c r="D41" i="1"/>
  <c r="G40" i="1"/>
  <c r="N40" i="1" s="1"/>
  <c r="G29" i="5"/>
  <c r="C30" i="5"/>
  <c r="C29" i="4"/>
  <c r="H28" i="4"/>
  <c r="G29" i="2"/>
  <c r="L408" i="7" l="1"/>
  <c r="I408" i="7"/>
  <c r="D409" i="7"/>
  <c r="K408" i="7"/>
  <c r="B408" i="7"/>
  <c r="N91" i="6"/>
  <c r="L90" i="6"/>
  <c r="I91" i="6"/>
  <c r="N90" i="6"/>
  <c r="L182" i="6"/>
  <c r="I183" i="6"/>
  <c r="N182" i="6"/>
  <c r="B140" i="6"/>
  <c r="G139" i="6"/>
  <c r="N139" i="6" s="1"/>
  <c r="L241" i="6"/>
  <c r="I242" i="6"/>
  <c r="B93" i="6"/>
  <c r="G92" i="6"/>
  <c r="I364" i="6"/>
  <c r="L363" i="6"/>
  <c r="N363" i="6"/>
  <c r="L303" i="6"/>
  <c r="I304" i="6"/>
  <c r="L333" i="6"/>
  <c r="I334" i="6"/>
  <c r="G40" i="6"/>
  <c r="N40" i="6"/>
  <c r="B41" i="6"/>
  <c r="I120" i="6"/>
  <c r="L119" i="6"/>
  <c r="N119" i="6"/>
  <c r="I211" i="6"/>
  <c r="L210" i="6"/>
  <c r="L152" i="6"/>
  <c r="I153" i="6"/>
  <c r="L153" i="6" s="1"/>
  <c r="L273" i="6"/>
  <c r="I274" i="6"/>
  <c r="B189" i="6"/>
  <c r="G188" i="6"/>
  <c r="N188" i="6" s="1"/>
  <c r="I33" i="6"/>
  <c r="L32" i="6"/>
  <c r="N32" i="6"/>
  <c r="B47" i="1"/>
  <c r="D42" i="1"/>
  <c r="G41" i="1"/>
  <c r="N41" i="1" s="1"/>
  <c r="C31" i="5"/>
  <c r="G30" i="5"/>
  <c r="H29" i="4"/>
  <c r="C30" i="4"/>
  <c r="D410" i="7" l="1"/>
  <c r="L409" i="7"/>
  <c r="B409" i="7"/>
  <c r="I409" i="7"/>
  <c r="K409" i="7"/>
  <c r="L33" i="6"/>
  <c r="N33" i="6"/>
  <c r="I335" i="6"/>
  <c r="L334" i="6"/>
  <c r="L183" i="6"/>
  <c r="N183" i="6"/>
  <c r="I212" i="6"/>
  <c r="L211" i="6"/>
  <c r="G93" i="6"/>
  <c r="B94" i="6"/>
  <c r="N93" i="6"/>
  <c r="L304" i="6"/>
  <c r="I305" i="6"/>
  <c r="I243" i="6"/>
  <c r="L242" i="6"/>
  <c r="G140" i="6"/>
  <c r="B141" i="6"/>
  <c r="N140" i="6"/>
  <c r="B190" i="6"/>
  <c r="N189" i="6"/>
  <c r="G189" i="6"/>
  <c r="L91" i="6"/>
  <c r="I92" i="6"/>
  <c r="L92" i="6" s="1"/>
  <c r="I365" i="6"/>
  <c r="L364" i="6"/>
  <c r="N364" i="6"/>
  <c r="I275" i="6"/>
  <c r="L275" i="6" s="1"/>
  <c r="L274" i="6"/>
  <c r="I121" i="6"/>
  <c r="L120" i="6"/>
  <c r="N120" i="6"/>
  <c r="B42" i="6"/>
  <c r="G41" i="6"/>
  <c r="N41" i="6" s="1"/>
  <c r="B48" i="1"/>
  <c r="D43" i="1"/>
  <c r="G42" i="1"/>
  <c r="N42" i="1" s="1"/>
  <c r="G31" i="5"/>
  <c r="C32" i="5"/>
  <c r="C31" i="4"/>
  <c r="H30" i="4"/>
  <c r="D411" i="7" l="1"/>
  <c r="L410" i="7"/>
  <c r="K410" i="7"/>
  <c r="I410" i="7"/>
  <c r="B410" i="7"/>
  <c r="L121" i="6"/>
  <c r="I122" i="6"/>
  <c r="N121" i="6"/>
  <c r="I306" i="6"/>
  <c r="L306" i="6" s="1"/>
  <c r="L305" i="6"/>
  <c r="I244" i="6"/>
  <c r="L243" i="6"/>
  <c r="G190" i="6"/>
  <c r="N190" i="6" s="1"/>
  <c r="B191" i="6"/>
  <c r="I336" i="6"/>
  <c r="L335" i="6"/>
  <c r="I213" i="6"/>
  <c r="L212" i="6"/>
  <c r="G94" i="6"/>
  <c r="N94" i="6"/>
  <c r="B95" i="6"/>
  <c r="B43" i="6"/>
  <c r="N42" i="6"/>
  <c r="G42" i="6"/>
  <c r="G141" i="6"/>
  <c r="B142" i="6"/>
  <c r="N141" i="6"/>
  <c r="I366" i="6"/>
  <c r="L365" i="6"/>
  <c r="N365" i="6"/>
  <c r="N92" i="6"/>
  <c r="B49" i="1"/>
  <c r="D44" i="1"/>
  <c r="G43" i="1"/>
  <c r="N43" i="1" s="1"/>
  <c r="C33" i="5"/>
  <c r="G32" i="5"/>
  <c r="H31" i="4"/>
  <c r="C32" i="4"/>
  <c r="K411" i="7" l="1"/>
  <c r="B411" i="7"/>
  <c r="L411" i="7"/>
  <c r="I411" i="7"/>
  <c r="D412" i="7"/>
  <c r="G142" i="6"/>
  <c r="B143" i="6"/>
  <c r="N142" i="6"/>
  <c r="L244" i="6"/>
  <c r="I245" i="6"/>
  <c r="L245" i="6" s="1"/>
  <c r="L366" i="6"/>
  <c r="I367" i="6"/>
  <c r="N366" i="6"/>
  <c r="L336" i="6"/>
  <c r="N336" i="6"/>
  <c r="L122" i="6"/>
  <c r="N122" i="6"/>
  <c r="L213" i="6"/>
  <c r="I214" i="6"/>
  <c r="L214" i="6" s="1"/>
  <c r="B44" i="6"/>
  <c r="N43" i="6"/>
  <c r="G43" i="6"/>
  <c r="N95" i="6"/>
  <c r="B96" i="6"/>
  <c r="G95" i="6"/>
  <c r="G191" i="6"/>
  <c r="B192" i="6"/>
  <c r="N191" i="6"/>
  <c r="B50" i="1"/>
  <c r="D45" i="1"/>
  <c r="G44" i="1"/>
  <c r="N44" i="1" s="1"/>
  <c r="C34" i="5"/>
  <c r="G33" i="5"/>
  <c r="C33" i="4"/>
  <c r="H32" i="4"/>
  <c r="L412" i="7" l="1"/>
  <c r="I412" i="7"/>
  <c r="D413" i="7"/>
  <c r="B412" i="7"/>
  <c r="K412" i="7" s="1"/>
  <c r="B45" i="6"/>
  <c r="G44" i="6"/>
  <c r="N44" i="6" s="1"/>
  <c r="L367" i="6"/>
  <c r="N367" i="6"/>
  <c r="B144" i="6"/>
  <c r="N143" i="6"/>
  <c r="G143" i="6"/>
  <c r="G192" i="6"/>
  <c r="B193" i="6"/>
  <c r="N192" i="6"/>
  <c r="B97" i="6"/>
  <c r="G96" i="6"/>
  <c r="N96" i="6" s="1"/>
  <c r="B51" i="1"/>
  <c r="D46" i="1"/>
  <c r="G45" i="1"/>
  <c r="N45" i="1" s="1"/>
  <c r="C35" i="5"/>
  <c r="G34" i="5"/>
  <c r="C34" i="4"/>
  <c r="H33" i="4"/>
  <c r="D414" i="7" l="1"/>
  <c r="I413" i="7"/>
  <c r="B413" i="7"/>
  <c r="K413" i="7"/>
  <c r="L413" i="7"/>
  <c r="B145" i="6"/>
  <c r="G144" i="6"/>
  <c r="N144" i="6" s="1"/>
  <c r="B98" i="6"/>
  <c r="N97" i="6"/>
  <c r="G97" i="6"/>
  <c r="G193" i="6"/>
  <c r="N193" i="6" s="1"/>
  <c r="B194" i="6"/>
  <c r="G45" i="6"/>
  <c r="B46" i="6"/>
  <c r="N45" i="6"/>
  <c r="B52" i="1"/>
  <c r="D47" i="1"/>
  <c r="G46" i="1"/>
  <c r="N46" i="1" s="1"/>
  <c r="C36" i="5"/>
  <c r="G35" i="5"/>
  <c r="H34" i="4"/>
  <c r="C35" i="4"/>
  <c r="I414" i="7" l="1"/>
  <c r="B414" i="7"/>
  <c r="D415" i="7"/>
  <c r="L414" i="7"/>
  <c r="K414" i="7"/>
  <c r="G98" i="6"/>
  <c r="B99" i="6"/>
  <c r="N98" i="6"/>
  <c r="B195" i="6"/>
  <c r="G194" i="6"/>
  <c r="N194" i="6" s="1"/>
  <c r="G46" i="6"/>
  <c r="N46" i="6" s="1"/>
  <c r="B47" i="6"/>
  <c r="B146" i="6"/>
  <c r="G145" i="6"/>
  <c r="N145" i="6" s="1"/>
  <c r="B53" i="1"/>
  <c r="D48" i="1"/>
  <c r="G47" i="1"/>
  <c r="N47" i="1" s="1"/>
  <c r="C37" i="5"/>
  <c r="G36" i="5"/>
  <c r="C36" i="4"/>
  <c r="H35" i="4"/>
  <c r="K415" i="7" l="1"/>
  <c r="I415" i="7"/>
  <c r="L415" i="7"/>
  <c r="D416" i="7"/>
  <c r="B415" i="7"/>
  <c r="G47" i="6"/>
  <c r="B48" i="6"/>
  <c r="N47" i="6"/>
  <c r="B196" i="6"/>
  <c r="N195" i="6"/>
  <c r="G195" i="6"/>
  <c r="B147" i="6"/>
  <c r="N146" i="6"/>
  <c r="G146" i="6"/>
  <c r="G99" i="6"/>
  <c r="N99" i="6"/>
  <c r="B100" i="6"/>
  <c r="B54" i="1"/>
  <c r="D49" i="1"/>
  <c r="G48" i="1"/>
  <c r="N48" i="1" s="1"/>
  <c r="G37" i="5"/>
  <c r="C38" i="5"/>
  <c r="C37" i="4"/>
  <c r="H36" i="4"/>
  <c r="L416" i="7" l="1"/>
  <c r="B416" i="7"/>
  <c r="I416" i="7"/>
  <c r="D417" i="7"/>
  <c r="K416" i="7"/>
  <c r="B148" i="6"/>
  <c r="G147" i="6"/>
  <c r="N147" i="6" s="1"/>
  <c r="G100" i="6"/>
  <c r="B101" i="6"/>
  <c r="N100" i="6"/>
  <c r="B197" i="6"/>
  <c r="N196" i="6"/>
  <c r="G196" i="6"/>
  <c r="G48" i="6"/>
  <c r="B49" i="6"/>
  <c r="N48" i="6"/>
  <c r="B55" i="1"/>
  <c r="D50" i="1"/>
  <c r="G49" i="1"/>
  <c r="N49" i="1" s="1"/>
  <c r="C39" i="5"/>
  <c r="G38" i="5"/>
  <c r="H37" i="4"/>
  <c r="C38" i="4"/>
  <c r="D418" i="7" l="1"/>
  <c r="I417" i="7"/>
  <c r="B417" i="7"/>
  <c r="L417" i="7"/>
  <c r="K417" i="7"/>
  <c r="B198" i="6"/>
  <c r="G197" i="6"/>
  <c r="N197" i="6" s="1"/>
  <c r="G101" i="6"/>
  <c r="B102" i="6"/>
  <c r="N101" i="6"/>
  <c r="N49" i="6"/>
  <c r="B50" i="6"/>
  <c r="G49" i="6"/>
  <c r="G148" i="6"/>
  <c r="B149" i="6"/>
  <c r="N148" i="6"/>
  <c r="B56" i="1"/>
  <c r="D51" i="1"/>
  <c r="G50" i="1"/>
  <c r="N50" i="1" s="1"/>
  <c r="G39" i="5"/>
  <c r="C40" i="5"/>
  <c r="C39" i="4"/>
  <c r="H38" i="4"/>
  <c r="D419" i="7" l="1"/>
  <c r="L418" i="7"/>
  <c r="K418" i="7"/>
  <c r="B418" i="7"/>
  <c r="I418" i="7"/>
  <c r="B51" i="6"/>
  <c r="G50" i="6"/>
  <c r="N50" i="6" s="1"/>
  <c r="B103" i="6"/>
  <c r="G102" i="6"/>
  <c r="N102" i="6" s="1"/>
  <c r="G149" i="6"/>
  <c r="N149" i="6" s="1"/>
  <c r="B150" i="6"/>
  <c r="G198" i="6"/>
  <c r="B199" i="6"/>
  <c r="N198" i="6"/>
  <c r="B57" i="1"/>
  <c r="D52" i="1"/>
  <c r="G51" i="1"/>
  <c r="N51" i="1" s="1"/>
  <c r="C41" i="5"/>
  <c r="G40" i="5"/>
  <c r="H39" i="4"/>
  <c r="C40" i="4"/>
  <c r="K419" i="7" l="1"/>
  <c r="I419" i="7"/>
  <c r="D420" i="7"/>
  <c r="L419" i="7"/>
  <c r="B419" i="7"/>
  <c r="B104" i="6"/>
  <c r="G103" i="6"/>
  <c r="N103" i="6" s="1"/>
  <c r="G150" i="6"/>
  <c r="B151" i="6"/>
  <c r="N150" i="6"/>
  <c r="G199" i="6"/>
  <c r="N199" i="6" s="1"/>
  <c r="B200" i="6"/>
  <c r="B52" i="6"/>
  <c r="N51" i="6"/>
  <c r="G51" i="6"/>
  <c r="B58" i="1"/>
  <c r="D53" i="1"/>
  <c r="G52" i="1"/>
  <c r="N52" i="1" s="1"/>
  <c r="C42" i="5"/>
  <c r="G41" i="5"/>
  <c r="C41" i="4"/>
  <c r="H40" i="4"/>
  <c r="L420" i="7" l="1"/>
  <c r="I420" i="7"/>
  <c r="D421" i="7"/>
  <c r="B420" i="7"/>
  <c r="K420" i="7"/>
  <c r="G151" i="6"/>
  <c r="B152" i="6"/>
  <c r="N151" i="6"/>
  <c r="G200" i="6"/>
  <c r="N200" i="6"/>
  <c r="B201" i="6"/>
  <c r="B53" i="6"/>
  <c r="N52" i="6"/>
  <c r="G52" i="6"/>
  <c r="G104" i="6"/>
  <c r="B105" i="6"/>
  <c r="N104" i="6"/>
  <c r="B59" i="1"/>
  <c r="D54" i="1"/>
  <c r="G53" i="1"/>
  <c r="N53" i="1" s="1"/>
  <c r="C43" i="5"/>
  <c r="G42" i="5"/>
  <c r="C42" i="4"/>
  <c r="H41" i="4"/>
  <c r="D422" i="7" l="1"/>
  <c r="B421" i="7"/>
  <c r="L421" i="7"/>
  <c r="K421" i="7"/>
  <c r="I421" i="7"/>
  <c r="G53" i="6"/>
  <c r="B54" i="6"/>
  <c r="N53" i="6"/>
  <c r="B153" i="6"/>
  <c r="G152" i="6"/>
  <c r="N152" i="6" s="1"/>
  <c r="G201" i="6"/>
  <c r="N201" i="6" s="1"/>
  <c r="B202" i="6"/>
  <c r="G105" i="6"/>
  <c r="B106" i="6"/>
  <c r="N105" i="6"/>
  <c r="B60" i="1"/>
  <c r="D55" i="1"/>
  <c r="G54" i="1"/>
  <c r="N54" i="1" s="1"/>
  <c r="C44" i="5"/>
  <c r="G43" i="5"/>
  <c r="C43" i="4"/>
  <c r="H42" i="4"/>
  <c r="I422" i="7" l="1"/>
  <c r="B422" i="7"/>
  <c r="L422" i="7"/>
  <c r="K422" i="7"/>
  <c r="D423" i="7"/>
  <c r="B154" i="6"/>
  <c r="G153" i="6"/>
  <c r="N153" i="6" s="1"/>
  <c r="B203" i="6"/>
  <c r="G202" i="6"/>
  <c r="N202" i="6" s="1"/>
  <c r="G106" i="6"/>
  <c r="N106" i="6"/>
  <c r="B107" i="6"/>
  <c r="G54" i="6"/>
  <c r="B55" i="6"/>
  <c r="N54" i="6"/>
  <c r="B61" i="1"/>
  <c r="D56" i="1"/>
  <c r="G55" i="1"/>
  <c r="N55" i="1" s="1"/>
  <c r="C45" i="5"/>
  <c r="G44" i="5"/>
  <c r="C44" i="4"/>
  <c r="H43" i="4"/>
  <c r="B67" i="1"/>
  <c r="K423" i="7" l="1"/>
  <c r="I423" i="7"/>
  <c r="D424" i="7"/>
  <c r="L423" i="7"/>
  <c r="B423" i="7"/>
  <c r="B204" i="6"/>
  <c r="N203" i="6"/>
  <c r="G203" i="6"/>
  <c r="G55" i="6"/>
  <c r="B56" i="6"/>
  <c r="N55" i="6"/>
  <c r="B108" i="6"/>
  <c r="N107" i="6"/>
  <c r="G107" i="6"/>
  <c r="B155" i="6"/>
  <c r="G154" i="6"/>
  <c r="N154" i="6" s="1"/>
  <c r="B62" i="1"/>
  <c r="D57" i="1"/>
  <c r="G56" i="1"/>
  <c r="N56" i="1" s="1"/>
  <c r="G45" i="5"/>
  <c r="C46" i="5"/>
  <c r="C45" i="4"/>
  <c r="H44" i="4"/>
  <c r="B68" i="1"/>
  <c r="L424" i="7" l="1"/>
  <c r="I424" i="7"/>
  <c r="K424" i="7"/>
  <c r="B424" i="7"/>
  <c r="D425" i="7"/>
  <c r="G56" i="6"/>
  <c r="N56" i="6"/>
  <c r="B57" i="6"/>
  <c r="N108" i="6"/>
  <c r="G108" i="6"/>
  <c r="G155" i="6"/>
  <c r="N155" i="6"/>
  <c r="B156" i="6"/>
  <c r="B205" i="6"/>
  <c r="N204" i="6"/>
  <c r="G204" i="6"/>
  <c r="B63" i="1"/>
  <c r="D58" i="1"/>
  <c r="G57" i="1"/>
  <c r="N57" i="1" s="1"/>
  <c r="C47" i="5"/>
  <c r="G46" i="5"/>
  <c r="C46" i="4"/>
  <c r="H45" i="4"/>
  <c r="B69" i="1"/>
  <c r="D426" i="7" l="1"/>
  <c r="B425" i="7"/>
  <c r="I425" i="7"/>
  <c r="L425" i="7"/>
  <c r="K425" i="7"/>
  <c r="G156" i="6"/>
  <c r="B157" i="6"/>
  <c r="N156" i="6"/>
  <c r="B58" i="6"/>
  <c r="G57" i="6"/>
  <c r="N57" i="6" s="1"/>
  <c r="B206" i="6"/>
  <c r="N205" i="6"/>
  <c r="G205" i="6"/>
  <c r="B64" i="1"/>
  <c r="D59" i="1"/>
  <c r="G58" i="1"/>
  <c r="N58" i="1" s="1"/>
  <c r="G47" i="5"/>
  <c r="C48" i="5"/>
  <c r="C47" i="4"/>
  <c r="H46" i="4"/>
  <c r="B70" i="1"/>
  <c r="D427" i="7" l="1"/>
  <c r="L426" i="7"/>
  <c r="I426" i="7"/>
  <c r="K426" i="7"/>
  <c r="B426" i="7"/>
  <c r="G157" i="6"/>
  <c r="B158" i="6"/>
  <c r="N157" i="6"/>
  <c r="G206" i="6"/>
  <c r="B207" i="6"/>
  <c r="N206" i="6"/>
  <c r="B59" i="6"/>
  <c r="N58" i="6"/>
  <c r="G58" i="6"/>
  <c r="B65" i="1"/>
  <c r="D60" i="1"/>
  <c r="G59" i="1"/>
  <c r="N59" i="1" s="1"/>
  <c r="C49" i="5"/>
  <c r="G48" i="5"/>
  <c r="H47" i="4"/>
  <c r="C48" i="4"/>
  <c r="B71" i="1"/>
  <c r="K427" i="7" l="1"/>
  <c r="I427" i="7"/>
  <c r="D428" i="7"/>
  <c r="B427" i="7"/>
  <c r="L427" i="7"/>
  <c r="G207" i="6"/>
  <c r="B208" i="6"/>
  <c r="N207" i="6"/>
  <c r="B159" i="6"/>
  <c r="G158" i="6"/>
  <c r="N158" i="6" s="1"/>
  <c r="B60" i="6"/>
  <c r="N59" i="6"/>
  <c r="G59" i="6"/>
  <c r="D61" i="1"/>
  <c r="G60" i="1"/>
  <c r="N60" i="1" s="1"/>
  <c r="C50" i="5"/>
  <c r="G49" i="5"/>
  <c r="C49" i="4"/>
  <c r="H48" i="4"/>
  <c r="B72" i="1"/>
  <c r="L428" i="7" l="1"/>
  <c r="I428" i="7"/>
  <c r="K428" i="7"/>
  <c r="D429" i="7"/>
  <c r="B428" i="7"/>
  <c r="B61" i="6"/>
  <c r="N60" i="6"/>
  <c r="G60" i="6"/>
  <c r="B160" i="6"/>
  <c r="G159" i="6"/>
  <c r="N159" i="6" s="1"/>
  <c r="N208" i="6"/>
  <c r="B209" i="6"/>
  <c r="G208" i="6"/>
  <c r="D62" i="1"/>
  <c r="G61" i="1"/>
  <c r="N61" i="1" s="1"/>
  <c r="C51" i="5"/>
  <c r="G50" i="5"/>
  <c r="C50" i="4"/>
  <c r="H49" i="4"/>
  <c r="B73" i="1"/>
  <c r="D430" i="7" l="1"/>
  <c r="I429" i="7"/>
  <c r="B429" i="7"/>
  <c r="L429" i="7"/>
  <c r="K429" i="7"/>
  <c r="B210" i="6"/>
  <c r="G209" i="6"/>
  <c r="N209" i="6" s="1"/>
  <c r="G160" i="6"/>
  <c r="N160" i="6" s="1"/>
  <c r="G61" i="6"/>
  <c r="B62" i="6"/>
  <c r="N61" i="6"/>
  <c r="D63" i="1"/>
  <c r="G62" i="1"/>
  <c r="N62" i="1" s="1"/>
  <c r="C52" i="5"/>
  <c r="G51" i="5"/>
  <c r="C51" i="4"/>
  <c r="H50" i="4"/>
  <c r="B74" i="1"/>
  <c r="I430" i="7" l="1"/>
  <c r="B430" i="7"/>
  <c r="D431" i="7"/>
  <c r="L430" i="7"/>
  <c r="K430" i="7"/>
  <c r="G62" i="6"/>
  <c r="B63" i="6"/>
  <c r="N62" i="6"/>
  <c r="G210" i="6"/>
  <c r="B211" i="6"/>
  <c r="N210" i="6"/>
  <c r="D64" i="1"/>
  <c r="G63" i="1"/>
  <c r="N63" i="1" s="1"/>
  <c r="C53" i="5"/>
  <c r="G52" i="5"/>
  <c r="C52" i="4"/>
  <c r="H51" i="4"/>
  <c r="B75" i="1"/>
  <c r="K431" i="7" l="1"/>
  <c r="I431" i="7"/>
  <c r="D432" i="7"/>
  <c r="B431" i="7"/>
  <c r="L431" i="7"/>
  <c r="G63" i="6"/>
  <c r="N63" i="6" s="1"/>
  <c r="B64" i="6"/>
  <c r="G211" i="6"/>
  <c r="B212" i="6"/>
  <c r="N211" i="6"/>
  <c r="D65" i="1"/>
  <c r="G64" i="1"/>
  <c r="N64" i="1" s="1"/>
  <c r="G53" i="5"/>
  <c r="C54" i="5"/>
  <c r="C53" i="4"/>
  <c r="H52" i="4"/>
  <c r="B76" i="1"/>
  <c r="L432" i="7" l="1"/>
  <c r="I432" i="7"/>
  <c r="K432" i="7"/>
  <c r="B432" i="7"/>
  <c r="D433" i="7"/>
  <c r="G212" i="6"/>
  <c r="N212" i="6"/>
  <c r="B213" i="6"/>
  <c r="B65" i="6"/>
  <c r="N64" i="6"/>
  <c r="G64" i="6"/>
  <c r="G65" i="1"/>
  <c r="N65" i="1" s="1"/>
  <c r="C55" i="5"/>
  <c r="G54" i="5"/>
  <c r="C54" i="4"/>
  <c r="H53" i="4"/>
  <c r="B77" i="1"/>
  <c r="D434" i="7" l="1"/>
  <c r="B433" i="7"/>
  <c r="L433" i="7"/>
  <c r="K433" i="7"/>
  <c r="I433" i="7"/>
  <c r="B214" i="6"/>
  <c r="N213" i="6"/>
  <c r="G213" i="6"/>
  <c r="N65" i="6"/>
  <c r="G65" i="6"/>
  <c r="D67" i="1"/>
  <c r="G66" i="1"/>
  <c r="N66" i="1" s="1"/>
  <c r="G55" i="5"/>
  <c r="C56" i="5"/>
  <c r="C55" i="4"/>
  <c r="H54" i="4"/>
  <c r="B78" i="1"/>
  <c r="B434" i="7" l="1"/>
  <c r="D435" i="7"/>
  <c r="L434" i="7"/>
  <c r="K434" i="7"/>
  <c r="I434" i="7"/>
  <c r="B215" i="6"/>
  <c r="G214" i="6"/>
  <c r="N214" i="6" s="1"/>
  <c r="D68" i="1"/>
  <c r="G67" i="1"/>
  <c r="N67" i="1" s="1"/>
  <c r="C57" i="5"/>
  <c r="G56" i="5"/>
  <c r="H55" i="4"/>
  <c r="C56" i="4"/>
  <c r="B79" i="1"/>
  <c r="K435" i="7" l="1"/>
  <c r="I435" i="7"/>
  <c r="D436" i="7"/>
  <c r="B435" i="7"/>
  <c r="L435" i="7"/>
  <c r="B216" i="6"/>
  <c r="G215" i="6"/>
  <c r="N215" i="6" s="1"/>
  <c r="D69" i="1"/>
  <c r="G68" i="1"/>
  <c r="N68" i="1" s="1"/>
  <c r="C58" i="5"/>
  <c r="G57" i="5"/>
  <c r="C57" i="4"/>
  <c r="H56" i="4"/>
  <c r="B80" i="1"/>
  <c r="L436" i="7" l="1"/>
  <c r="I436" i="7"/>
  <c r="D437" i="7"/>
  <c r="K436" i="7"/>
  <c r="B436" i="7"/>
  <c r="B217" i="6"/>
  <c r="G216" i="6"/>
  <c r="N216" i="6"/>
  <c r="G69" i="1"/>
  <c r="N69" i="1" s="1"/>
  <c r="C59" i="5"/>
  <c r="G58" i="5"/>
  <c r="C58" i="4"/>
  <c r="H57" i="4"/>
  <c r="B81" i="1"/>
  <c r="D438" i="7" l="1"/>
  <c r="B437" i="7"/>
  <c r="L437" i="7"/>
  <c r="K437" i="7"/>
  <c r="I437" i="7"/>
  <c r="G217" i="6"/>
  <c r="N217" i="6" s="1"/>
  <c r="B218" i="6"/>
  <c r="D71" i="1"/>
  <c r="G70" i="1"/>
  <c r="N70" i="1" s="1"/>
  <c r="C60" i="5"/>
  <c r="G59" i="5"/>
  <c r="H58" i="4"/>
  <c r="C59" i="4"/>
  <c r="B82" i="1"/>
  <c r="D439" i="7" l="1"/>
  <c r="L438" i="7"/>
  <c r="K438" i="7"/>
  <c r="B438" i="7"/>
  <c r="I438" i="7"/>
  <c r="G218" i="6"/>
  <c r="N218" i="6" s="1"/>
  <c r="B219" i="6"/>
  <c r="D72" i="1"/>
  <c r="G71" i="1"/>
  <c r="N71" i="1" s="1"/>
  <c r="C61" i="5"/>
  <c r="G60" i="5"/>
  <c r="C60" i="4"/>
  <c r="H59" i="4"/>
  <c r="B83" i="1"/>
  <c r="B439" i="7" l="1"/>
  <c r="I439" i="7"/>
  <c r="D440" i="7"/>
  <c r="L439" i="7"/>
  <c r="K439" i="7"/>
  <c r="G219" i="6"/>
  <c r="N219" i="6" s="1"/>
  <c r="B220" i="6"/>
  <c r="D73" i="1"/>
  <c r="G72" i="1"/>
  <c r="N72" i="1" s="1"/>
  <c r="G61" i="5"/>
  <c r="C62" i="5"/>
  <c r="C61" i="4"/>
  <c r="H60" i="4"/>
  <c r="B84" i="1"/>
  <c r="B440" i="7" l="1"/>
  <c r="L440" i="7"/>
  <c r="I440" i="7"/>
  <c r="D441" i="7"/>
  <c r="K440" i="7"/>
  <c r="B221" i="6"/>
  <c r="G220" i="6"/>
  <c r="N220" i="6" s="1"/>
  <c r="D74" i="1"/>
  <c r="G73" i="1"/>
  <c r="N73" i="1" s="1"/>
  <c r="C63" i="5"/>
  <c r="G62" i="5"/>
  <c r="C62" i="4"/>
  <c r="H61" i="4"/>
  <c r="B85" i="1"/>
  <c r="I441" i="7" l="1"/>
  <c r="L441" i="7"/>
  <c r="K441" i="7"/>
  <c r="D442" i="7"/>
  <c r="B441" i="7"/>
  <c r="G221" i="6"/>
  <c r="B222" i="6"/>
  <c r="N221" i="6"/>
  <c r="D75" i="1"/>
  <c r="G74" i="1"/>
  <c r="N74" i="1" s="1"/>
  <c r="G63" i="5"/>
  <c r="C64" i="5"/>
  <c r="C63" i="4"/>
  <c r="H62" i="4"/>
  <c r="B86" i="1"/>
  <c r="L442" i="7" l="1"/>
  <c r="I442" i="7"/>
  <c r="B442" i="7"/>
  <c r="D443" i="7"/>
  <c r="K442" i="7"/>
  <c r="N222" i="6"/>
  <c r="B223" i="6"/>
  <c r="G222" i="6"/>
  <c r="D76" i="1"/>
  <c r="G75" i="1"/>
  <c r="N75" i="1" s="1"/>
  <c r="C65" i="5"/>
  <c r="G64" i="5"/>
  <c r="H63" i="4"/>
  <c r="C64" i="4"/>
  <c r="B87" i="1"/>
  <c r="B443" i="7" l="1"/>
  <c r="I443" i="7"/>
  <c r="D444" i="7"/>
  <c r="L443" i="7"/>
  <c r="K443" i="7"/>
  <c r="B224" i="6"/>
  <c r="G223" i="6"/>
  <c r="N223" i="6" s="1"/>
  <c r="G76" i="1"/>
  <c r="N76" i="1" s="1"/>
  <c r="C66" i="5"/>
  <c r="G65" i="5"/>
  <c r="C65" i="4"/>
  <c r="H64" i="4"/>
  <c r="B88" i="1"/>
  <c r="B444" i="7" l="1"/>
  <c r="D445" i="7"/>
  <c r="I444" i="7"/>
  <c r="L444" i="7"/>
  <c r="K444" i="7"/>
  <c r="B225" i="6"/>
  <c r="G224" i="6"/>
  <c r="N224" i="6" s="1"/>
  <c r="D78" i="1"/>
  <c r="G77" i="1"/>
  <c r="N77" i="1" s="1"/>
  <c r="C67" i="5"/>
  <c r="G66" i="5"/>
  <c r="C66" i="4"/>
  <c r="H65" i="4"/>
  <c r="B89" i="1"/>
  <c r="K445" i="7" l="1"/>
  <c r="B445" i="7"/>
  <c r="I445" i="7"/>
  <c r="D446" i="7"/>
  <c r="L445" i="7"/>
  <c r="G225" i="6"/>
  <c r="N225" i="6" s="1"/>
  <c r="B226" i="6"/>
  <c r="D79" i="1"/>
  <c r="G78" i="1"/>
  <c r="N78" i="1" s="1"/>
  <c r="C68" i="5"/>
  <c r="G67" i="5"/>
  <c r="H66" i="4"/>
  <c r="C67" i="4"/>
  <c r="B90" i="1"/>
  <c r="K446" i="7" l="1"/>
  <c r="L446" i="7"/>
  <c r="D447" i="7"/>
  <c r="B446" i="7"/>
  <c r="I446" i="7"/>
  <c r="G226" i="6"/>
  <c r="B227" i="6"/>
  <c r="N226" i="6"/>
  <c r="D80" i="1"/>
  <c r="G79" i="1"/>
  <c r="N79" i="1" s="1"/>
  <c r="C69" i="5"/>
  <c r="G68" i="5"/>
  <c r="C68" i="4"/>
  <c r="H67" i="4"/>
  <c r="B91" i="1"/>
  <c r="B447" i="7" l="1"/>
  <c r="L447" i="7"/>
  <c r="I447" i="7"/>
  <c r="D448" i="7"/>
  <c r="K447" i="7"/>
  <c r="G227" i="6"/>
  <c r="N227" i="6" s="1"/>
  <c r="B228" i="6"/>
  <c r="D81" i="1"/>
  <c r="G80" i="1"/>
  <c r="N80" i="1" s="1"/>
  <c r="G69" i="5"/>
  <c r="C70" i="5"/>
  <c r="C69" i="4"/>
  <c r="H68" i="4"/>
  <c r="B92" i="1"/>
  <c r="B448" i="7" l="1"/>
  <c r="I448" i="7"/>
  <c r="L448" i="7"/>
  <c r="K448" i="7"/>
  <c r="D449" i="7"/>
  <c r="G228" i="6"/>
  <c r="N228" i="6" s="1"/>
  <c r="B229" i="6"/>
  <c r="D82" i="1"/>
  <c r="G81" i="1"/>
  <c r="N81" i="1" s="1"/>
  <c r="C71" i="5"/>
  <c r="G70" i="5"/>
  <c r="H69" i="4"/>
  <c r="C70" i="4"/>
  <c r="B93" i="1"/>
  <c r="I449" i="7" l="1"/>
  <c r="B449" i="7"/>
  <c r="K449" i="7"/>
  <c r="D450" i="7"/>
  <c r="L449" i="7"/>
  <c r="G229" i="6"/>
  <c r="B230" i="6"/>
  <c r="N229" i="6"/>
  <c r="D83" i="1"/>
  <c r="G82" i="1"/>
  <c r="N82" i="1" s="1"/>
  <c r="G71" i="5"/>
  <c r="C72" i="5"/>
  <c r="C71" i="4"/>
  <c r="H70" i="4"/>
  <c r="B94" i="1"/>
  <c r="K450" i="7" l="1"/>
  <c r="I450" i="7"/>
  <c r="D451" i="7"/>
  <c r="B450" i="7"/>
  <c r="L450" i="7"/>
  <c r="N230" i="6"/>
  <c r="G230" i="6"/>
  <c r="B231" i="6"/>
  <c r="G83" i="1"/>
  <c r="N83" i="1" s="1"/>
  <c r="C73" i="5"/>
  <c r="G72" i="5"/>
  <c r="H71" i="4"/>
  <c r="C72" i="4"/>
  <c r="B95" i="1"/>
  <c r="D452" i="7" l="1"/>
  <c r="B451" i="7"/>
  <c r="L451" i="7"/>
  <c r="K451" i="7"/>
  <c r="I451" i="7"/>
  <c r="B232" i="6"/>
  <c r="N231" i="6"/>
  <c r="G231" i="6"/>
  <c r="D85" i="1"/>
  <c r="G84" i="1"/>
  <c r="N84" i="1" s="1"/>
  <c r="C74" i="5"/>
  <c r="G73" i="5"/>
  <c r="C73" i="4"/>
  <c r="H72" i="4"/>
  <c r="B96" i="1"/>
  <c r="I452" i="7" l="1"/>
  <c r="B452" i="7"/>
  <c r="D453" i="7"/>
  <c r="L452" i="7"/>
  <c r="K452" i="7"/>
  <c r="B233" i="6"/>
  <c r="G232" i="6"/>
  <c r="N232" i="6"/>
  <c r="D86" i="1"/>
  <c r="G85" i="1"/>
  <c r="N85" i="1" s="1"/>
  <c r="C75" i="5"/>
  <c r="G74" i="5"/>
  <c r="C74" i="4"/>
  <c r="H73" i="4"/>
  <c r="B97" i="1"/>
  <c r="I453" i="7" l="1"/>
  <c r="D454" i="7"/>
  <c r="B453" i="7"/>
  <c r="L453" i="7"/>
  <c r="K453" i="7"/>
  <c r="B234" i="6"/>
  <c r="G233" i="6"/>
  <c r="N233" i="6" s="1"/>
  <c r="D87" i="1"/>
  <c r="G86" i="1"/>
  <c r="N86" i="1" s="1"/>
  <c r="C76" i="5"/>
  <c r="G75" i="5"/>
  <c r="C75" i="4"/>
  <c r="H74" i="4"/>
  <c r="B98" i="1"/>
  <c r="K454" i="7" l="1"/>
  <c r="D455" i="7"/>
  <c r="B454" i="7"/>
  <c r="L454" i="7"/>
  <c r="I454" i="7"/>
  <c r="G234" i="6"/>
  <c r="B235" i="6"/>
  <c r="N234" i="6"/>
  <c r="D88" i="1"/>
  <c r="G87" i="1"/>
  <c r="N87" i="1" s="1"/>
  <c r="C77" i="5"/>
  <c r="G76" i="5"/>
  <c r="C76" i="4"/>
  <c r="H75" i="4"/>
  <c r="B99" i="1"/>
  <c r="B455" i="7" l="1"/>
  <c r="L455" i="7"/>
  <c r="K455" i="7"/>
  <c r="I455" i="7"/>
  <c r="D456" i="7"/>
  <c r="G235" i="6"/>
  <c r="B236" i="6"/>
  <c r="N235" i="6"/>
  <c r="D89" i="1"/>
  <c r="G88" i="1"/>
  <c r="N88" i="1" s="1"/>
  <c r="G77" i="5"/>
  <c r="C78" i="5"/>
  <c r="C77" i="4"/>
  <c r="H76" i="4"/>
  <c r="B100" i="1"/>
  <c r="L456" i="7" l="1"/>
  <c r="K456" i="7"/>
  <c r="D457" i="7"/>
  <c r="B456" i="7"/>
  <c r="I456" i="7"/>
  <c r="B237" i="6"/>
  <c r="N236" i="6"/>
  <c r="G236" i="6"/>
  <c r="D90" i="1"/>
  <c r="G89" i="1"/>
  <c r="N89" i="1" s="1"/>
  <c r="C79" i="5"/>
  <c r="G78" i="5"/>
  <c r="H77" i="4"/>
  <c r="C78" i="4"/>
  <c r="B101" i="1"/>
  <c r="I457" i="7" l="1"/>
  <c r="L457" i="7"/>
  <c r="D458" i="7"/>
  <c r="B457" i="7"/>
  <c r="K457" i="7"/>
  <c r="G237" i="6"/>
  <c r="B238" i="6"/>
  <c r="N237" i="6"/>
  <c r="G90" i="1"/>
  <c r="N90" i="1" s="1"/>
  <c r="G79" i="5"/>
  <c r="C80" i="5"/>
  <c r="C79" i="4"/>
  <c r="H78" i="4"/>
  <c r="B102" i="1"/>
  <c r="K458" i="7" l="1"/>
  <c r="D459" i="7"/>
  <c r="I458" i="7"/>
  <c r="B458" i="7"/>
  <c r="L458" i="7"/>
  <c r="G238" i="6"/>
  <c r="N238" i="6" s="1"/>
  <c r="B239" i="6"/>
  <c r="D92" i="1"/>
  <c r="G91" i="1"/>
  <c r="N91" i="1" s="1"/>
  <c r="C81" i="5"/>
  <c r="G80" i="5"/>
  <c r="H79" i="4"/>
  <c r="C80" i="4"/>
  <c r="B103" i="1"/>
  <c r="B459" i="7" l="1"/>
  <c r="L459" i="7"/>
  <c r="K459" i="7"/>
  <c r="I459" i="7"/>
  <c r="D460" i="7"/>
  <c r="B240" i="6"/>
  <c r="N239" i="6"/>
  <c r="G239" i="6"/>
  <c r="D93" i="1"/>
  <c r="G92" i="1"/>
  <c r="N92" i="1" s="1"/>
  <c r="C82" i="5"/>
  <c r="G81" i="5"/>
  <c r="C81" i="4"/>
  <c r="H80" i="4"/>
  <c r="B104" i="1"/>
  <c r="D461" i="7" l="1"/>
  <c r="I460" i="7"/>
  <c r="L460" i="7"/>
  <c r="K460" i="7"/>
  <c r="B460" i="7"/>
  <c r="B241" i="6"/>
  <c r="N240" i="6"/>
  <c r="G240" i="6"/>
  <c r="D94" i="1"/>
  <c r="G93" i="1"/>
  <c r="N93" i="1" s="1"/>
  <c r="C83" i="5"/>
  <c r="G82" i="5"/>
  <c r="C82" i="4"/>
  <c r="H81" i="4"/>
  <c r="B105" i="1"/>
  <c r="I461" i="7" l="1"/>
  <c r="B461" i="7"/>
  <c r="L461" i="7"/>
  <c r="K461" i="7"/>
  <c r="D462" i="7"/>
  <c r="G241" i="6"/>
  <c r="N241" i="6" s="1"/>
  <c r="B242" i="6"/>
  <c r="D95" i="1"/>
  <c r="G94" i="1"/>
  <c r="N94" i="1" s="1"/>
  <c r="C84" i="5"/>
  <c r="G83" i="5"/>
  <c r="C83" i="4"/>
  <c r="H82" i="4"/>
  <c r="B106" i="1"/>
  <c r="L462" i="7" l="1"/>
  <c r="I462" i="7"/>
  <c r="D463" i="7"/>
  <c r="B462" i="7"/>
  <c r="K462" i="7"/>
  <c r="G242" i="6"/>
  <c r="B243" i="6"/>
  <c r="N242" i="6"/>
  <c r="D96" i="1"/>
  <c r="G95" i="1"/>
  <c r="N95" i="1" s="1"/>
  <c r="C85" i="5"/>
  <c r="G84" i="5"/>
  <c r="C84" i="4"/>
  <c r="H83" i="4"/>
  <c r="B107" i="1"/>
  <c r="B463" i="7" l="1"/>
  <c r="L463" i="7"/>
  <c r="K463" i="7"/>
  <c r="I463" i="7"/>
  <c r="D464" i="7"/>
  <c r="G243" i="6"/>
  <c r="B244" i="6"/>
  <c r="N243" i="6"/>
  <c r="D97" i="1"/>
  <c r="G96" i="1"/>
  <c r="N96" i="1" s="1"/>
  <c r="G85" i="5"/>
  <c r="C86" i="5"/>
  <c r="C85" i="4"/>
  <c r="H84" i="4"/>
  <c r="B108" i="1"/>
  <c r="B464" i="7" l="1"/>
  <c r="L464" i="7"/>
  <c r="K464" i="7"/>
  <c r="D465" i="7"/>
  <c r="I464" i="7"/>
  <c r="B245" i="6"/>
  <c r="N244" i="6"/>
  <c r="G244" i="6"/>
  <c r="G97" i="1"/>
  <c r="N97" i="1" s="1"/>
  <c r="C87" i="5"/>
  <c r="G86" i="5"/>
  <c r="H85" i="4"/>
  <c r="C86" i="4"/>
  <c r="I465" i="7" l="1"/>
  <c r="K465" i="7"/>
  <c r="D466" i="7"/>
  <c r="B465" i="7"/>
  <c r="L465" i="7"/>
  <c r="G245" i="6"/>
  <c r="N245" i="6"/>
  <c r="B246" i="6"/>
  <c r="D99" i="1"/>
  <c r="G98" i="1"/>
  <c r="N98" i="1" s="1"/>
  <c r="G87" i="5"/>
  <c r="C88" i="5"/>
  <c r="C87" i="4"/>
  <c r="H86" i="4"/>
  <c r="B110" i="1"/>
  <c r="K466" i="7" l="1"/>
  <c r="I466" i="7"/>
  <c r="B466" i="7"/>
  <c r="D467" i="7"/>
  <c r="L466" i="7"/>
  <c r="B247" i="6"/>
  <c r="G246" i="6"/>
  <c r="N246" i="6" s="1"/>
  <c r="D100" i="1"/>
  <c r="G99" i="1"/>
  <c r="N99" i="1" s="1"/>
  <c r="C89" i="5"/>
  <c r="G88" i="5"/>
  <c r="H87" i="4"/>
  <c r="C88" i="4"/>
  <c r="B111" i="1"/>
  <c r="B467" i="7" l="1"/>
  <c r="I467" i="7"/>
  <c r="L467" i="7"/>
  <c r="K467" i="7"/>
  <c r="D468" i="7"/>
  <c r="G247" i="6"/>
  <c r="N247" i="6" s="1"/>
  <c r="B248" i="6"/>
  <c r="D101" i="1"/>
  <c r="G100" i="1"/>
  <c r="N100" i="1" s="1"/>
  <c r="C90" i="5"/>
  <c r="G89" i="5"/>
  <c r="C89" i="4"/>
  <c r="H88" i="4"/>
  <c r="D469" i="7" l="1"/>
  <c r="L468" i="7"/>
  <c r="I468" i="7"/>
  <c r="B468" i="7"/>
  <c r="K468" i="7"/>
  <c r="G248" i="6"/>
  <c r="B249" i="6"/>
  <c r="N248" i="6"/>
  <c r="D102" i="1"/>
  <c r="G101" i="1"/>
  <c r="N101" i="1" s="1"/>
  <c r="C91" i="5"/>
  <c r="G90" i="5"/>
  <c r="C90" i="4"/>
  <c r="H89" i="4"/>
  <c r="B113" i="1"/>
  <c r="K469" i="7" l="1"/>
  <c r="D470" i="7"/>
  <c r="B469" i="7"/>
  <c r="I469" i="7"/>
  <c r="L469" i="7"/>
  <c r="B250" i="6"/>
  <c r="N249" i="6"/>
  <c r="G249" i="6"/>
  <c r="D103" i="1"/>
  <c r="G102" i="1"/>
  <c r="N102" i="1" s="1"/>
  <c r="C92" i="5"/>
  <c r="G91" i="5"/>
  <c r="C91" i="4"/>
  <c r="H90" i="4"/>
  <c r="B114" i="1"/>
  <c r="I470" i="7" l="1"/>
  <c r="B470" i="7"/>
  <c r="L470" i="7"/>
  <c r="D471" i="7"/>
  <c r="K470" i="7"/>
  <c r="B251" i="6"/>
  <c r="G250" i="6"/>
  <c r="N250" i="6" s="1"/>
  <c r="D104" i="1"/>
  <c r="G103" i="1"/>
  <c r="N103" i="1" s="1"/>
  <c r="C93" i="5"/>
  <c r="G92" i="5"/>
  <c r="C92" i="4"/>
  <c r="H91" i="4"/>
  <c r="B115" i="1"/>
  <c r="B471" i="7" l="1"/>
  <c r="L471" i="7"/>
  <c r="K471" i="7"/>
  <c r="I471" i="7"/>
  <c r="D472" i="7"/>
  <c r="B252" i="6"/>
  <c r="G251" i="6"/>
  <c r="N251" i="6"/>
  <c r="D105" i="1"/>
  <c r="G104" i="1"/>
  <c r="N104" i="1" s="1"/>
  <c r="G93" i="5"/>
  <c r="C94" i="5"/>
  <c r="C93" i="4"/>
  <c r="H92" i="4"/>
  <c r="B116" i="1"/>
  <c r="I472" i="7" l="1"/>
  <c r="D473" i="7"/>
  <c r="B472" i="7"/>
  <c r="K472" i="7" s="1"/>
  <c r="L472" i="7"/>
  <c r="G252" i="6"/>
  <c r="B253" i="6"/>
  <c r="N252" i="6"/>
  <c r="D106" i="1"/>
  <c r="G105" i="1"/>
  <c r="N105" i="1" s="1"/>
  <c r="C95" i="5"/>
  <c r="G94" i="5"/>
  <c r="H93" i="4"/>
  <c r="C94" i="4"/>
  <c r="B117" i="1"/>
  <c r="I473" i="7" l="1"/>
  <c r="D474" i="7"/>
  <c r="B473" i="7"/>
  <c r="L473" i="7"/>
  <c r="K473" i="7"/>
  <c r="G253" i="6"/>
  <c r="B254" i="6"/>
  <c r="N253" i="6"/>
  <c r="D107" i="1"/>
  <c r="G106" i="1"/>
  <c r="N106" i="1" s="1"/>
  <c r="G95" i="5"/>
  <c r="C96" i="5"/>
  <c r="C95" i="4"/>
  <c r="H94" i="4"/>
  <c r="B118" i="1"/>
  <c r="K474" i="7" l="1"/>
  <c r="D475" i="7"/>
  <c r="B474" i="7"/>
  <c r="L474" i="7"/>
  <c r="I474" i="7"/>
  <c r="G254" i="6"/>
  <c r="N254" i="6"/>
  <c r="B255" i="6"/>
  <c r="D108" i="1"/>
  <c r="G107" i="1"/>
  <c r="N107" i="1" s="1"/>
  <c r="C97" i="5"/>
  <c r="G96" i="5"/>
  <c r="H95" i="4"/>
  <c r="C96" i="4"/>
  <c r="B119" i="1"/>
  <c r="B475" i="7" l="1"/>
  <c r="K475" i="7"/>
  <c r="L475" i="7"/>
  <c r="I475" i="7"/>
  <c r="D476" i="7"/>
  <c r="B256" i="6"/>
  <c r="G255" i="6"/>
  <c r="N255" i="6"/>
  <c r="D109" i="1"/>
  <c r="G108" i="1"/>
  <c r="N108" i="1" s="1"/>
  <c r="C98" i="5"/>
  <c r="G97" i="5"/>
  <c r="C97" i="4"/>
  <c r="H96" i="4"/>
  <c r="B120" i="1"/>
  <c r="D477" i="7" l="1"/>
  <c r="K476" i="7"/>
  <c r="L476" i="7"/>
  <c r="I476" i="7"/>
  <c r="B476" i="7"/>
  <c r="B257" i="6"/>
  <c r="G256" i="6"/>
  <c r="N256" i="6" s="1"/>
  <c r="D110" i="1"/>
  <c r="G109" i="1"/>
  <c r="N109" i="1" s="1"/>
  <c r="C99" i="5"/>
  <c r="G98" i="5"/>
  <c r="C98" i="4"/>
  <c r="H97" i="4"/>
  <c r="B121" i="1"/>
  <c r="K477" i="7" l="1"/>
  <c r="I477" i="7"/>
  <c r="B477" i="7"/>
  <c r="L477" i="7"/>
  <c r="D478" i="7"/>
  <c r="G257" i="6"/>
  <c r="B258" i="6"/>
  <c r="N257" i="6"/>
  <c r="D111" i="1"/>
  <c r="G110" i="1"/>
  <c r="N110" i="1" s="1"/>
  <c r="C100" i="5"/>
  <c r="G99" i="5"/>
  <c r="C99" i="4"/>
  <c r="H98" i="4"/>
  <c r="B122" i="1"/>
  <c r="K478" i="7" l="1"/>
  <c r="I478" i="7"/>
  <c r="D479" i="7"/>
  <c r="B478" i="7"/>
  <c r="L478" i="7"/>
  <c r="G258" i="6"/>
  <c r="N258" i="6" s="1"/>
  <c r="B259" i="6"/>
  <c r="G111" i="1"/>
  <c r="N111" i="1" s="1"/>
  <c r="C101" i="5"/>
  <c r="G100" i="5"/>
  <c r="C100" i="4"/>
  <c r="H99" i="4"/>
  <c r="B123" i="1"/>
  <c r="B479" i="7" l="1"/>
  <c r="L479" i="7"/>
  <c r="K479" i="7"/>
  <c r="I479" i="7"/>
  <c r="D480" i="7"/>
  <c r="G259" i="6"/>
  <c r="B260" i="6"/>
  <c r="N259" i="6"/>
  <c r="D113" i="1"/>
  <c r="G112" i="1"/>
  <c r="N112" i="1" s="1"/>
  <c r="G101" i="5"/>
  <c r="C102" i="5"/>
  <c r="C101" i="4"/>
  <c r="H100" i="4"/>
  <c r="B124" i="1"/>
  <c r="B480" i="7" l="1"/>
  <c r="L480" i="7"/>
  <c r="D481" i="7"/>
  <c r="K480" i="7"/>
  <c r="I480" i="7"/>
  <c r="G260" i="6"/>
  <c r="B261" i="6"/>
  <c r="N260" i="6"/>
  <c r="D114" i="1"/>
  <c r="G113" i="1"/>
  <c r="N113" i="1" s="1"/>
  <c r="C103" i="5"/>
  <c r="G102" i="5"/>
  <c r="H101" i="4"/>
  <c r="C102" i="4"/>
  <c r="B125" i="1"/>
  <c r="I481" i="7" l="1"/>
  <c r="K481" i="7"/>
  <c r="D482" i="7"/>
  <c r="B481" i="7"/>
  <c r="L481" i="7"/>
  <c r="B262" i="6"/>
  <c r="G261" i="6"/>
  <c r="N261" i="6" s="1"/>
  <c r="D115" i="1"/>
  <c r="G114" i="1"/>
  <c r="N114" i="1" s="1"/>
  <c r="G103" i="5"/>
  <c r="C104" i="5"/>
  <c r="C103" i="4"/>
  <c r="H102" i="4"/>
  <c r="B126" i="1"/>
  <c r="B482" i="7" l="1"/>
  <c r="K482" i="7" s="1"/>
  <c r="D483" i="7"/>
  <c r="L482" i="7"/>
  <c r="I482" i="7"/>
  <c r="G262" i="6"/>
  <c r="B263" i="6"/>
  <c r="N262" i="6"/>
  <c r="D116" i="1"/>
  <c r="G115" i="1"/>
  <c r="N115" i="1" s="1"/>
  <c r="C105" i="5"/>
  <c r="G104" i="5"/>
  <c r="H103" i="4"/>
  <c r="C104" i="4"/>
  <c r="B127" i="1"/>
  <c r="B483" i="7" l="1"/>
  <c r="I483" i="7"/>
  <c r="D484" i="7"/>
  <c r="L483" i="7"/>
  <c r="K483" i="7"/>
  <c r="B264" i="6"/>
  <c r="G263" i="6"/>
  <c r="N263" i="6" s="1"/>
  <c r="D117" i="1"/>
  <c r="G116" i="1"/>
  <c r="N116" i="1" s="1"/>
  <c r="C106" i="5"/>
  <c r="G105" i="5"/>
  <c r="C105" i="4"/>
  <c r="H104" i="4"/>
  <c r="B128" i="1"/>
  <c r="B484" i="7" l="1"/>
  <c r="I484" i="7"/>
  <c r="D485" i="7"/>
  <c r="L484" i="7"/>
  <c r="K484" i="7"/>
  <c r="B265" i="6"/>
  <c r="N264" i="6"/>
  <c r="G264" i="6"/>
  <c r="D118" i="1"/>
  <c r="G117" i="1"/>
  <c r="N117" i="1" s="1"/>
  <c r="C107" i="5"/>
  <c r="G106" i="5"/>
  <c r="C106" i="4"/>
  <c r="H105" i="4"/>
  <c r="B129" i="1"/>
  <c r="I485" i="7" l="1"/>
  <c r="L485" i="7"/>
  <c r="D486" i="7"/>
  <c r="B485" i="7"/>
  <c r="K485" i="7"/>
  <c r="B266" i="6"/>
  <c r="G265" i="6"/>
  <c r="N265" i="6" s="1"/>
  <c r="G118" i="1"/>
  <c r="N118" i="1" s="1"/>
  <c r="C108" i="5"/>
  <c r="G107" i="5"/>
  <c r="C107" i="4"/>
  <c r="H106" i="4"/>
  <c r="B130" i="1"/>
  <c r="K486" i="7" l="1"/>
  <c r="I486" i="7"/>
  <c r="D487" i="7"/>
  <c r="B486" i="7"/>
  <c r="L486" i="7"/>
  <c r="G266" i="6"/>
  <c r="N266" i="6" s="1"/>
  <c r="B267" i="6"/>
  <c r="D120" i="1"/>
  <c r="G119" i="1"/>
  <c r="N119" i="1" s="1"/>
  <c r="C109" i="5"/>
  <c r="G108" i="5"/>
  <c r="C108" i="4"/>
  <c r="H107" i="4"/>
  <c r="B131" i="1"/>
  <c r="B487" i="7" l="1"/>
  <c r="L487" i="7"/>
  <c r="I487" i="7"/>
  <c r="D488" i="7"/>
  <c r="K487" i="7"/>
  <c r="G267" i="6"/>
  <c r="B268" i="6"/>
  <c r="N267" i="6"/>
  <c r="D121" i="1"/>
  <c r="G120" i="1"/>
  <c r="N120" i="1" s="1"/>
  <c r="G109" i="5"/>
  <c r="C110" i="5"/>
  <c r="C109" i="4"/>
  <c r="H108" i="4"/>
  <c r="B132" i="1"/>
  <c r="B488" i="7" l="1"/>
  <c r="I488" i="7"/>
  <c r="L488" i="7"/>
  <c r="K488" i="7"/>
  <c r="D489" i="7"/>
  <c r="G268" i="6"/>
  <c r="N268" i="6" s="1"/>
  <c r="B269" i="6"/>
  <c r="D122" i="1"/>
  <c r="G121" i="1"/>
  <c r="N121" i="1" s="1"/>
  <c r="C111" i="5"/>
  <c r="G110" i="5"/>
  <c r="H109" i="4"/>
  <c r="C110" i="4"/>
  <c r="B133" i="1"/>
  <c r="I489" i="7" l="1"/>
  <c r="L489" i="7"/>
  <c r="D490" i="7"/>
  <c r="B489" i="7"/>
  <c r="K489" i="7"/>
  <c r="G269" i="6"/>
  <c r="N269" i="6"/>
  <c r="B270" i="6"/>
  <c r="D123" i="1"/>
  <c r="G122" i="1"/>
  <c r="N122" i="1" s="1"/>
  <c r="G111" i="5"/>
  <c r="C112" i="5"/>
  <c r="C111" i="4"/>
  <c r="H110" i="4"/>
  <c r="B134" i="1"/>
  <c r="K490" i="7" l="1"/>
  <c r="B490" i="7"/>
  <c r="I490" i="7"/>
  <c r="D491" i="7"/>
  <c r="L490" i="7"/>
  <c r="B271" i="6"/>
  <c r="N270" i="6"/>
  <c r="G270" i="6"/>
  <c r="D124" i="1"/>
  <c r="G123" i="1"/>
  <c r="N123" i="1" s="1"/>
  <c r="C113" i="5"/>
  <c r="G112" i="5"/>
  <c r="H111" i="4"/>
  <c r="C112" i="4"/>
  <c r="B135" i="1"/>
  <c r="B491" i="7" l="1"/>
  <c r="L491" i="7"/>
  <c r="I491" i="7"/>
  <c r="D492" i="7"/>
  <c r="K491" i="7"/>
  <c r="B272" i="6"/>
  <c r="G271" i="6"/>
  <c r="N271" i="6" s="1"/>
  <c r="D125" i="1"/>
  <c r="G124" i="1"/>
  <c r="N124" i="1" s="1"/>
  <c r="C114" i="5"/>
  <c r="G113" i="5"/>
  <c r="C113" i="4"/>
  <c r="H112" i="4"/>
  <c r="B136" i="1"/>
  <c r="D493" i="7" l="1"/>
  <c r="I492" i="7"/>
  <c r="L492" i="7"/>
  <c r="K492" i="7"/>
  <c r="B492" i="7"/>
  <c r="G272" i="6"/>
  <c r="B273" i="6"/>
  <c r="N272" i="6"/>
  <c r="D126" i="1"/>
  <c r="G125" i="1"/>
  <c r="N125" i="1" s="1"/>
  <c r="C115" i="5"/>
  <c r="G114" i="5"/>
  <c r="C114" i="4"/>
  <c r="H113" i="4"/>
  <c r="B137" i="1"/>
  <c r="K493" i="7" l="1"/>
  <c r="D494" i="7"/>
  <c r="B493" i="7"/>
  <c r="L493" i="7"/>
  <c r="I493" i="7"/>
  <c r="G273" i="6"/>
  <c r="N273" i="6" s="1"/>
  <c r="B274" i="6"/>
  <c r="D127" i="1"/>
  <c r="G126" i="1"/>
  <c r="N126" i="1" s="1"/>
  <c r="C116" i="5"/>
  <c r="G115" i="5"/>
  <c r="C115" i="4"/>
  <c r="H114" i="4"/>
  <c r="B138" i="1"/>
  <c r="K494" i="7" l="1"/>
  <c r="D495" i="7"/>
  <c r="B494" i="7"/>
  <c r="L494" i="7"/>
  <c r="I494" i="7"/>
  <c r="B275" i="6"/>
  <c r="N274" i="6"/>
  <c r="G274" i="6"/>
  <c r="D128" i="1"/>
  <c r="G127" i="1"/>
  <c r="N127" i="1" s="1"/>
  <c r="C117" i="5"/>
  <c r="G116" i="5"/>
  <c r="C116" i="4"/>
  <c r="H115" i="4"/>
  <c r="B139" i="1"/>
  <c r="B495" i="7" l="1"/>
  <c r="L495" i="7"/>
  <c r="K495" i="7"/>
  <c r="I495" i="7"/>
  <c r="D496" i="7"/>
  <c r="B276" i="6"/>
  <c r="G275" i="6"/>
  <c r="N275" i="6" s="1"/>
  <c r="D129" i="1"/>
  <c r="G128" i="1"/>
  <c r="N128" i="1" s="1"/>
  <c r="G117" i="5"/>
  <c r="C118" i="5"/>
  <c r="C117" i="4"/>
  <c r="H116" i="4"/>
  <c r="B140" i="1"/>
  <c r="B496" i="7" l="1"/>
  <c r="L496" i="7"/>
  <c r="K496" i="7"/>
  <c r="I496" i="7"/>
  <c r="D497" i="7"/>
  <c r="G276" i="6"/>
  <c r="N276" i="6"/>
  <c r="B277" i="6"/>
  <c r="D130" i="1"/>
  <c r="G129" i="1"/>
  <c r="N129" i="1" s="1"/>
  <c r="C119" i="5"/>
  <c r="G118" i="5"/>
  <c r="H117" i="4"/>
  <c r="C118" i="4"/>
  <c r="B141" i="1"/>
  <c r="I497" i="7" l="1"/>
  <c r="D498" i="7"/>
  <c r="B497" i="7"/>
  <c r="L497" i="7"/>
  <c r="K497" i="7"/>
  <c r="B278" i="6"/>
  <c r="G277" i="6"/>
  <c r="N277" i="6" s="1"/>
  <c r="D131" i="1"/>
  <c r="G130" i="1"/>
  <c r="N130" i="1" s="1"/>
  <c r="G119" i="5"/>
  <c r="C120" i="5"/>
  <c r="C119" i="4"/>
  <c r="H118" i="4"/>
  <c r="B142" i="1"/>
  <c r="I498" i="7" l="1"/>
  <c r="D499" i="7"/>
  <c r="B498" i="7"/>
  <c r="L498" i="7"/>
  <c r="K498" i="7"/>
  <c r="B279" i="6"/>
  <c r="N278" i="6"/>
  <c r="G278" i="6"/>
  <c r="D132" i="1"/>
  <c r="G131" i="1"/>
  <c r="N131" i="1" s="1"/>
  <c r="C121" i="5"/>
  <c r="G120" i="5"/>
  <c r="H119" i="4"/>
  <c r="C120" i="4"/>
  <c r="B143" i="1"/>
  <c r="B499" i="7" l="1"/>
  <c r="L499" i="7"/>
  <c r="I499" i="7"/>
  <c r="D500" i="7"/>
  <c r="K499" i="7"/>
  <c r="B280" i="6"/>
  <c r="G279" i="6"/>
  <c r="N279" i="6" s="1"/>
  <c r="D133" i="1"/>
  <c r="G132" i="1"/>
  <c r="N132" i="1" s="1"/>
  <c r="C122" i="5"/>
  <c r="G121" i="5"/>
  <c r="C121" i="4"/>
  <c r="H120" i="4"/>
  <c r="B144" i="1"/>
  <c r="D501" i="7" l="1"/>
  <c r="L500" i="7"/>
  <c r="K500" i="7"/>
  <c r="I500" i="7"/>
  <c r="B500" i="7"/>
  <c r="B281" i="6"/>
  <c r="G280" i="6"/>
  <c r="N280" i="6"/>
  <c r="D134" i="1"/>
  <c r="G133" i="1"/>
  <c r="N133" i="1" s="1"/>
  <c r="C123" i="5"/>
  <c r="G122" i="5"/>
  <c r="C122" i="4"/>
  <c r="H121" i="4"/>
  <c r="B145" i="1"/>
  <c r="K501" i="7" l="1"/>
  <c r="I501" i="7"/>
  <c r="B501" i="7"/>
  <c r="D502" i="7"/>
  <c r="L501" i="7"/>
  <c r="G281" i="6"/>
  <c r="N281" i="6"/>
  <c r="B282" i="6"/>
  <c r="D135" i="1"/>
  <c r="G134" i="1"/>
  <c r="N134" i="1" s="1"/>
  <c r="C124" i="5"/>
  <c r="G123" i="5"/>
  <c r="C123" i="4"/>
  <c r="H122" i="4"/>
  <c r="B146" i="1"/>
  <c r="L502" i="7" l="1"/>
  <c r="K502" i="7"/>
  <c r="I502" i="7"/>
  <c r="B502" i="7"/>
  <c r="D503" i="7"/>
  <c r="B283" i="6"/>
  <c r="G282" i="6"/>
  <c r="N282" i="6" s="1"/>
  <c r="D136" i="1"/>
  <c r="G135" i="1"/>
  <c r="N135" i="1" s="1"/>
  <c r="C125" i="5"/>
  <c r="G124" i="5"/>
  <c r="C124" i="4"/>
  <c r="H123" i="4"/>
  <c r="B147" i="1"/>
  <c r="D504" i="7" l="1"/>
  <c r="L503" i="7"/>
  <c r="K503" i="7"/>
  <c r="B503" i="7"/>
  <c r="I503" i="7"/>
  <c r="G283" i="6"/>
  <c r="N283" i="6"/>
  <c r="B284" i="6"/>
  <c r="D137" i="1"/>
  <c r="G136" i="1"/>
  <c r="N136" i="1" s="1"/>
  <c r="G125" i="5"/>
  <c r="C126" i="5"/>
  <c r="C125" i="4"/>
  <c r="H124" i="4"/>
  <c r="B148" i="1"/>
  <c r="D505" i="7" l="1"/>
  <c r="B504" i="7"/>
  <c r="L504" i="7"/>
  <c r="I504" i="7"/>
  <c r="K504" i="7"/>
  <c r="G284" i="6"/>
  <c r="B285" i="6"/>
  <c r="N284" i="6"/>
  <c r="D138" i="1"/>
  <c r="G137" i="1"/>
  <c r="N137" i="1" s="1"/>
  <c r="C127" i="5"/>
  <c r="G126" i="5"/>
  <c r="H125" i="4"/>
  <c r="C126" i="4"/>
  <c r="B149" i="1"/>
  <c r="D506" i="7" l="1"/>
  <c r="B505" i="7"/>
  <c r="K505" i="7"/>
  <c r="L505" i="7"/>
  <c r="I505" i="7"/>
  <c r="B286" i="6"/>
  <c r="G285" i="6"/>
  <c r="N285" i="6" s="1"/>
  <c r="D139" i="1"/>
  <c r="G138" i="1"/>
  <c r="N138" i="1" s="1"/>
  <c r="G127" i="5"/>
  <c r="C128" i="5"/>
  <c r="C127" i="4"/>
  <c r="H126" i="4"/>
  <c r="B150" i="1"/>
  <c r="K506" i="7" l="1"/>
  <c r="I506" i="7"/>
  <c r="B506" i="7"/>
  <c r="L506" i="7"/>
  <c r="D507" i="7"/>
  <c r="B287" i="6"/>
  <c r="G286" i="6"/>
  <c r="N286" i="6" s="1"/>
  <c r="D140" i="1"/>
  <c r="G139" i="1"/>
  <c r="N139" i="1" s="1"/>
  <c r="C129" i="5"/>
  <c r="G128" i="5"/>
  <c r="H127" i="4"/>
  <c r="C128" i="4"/>
  <c r="B151" i="1"/>
  <c r="D508" i="7" l="1"/>
  <c r="B507" i="7"/>
  <c r="L507" i="7"/>
  <c r="I507" i="7"/>
  <c r="K507" i="7"/>
  <c r="B288" i="6"/>
  <c r="G287" i="6"/>
  <c r="N287" i="6" s="1"/>
  <c r="D141" i="1"/>
  <c r="G140" i="1"/>
  <c r="N140" i="1" s="1"/>
  <c r="C130" i="5"/>
  <c r="G129" i="5"/>
  <c r="C129" i="4"/>
  <c r="H128" i="4"/>
  <c r="B152" i="1"/>
  <c r="B508" i="7" l="1"/>
  <c r="L508" i="7"/>
  <c r="K508" i="7"/>
  <c r="I508" i="7"/>
  <c r="D509" i="7"/>
  <c r="B289" i="6"/>
  <c r="G288" i="6"/>
  <c r="N288" i="6"/>
  <c r="D142" i="1"/>
  <c r="G141" i="1"/>
  <c r="N141" i="1" s="1"/>
  <c r="C131" i="5"/>
  <c r="G130" i="5"/>
  <c r="C130" i="4"/>
  <c r="H129" i="4"/>
  <c r="B153" i="1"/>
  <c r="I509" i="7" l="1"/>
  <c r="K509" i="7"/>
  <c r="D510" i="7"/>
  <c r="B509" i="7"/>
  <c r="L509" i="7"/>
  <c r="B290" i="6"/>
  <c r="G289" i="6"/>
  <c r="N289" i="6" s="1"/>
  <c r="D143" i="1"/>
  <c r="G142" i="1"/>
  <c r="N142" i="1" s="1"/>
  <c r="C132" i="5"/>
  <c r="G131" i="5"/>
  <c r="C131" i="4"/>
  <c r="H130" i="4"/>
  <c r="B154" i="1"/>
  <c r="L510" i="7" l="1"/>
  <c r="I510" i="7"/>
  <c r="D511" i="7"/>
  <c r="B510" i="7"/>
  <c r="K510" i="7"/>
  <c r="B291" i="6"/>
  <c r="G290" i="6"/>
  <c r="N290" i="6" s="1"/>
  <c r="D144" i="1"/>
  <c r="G143" i="1"/>
  <c r="N143" i="1" s="1"/>
  <c r="C133" i="5"/>
  <c r="G132" i="5"/>
  <c r="C132" i="4"/>
  <c r="H131" i="4"/>
  <c r="B155" i="1"/>
  <c r="B511" i="7" l="1"/>
  <c r="D512" i="7"/>
  <c r="K511" i="7"/>
  <c r="L511" i="7"/>
  <c r="I511" i="7"/>
  <c r="G291" i="6"/>
  <c r="B292" i="6"/>
  <c r="N291" i="6"/>
  <c r="D145" i="1"/>
  <c r="G144" i="1"/>
  <c r="N144" i="1" s="1"/>
  <c r="G133" i="5"/>
  <c r="C134" i="5"/>
  <c r="C133" i="4"/>
  <c r="H132" i="4"/>
  <c r="B156" i="1"/>
  <c r="D513" i="7" l="1"/>
  <c r="B512" i="7"/>
  <c r="K512" i="7"/>
  <c r="L512" i="7"/>
  <c r="I512" i="7"/>
  <c r="B293" i="6"/>
  <c r="G292" i="6"/>
  <c r="N292" i="6"/>
  <c r="D146" i="1"/>
  <c r="G145" i="1"/>
  <c r="N145" i="1" s="1"/>
  <c r="C135" i="5"/>
  <c r="G134" i="5"/>
  <c r="H133" i="4"/>
  <c r="C134" i="4"/>
  <c r="B157" i="1"/>
  <c r="I513" i="7" l="1"/>
  <c r="D514" i="7"/>
  <c r="B513" i="7"/>
  <c r="K513" i="7"/>
  <c r="L513" i="7"/>
  <c r="G293" i="6"/>
  <c r="B294" i="6"/>
  <c r="N293" i="6"/>
  <c r="D147" i="1"/>
  <c r="G146" i="1"/>
  <c r="N146" i="1" s="1"/>
  <c r="G135" i="5"/>
  <c r="C136" i="5"/>
  <c r="C135" i="4"/>
  <c r="H134" i="4"/>
  <c r="B158" i="1"/>
  <c r="L514" i="7" l="1"/>
  <c r="K514" i="7"/>
  <c r="I514" i="7"/>
  <c r="B514" i="7"/>
  <c r="D515" i="7"/>
  <c r="G294" i="6"/>
  <c r="N294" i="6" s="1"/>
  <c r="B295" i="6"/>
  <c r="D148" i="1"/>
  <c r="G147" i="1"/>
  <c r="N147" i="1" s="1"/>
  <c r="C137" i="5"/>
  <c r="G136" i="5"/>
  <c r="H135" i="4"/>
  <c r="C136" i="4"/>
  <c r="B159" i="1"/>
  <c r="D516" i="7" l="1"/>
  <c r="B515" i="7"/>
  <c r="K515" i="7"/>
  <c r="L515" i="7"/>
  <c r="I515" i="7"/>
  <c r="B296" i="6"/>
  <c r="G295" i="6"/>
  <c r="N295" i="6" s="1"/>
  <c r="D149" i="1"/>
  <c r="G148" i="1"/>
  <c r="N148" i="1" s="1"/>
  <c r="C138" i="5"/>
  <c r="G137" i="5"/>
  <c r="C137" i="4"/>
  <c r="H136" i="4"/>
  <c r="B160" i="1"/>
  <c r="D517" i="7" l="1"/>
  <c r="B516" i="7"/>
  <c r="K516" i="7" s="1"/>
  <c r="L516" i="7"/>
  <c r="I516" i="7"/>
  <c r="B297" i="6"/>
  <c r="G296" i="6"/>
  <c r="N296" i="6" s="1"/>
  <c r="D150" i="1"/>
  <c r="G149" i="1"/>
  <c r="N149" i="1" s="1"/>
  <c r="C139" i="5"/>
  <c r="G138" i="5"/>
  <c r="C138" i="4"/>
  <c r="H137" i="4"/>
  <c r="K517" i="7" l="1"/>
  <c r="I517" i="7"/>
  <c r="D518" i="7"/>
  <c r="B517" i="7"/>
  <c r="L517" i="7"/>
  <c r="G297" i="6"/>
  <c r="B298" i="6"/>
  <c r="N297" i="6"/>
  <c r="D151" i="1"/>
  <c r="G150" i="1"/>
  <c r="N150" i="1" s="1"/>
  <c r="C140" i="5"/>
  <c r="G139" i="5"/>
  <c r="C139" i="4"/>
  <c r="H138" i="4"/>
  <c r="K518" i="7" l="1"/>
  <c r="D519" i="7"/>
  <c r="L518" i="7"/>
  <c r="I518" i="7"/>
  <c r="B518" i="7"/>
  <c r="G298" i="6"/>
  <c r="B299" i="6"/>
  <c r="N298" i="6"/>
  <c r="D152" i="1"/>
  <c r="G151" i="1"/>
  <c r="N151" i="1" s="1"/>
  <c r="C141" i="5"/>
  <c r="G140" i="5"/>
  <c r="C140" i="4"/>
  <c r="H139" i="4"/>
  <c r="B163" i="1"/>
  <c r="D520" i="7" l="1"/>
  <c r="B519" i="7"/>
  <c r="K519" i="7"/>
  <c r="L519" i="7"/>
  <c r="I519" i="7"/>
  <c r="G299" i="6"/>
  <c r="B300" i="6"/>
  <c r="N299" i="6"/>
  <c r="D153" i="1"/>
  <c r="G152" i="1"/>
  <c r="N152" i="1" s="1"/>
  <c r="G141" i="5"/>
  <c r="C142" i="5"/>
  <c r="C141" i="4"/>
  <c r="H140" i="4"/>
  <c r="B164" i="1"/>
  <c r="D521" i="7" l="1"/>
  <c r="B520" i="7"/>
  <c r="K520" i="7"/>
  <c r="L520" i="7"/>
  <c r="I520" i="7"/>
  <c r="G300" i="6"/>
  <c r="N300" i="6" s="1"/>
  <c r="B301" i="6"/>
  <c r="D154" i="1"/>
  <c r="G153" i="1"/>
  <c r="N153" i="1" s="1"/>
  <c r="C143" i="5"/>
  <c r="G142" i="5"/>
  <c r="H141" i="4"/>
  <c r="C142" i="4"/>
  <c r="B165" i="1"/>
  <c r="I521" i="7" l="1"/>
  <c r="D522" i="7"/>
  <c r="B521" i="7"/>
  <c r="L521" i="7"/>
  <c r="K521" i="7"/>
  <c r="G301" i="6"/>
  <c r="N301" i="6"/>
  <c r="B302" i="6"/>
  <c r="D155" i="1"/>
  <c r="G154" i="1"/>
  <c r="N154" i="1" s="1"/>
  <c r="G143" i="5"/>
  <c r="C144" i="5"/>
  <c r="C143" i="4"/>
  <c r="H142" i="4"/>
  <c r="B166" i="1"/>
  <c r="L522" i="7" l="1"/>
  <c r="I522" i="7"/>
  <c r="D523" i="7"/>
  <c r="B522" i="7"/>
  <c r="K522" i="7"/>
  <c r="G302" i="6"/>
  <c r="N302" i="6" s="1"/>
  <c r="B303" i="6"/>
  <c r="D156" i="1"/>
  <c r="G155" i="1"/>
  <c r="N155" i="1" s="1"/>
  <c r="C145" i="5"/>
  <c r="G144" i="5"/>
  <c r="H143" i="4"/>
  <c r="C144" i="4"/>
  <c r="B167" i="1"/>
  <c r="D524" i="7" l="1"/>
  <c r="B523" i="7"/>
  <c r="L523" i="7"/>
  <c r="I523" i="7"/>
  <c r="K523" i="7"/>
  <c r="B304" i="6"/>
  <c r="G303" i="6"/>
  <c r="N303" i="6" s="1"/>
  <c r="D157" i="1"/>
  <c r="G156" i="1"/>
  <c r="N156" i="1" s="1"/>
  <c r="C146" i="5"/>
  <c r="G145" i="5"/>
  <c r="C145" i="4"/>
  <c r="H144" i="4"/>
  <c r="B168" i="1"/>
  <c r="D525" i="7" l="1"/>
  <c r="L524" i="7"/>
  <c r="K524" i="7"/>
  <c r="B524" i="7"/>
  <c r="I524" i="7"/>
  <c r="B305" i="6"/>
  <c r="G304" i="6"/>
  <c r="N304" i="6" s="1"/>
  <c r="D158" i="1"/>
  <c r="G157" i="1"/>
  <c r="N157" i="1" s="1"/>
  <c r="C147" i="5"/>
  <c r="G146" i="5"/>
  <c r="C146" i="4"/>
  <c r="H145" i="4"/>
  <c r="B169" i="1"/>
  <c r="B525" i="7" l="1"/>
  <c r="K525" i="7" s="1"/>
  <c r="L525" i="7"/>
  <c r="D526" i="7"/>
  <c r="I525" i="7"/>
  <c r="G305" i="6"/>
  <c r="B306" i="6"/>
  <c r="N305" i="6"/>
  <c r="D159" i="1"/>
  <c r="G158" i="1"/>
  <c r="N158" i="1" s="1"/>
  <c r="C148" i="5"/>
  <c r="G147" i="5"/>
  <c r="C147" i="4"/>
  <c r="H146" i="4"/>
  <c r="B170" i="1"/>
  <c r="L526" i="7" l="1"/>
  <c r="K526" i="7"/>
  <c r="I526" i="7"/>
  <c r="D527" i="7"/>
  <c r="B526" i="7"/>
  <c r="G306" i="6"/>
  <c r="N306" i="6" s="1"/>
  <c r="B307" i="6"/>
  <c r="D160" i="1"/>
  <c r="G159" i="1"/>
  <c r="N159" i="1" s="1"/>
  <c r="C149" i="5"/>
  <c r="G148" i="5"/>
  <c r="C148" i="4"/>
  <c r="H147" i="4"/>
  <c r="B171" i="1"/>
  <c r="D528" i="7" l="1"/>
  <c r="B527" i="7"/>
  <c r="L527" i="7"/>
  <c r="K527" i="7"/>
  <c r="I527" i="7"/>
  <c r="G307" i="6"/>
  <c r="B308" i="6"/>
  <c r="N307" i="6"/>
  <c r="G160" i="1"/>
  <c r="N160" i="1" s="1"/>
  <c r="G149" i="5"/>
  <c r="C150" i="5"/>
  <c r="C149" i="4"/>
  <c r="H148" i="4"/>
  <c r="B172" i="1"/>
  <c r="L528" i="7" l="1"/>
  <c r="K528" i="7"/>
  <c r="I528" i="7"/>
  <c r="D529" i="7"/>
  <c r="B528" i="7"/>
  <c r="B309" i="6"/>
  <c r="G308" i="6"/>
  <c r="N308" i="6" s="1"/>
  <c r="D162" i="1"/>
  <c r="G161" i="1"/>
  <c r="N161" i="1" s="1"/>
  <c r="C151" i="5"/>
  <c r="G150" i="5"/>
  <c r="H149" i="4"/>
  <c r="C150" i="4"/>
  <c r="B173" i="1"/>
  <c r="I529" i="7" l="1"/>
  <c r="D530" i="7"/>
  <c r="B529" i="7"/>
  <c r="L529" i="7"/>
  <c r="K529" i="7"/>
  <c r="G309" i="6"/>
  <c r="N309" i="6" s="1"/>
  <c r="B310" i="6"/>
  <c r="D163" i="1"/>
  <c r="G162" i="1"/>
  <c r="N162" i="1" s="1"/>
  <c r="G151" i="5"/>
  <c r="C152" i="5"/>
  <c r="C151" i="4"/>
  <c r="H150" i="4"/>
  <c r="B174" i="1"/>
  <c r="L530" i="7" l="1"/>
  <c r="K530" i="7"/>
  <c r="I530" i="7"/>
  <c r="D531" i="7"/>
  <c r="B530" i="7"/>
  <c r="B311" i="6"/>
  <c r="G310" i="6"/>
  <c r="N310" i="6"/>
  <c r="D164" i="1"/>
  <c r="G163" i="1"/>
  <c r="N163" i="1" s="1"/>
  <c r="C153" i="5"/>
  <c r="G152" i="5"/>
  <c r="H151" i="4"/>
  <c r="C152" i="4"/>
  <c r="B175" i="1"/>
  <c r="D532" i="7" l="1"/>
  <c r="B531" i="7"/>
  <c r="L531" i="7"/>
  <c r="K531" i="7"/>
  <c r="I531" i="7"/>
  <c r="B312" i="6"/>
  <c r="G311" i="6"/>
  <c r="N311" i="6" s="1"/>
  <c r="D165" i="1"/>
  <c r="G164" i="1"/>
  <c r="N164" i="1" s="1"/>
  <c r="C154" i="5"/>
  <c r="G153" i="5"/>
  <c r="C153" i="4"/>
  <c r="H152" i="4"/>
  <c r="B176" i="1"/>
  <c r="B532" i="7" l="1"/>
  <c r="D533" i="7"/>
  <c r="K532" i="7"/>
  <c r="L532" i="7"/>
  <c r="I532" i="7"/>
  <c r="B313" i="6"/>
  <c r="G312" i="6"/>
  <c r="N312" i="6" s="1"/>
  <c r="D166" i="1"/>
  <c r="G165" i="1"/>
  <c r="N165" i="1" s="1"/>
  <c r="C155" i="5"/>
  <c r="G154" i="5"/>
  <c r="C154" i="4"/>
  <c r="H153" i="4"/>
  <c r="B177" i="1"/>
  <c r="I533" i="7" l="1"/>
  <c r="D534" i="7"/>
  <c r="B533" i="7"/>
  <c r="K533" i="7"/>
  <c r="L533" i="7"/>
  <c r="G313" i="6"/>
  <c r="N313" i="6"/>
  <c r="B314" i="6"/>
  <c r="D167" i="1"/>
  <c r="G166" i="1"/>
  <c r="N166" i="1" s="1"/>
  <c r="C156" i="5"/>
  <c r="G155" i="5"/>
  <c r="C155" i="4"/>
  <c r="H154" i="4"/>
  <c r="B178" i="1"/>
  <c r="L534" i="7" l="1"/>
  <c r="K534" i="7"/>
  <c r="I534" i="7"/>
  <c r="B534" i="7"/>
  <c r="D535" i="7"/>
  <c r="B315" i="6"/>
  <c r="G314" i="6"/>
  <c r="N314" i="6"/>
  <c r="D168" i="1"/>
  <c r="G167" i="1"/>
  <c r="N167" i="1" s="1"/>
  <c r="C157" i="5"/>
  <c r="G156" i="5"/>
  <c r="C156" i="4"/>
  <c r="H155" i="4"/>
  <c r="B179" i="1"/>
  <c r="D536" i="7" l="1"/>
  <c r="B535" i="7"/>
  <c r="L535" i="7"/>
  <c r="K535" i="7"/>
  <c r="I535" i="7"/>
  <c r="B316" i="6"/>
  <c r="G315" i="6"/>
  <c r="N315" i="6" s="1"/>
  <c r="D169" i="1"/>
  <c r="G168" i="1"/>
  <c r="N168" i="1" s="1"/>
  <c r="G157" i="5"/>
  <c r="C158" i="5"/>
  <c r="C157" i="4"/>
  <c r="H156" i="4"/>
  <c r="B180" i="1"/>
  <c r="D537" i="7" l="1"/>
  <c r="B536" i="7"/>
  <c r="L536" i="7"/>
  <c r="K536" i="7"/>
  <c r="I536" i="7"/>
  <c r="B317" i="6"/>
  <c r="G316" i="6"/>
  <c r="N316" i="6" s="1"/>
  <c r="D170" i="1"/>
  <c r="G169" i="1"/>
  <c r="N169" i="1" s="1"/>
  <c r="C159" i="5"/>
  <c r="G158" i="5"/>
  <c r="H157" i="4"/>
  <c r="C158" i="4"/>
  <c r="B181" i="1"/>
  <c r="I537" i="7" l="1"/>
  <c r="D538" i="7"/>
  <c r="B537" i="7"/>
  <c r="L537" i="7"/>
  <c r="K537" i="7"/>
  <c r="G317" i="6"/>
  <c r="N317" i="6" s="1"/>
  <c r="B318" i="6"/>
  <c r="D171" i="1"/>
  <c r="G170" i="1"/>
  <c r="N170" i="1" s="1"/>
  <c r="G159" i="5"/>
  <c r="C160" i="5"/>
  <c r="C159" i="4"/>
  <c r="H158" i="4"/>
  <c r="B182" i="1"/>
  <c r="L538" i="7" l="1"/>
  <c r="K538" i="7"/>
  <c r="I538" i="7"/>
  <c r="D539" i="7"/>
  <c r="B538" i="7"/>
  <c r="B319" i="6"/>
  <c r="G318" i="6"/>
  <c r="N318" i="6" s="1"/>
  <c r="D172" i="1"/>
  <c r="G171" i="1"/>
  <c r="N171" i="1" s="1"/>
  <c r="C161" i="5"/>
  <c r="G160" i="5"/>
  <c r="H159" i="4"/>
  <c r="C160" i="4"/>
  <c r="B183" i="1"/>
  <c r="D540" i="7" l="1"/>
  <c r="B539" i="7"/>
  <c r="K539" i="7"/>
  <c r="L539" i="7"/>
  <c r="I539" i="7"/>
  <c r="G319" i="6"/>
  <c r="N319" i="6" s="1"/>
  <c r="B320" i="6"/>
  <c r="D173" i="1"/>
  <c r="G172" i="1"/>
  <c r="N172" i="1" s="1"/>
  <c r="C162" i="5"/>
  <c r="G161" i="5"/>
  <c r="C161" i="4"/>
  <c r="H160" i="4"/>
  <c r="B184" i="1"/>
  <c r="B540" i="7" l="1"/>
  <c r="L540" i="7"/>
  <c r="D541" i="7"/>
  <c r="K540" i="7"/>
  <c r="I540" i="7"/>
  <c r="B321" i="6"/>
  <c r="G320" i="6"/>
  <c r="N320" i="6" s="1"/>
  <c r="D174" i="1"/>
  <c r="G173" i="1"/>
  <c r="N173" i="1" s="1"/>
  <c r="C163" i="5"/>
  <c r="G162" i="5"/>
  <c r="C162" i="4"/>
  <c r="H161" i="4"/>
  <c r="B185" i="1"/>
  <c r="I541" i="7" l="1"/>
  <c r="D542" i="7"/>
  <c r="K541" i="7"/>
  <c r="B541" i="7"/>
  <c r="L541" i="7"/>
  <c r="G321" i="6"/>
  <c r="B322" i="6"/>
  <c r="N321" i="6"/>
  <c r="D175" i="1"/>
  <c r="G174" i="1"/>
  <c r="N174" i="1" s="1"/>
  <c r="C164" i="5"/>
  <c r="G163" i="5"/>
  <c r="C163" i="4"/>
  <c r="H162" i="4"/>
  <c r="B186" i="1"/>
  <c r="B542" i="7" l="1"/>
  <c r="D543" i="7"/>
  <c r="L542" i="7"/>
  <c r="K542" i="7"/>
  <c r="I542" i="7"/>
  <c r="G322" i="6"/>
  <c r="B323" i="6"/>
  <c r="N322" i="6"/>
  <c r="D176" i="1"/>
  <c r="G175" i="1"/>
  <c r="N175" i="1" s="1"/>
  <c r="C165" i="5"/>
  <c r="G164" i="5"/>
  <c r="C164" i="4"/>
  <c r="H163" i="4"/>
  <c r="B187" i="1"/>
  <c r="D544" i="7" l="1"/>
  <c r="K543" i="7"/>
  <c r="L543" i="7"/>
  <c r="I543" i="7"/>
  <c r="B543" i="7"/>
  <c r="G323" i="6"/>
  <c r="N323" i="6" s="1"/>
  <c r="B324" i="6"/>
  <c r="D177" i="1"/>
  <c r="G176" i="1"/>
  <c r="N176" i="1" s="1"/>
  <c r="G165" i="5"/>
  <c r="C166" i="5"/>
  <c r="C165" i="4"/>
  <c r="H164" i="4"/>
  <c r="B188" i="1"/>
  <c r="B544" i="7" l="1"/>
  <c r="D545" i="7"/>
  <c r="L544" i="7"/>
  <c r="I544" i="7"/>
  <c r="K544" i="7"/>
  <c r="B325" i="6"/>
  <c r="G324" i="6"/>
  <c r="N324" i="6" s="1"/>
  <c r="D178" i="1"/>
  <c r="G177" i="1"/>
  <c r="N177" i="1" s="1"/>
  <c r="C167" i="5"/>
  <c r="G166" i="5"/>
  <c r="H165" i="4"/>
  <c r="C166" i="4"/>
  <c r="B189" i="1"/>
  <c r="K545" i="7" l="1"/>
  <c r="I545" i="7"/>
  <c r="B545" i="7"/>
  <c r="D546" i="7"/>
  <c r="L545" i="7"/>
  <c r="B326" i="6"/>
  <c r="G325" i="6"/>
  <c r="N325" i="6" s="1"/>
  <c r="D179" i="1"/>
  <c r="G178" i="1"/>
  <c r="N178" i="1" s="1"/>
  <c r="G167" i="5"/>
  <c r="C168" i="5"/>
  <c r="C167" i="4"/>
  <c r="H166" i="4"/>
  <c r="B190" i="1"/>
  <c r="B546" i="7" l="1"/>
  <c r="D547" i="7"/>
  <c r="I546" i="7"/>
  <c r="L546" i="7"/>
  <c r="K546" i="7"/>
  <c r="B327" i="6"/>
  <c r="G326" i="6"/>
  <c r="N326" i="6"/>
  <c r="D180" i="1"/>
  <c r="G179" i="1"/>
  <c r="N179" i="1" s="1"/>
  <c r="C169" i="5"/>
  <c r="G168" i="5"/>
  <c r="H167" i="4"/>
  <c r="C168" i="4"/>
  <c r="B191" i="1"/>
  <c r="B547" i="7" l="1"/>
  <c r="L547" i="7"/>
  <c r="I547" i="7"/>
  <c r="D548" i="7"/>
  <c r="K547" i="7"/>
  <c r="G327" i="6"/>
  <c r="N327" i="6"/>
  <c r="B328" i="6"/>
  <c r="D181" i="1"/>
  <c r="G180" i="1"/>
  <c r="N180" i="1" s="1"/>
  <c r="C170" i="5"/>
  <c r="G169" i="5"/>
  <c r="C169" i="4"/>
  <c r="H168" i="4"/>
  <c r="B192" i="1"/>
  <c r="D549" i="7" l="1"/>
  <c r="K548" i="7"/>
  <c r="I548" i="7"/>
  <c r="B548" i="7"/>
  <c r="L548" i="7"/>
  <c r="B329" i="6"/>
  <c r="G328" i="6"/>
  <c r="N328" i="6" s="1"/>
  <c r="D182" i="1"/>
  <c r="G181" i="1"/>
  <c r="N181" i="1" s="1"/>
  <c r="C171" i="5"/>
  <c r="G170" i="5"/>
  <c r="C170" i="4"/>
  <c r="H169" i="4"/>
  <c r="B193" i="1"/>
  <c r="D550" i="7" l="1"/>
  <c r="K549" i="7"/>
  <c r="L549" i="7"/>
  <c r="B549" i="7"/>
  <c r="I549" i="7"/>
  <c r="G329" i="6"/>
  <c r="N329" i="6"/>
  <c r="B330" i="6"/>
  <c r="D183" i="1"/>
  <c r="G182" i="1"/>
  <c r="N182" i="1" s="1"/>
  <c r="C172" i="5"/>
  <c r="G171" i="5"/>
  <c r="C171" i="4"/>
  <c r="H170" i="4"/>
  <c r="B194" i="1"/>
  <c r="K550" i="7" l="1"/>
  <c r="L550" i="7"/>
  <c r="I550" i="7"/>
  <c r="D551" i="7"/>
  <c r="B550" i="7"/>
  <c r="G330" i="6"/>
  <c r="B331" i="6"/>
  <c r="N330" i="6"/>
  <c r="D184" i="1"/>
  <c r="G183" i="1"/>
  <c r="N183" i="1" s="1"/>
  <c r="C173" i="5"/>
  <c r="G172" i="5"/>
  <c r="C172" i="4"/>
  <c r="H171" i="4"/>
  <c r="B195" i="1"/>
  <c r="D552" i="7" l="1"/>
  <c r="L551" i="7"/>
  <c r="K551" i="7"/>
  <c r="I551" i="7"/>
  <c r="B551" i="7"/>
  <c r="B332" i="6"/>
  <c r="G331" i="6"/>
  <c r="N331" i="6" s="1"/>
  <c r="D185" i="1"/>
  <c r="G184" i="1"/>
  <c r="N184" i="1" s="1"/>
  <c r="G173" i="5"/>
  <c r="C174" i="5"/>
  <c r="C173" i="4"/>
  <c r="H172" i="4"/>
  <c r="B196" i="1"/>
  <c r="K552" i="7" l="1"/>
  <c r="I552" i="7"/>
  <c r="L552" i="7"/>
  <c r="B552" i="7"/>
  <c r="D553" i="7"/>
  <c r="B333" i="6"/>
  <c r="N332" i="6"/>
  <c r="G332" i="6"/>
  <c r="D186" i="1"/>
  <c r="G185" i="1"/>
  <c r="N185" i="1" s="1"/>
  <c r="C175" i="5"/>
  <c r="G174" i="5"/>
  <c r="H173" i="4"/>
  <c r="C174" i="4"/>
  <c r="B197" i="1"/>
  <c r="L553" i="7" l="1"/>
  <c r="B553" i="7"/>
  <c r="D554" i="7"/>
  <c r="I553" i="7"/>
  <c r="K553" i="7"/>
  <c r="B334" i="6"/>
  <c r="G333" i="6"/>
  <c r="N333" i="6" s="1"/>
  <c r="D187" i="1"/>
  <c r="G186" i="1"/>
  <c r="N186" i="1" s="1"/>
  <c r="G175" i="5"/>
  <c r="C176" i="5"/>
  <c r="C175" i="4"/>
  <c r="H174" i="4"/>
  <c r="B198" i="1"/>
  <c r="K554" i="7" l="1"/>
  <c r="B554" i="7"/>
  <c r="I554" i="7"/>
  <c r="D555" i="7"/>
  <c r="L554" i="7"/>
  <c r="B335" i="6"/>
  <c r="G334" i="6"/>
  <c r="N334" i="6" s="1"/>
  <c r="D188" i="1"/>
  <c r="G187" i="1"/>
  <c r="N187" i="1" s="1"/>
  <c r="C177" i="5"/>
  <c r="G176" i="5"/>
  <c r="H175" i="4"/>
  <c r="C176" i="4"/>
  <c r="B199" i="1"/>
  <c r="D556" i="7" l="1"/>
  <c r="I555" i="7"/>
  <c r="B555" i="7"/>
  <c r="L555" i="7"/>
  <c r="K555" i="7"/>
  <c r="G335" i="6"/>
  <c r="N335" i="6" s="1"/>
  <c r="D189" i="1"/>
  <c r="G188" i="1"/>
  <c r="N188" i="1" s="1"/>
  <c r="C178" i="5"/>
  <c r="G177" i="5"/>
  <c r="C177" i="4"/>
  <c r="H176" i="4"/>
  <c r="B200" i="1"/>
  <c r="I556" i="7" l="1"/>
  <c r="B556" i="7"/>
  <c r="L556" i="7"/>
  <c r="D557" i="7"/>
  <c r="K556" i="7"/>
  <c r="D190" i="1"/>
  <c r="G189" i="1"/>
  <c r="N189" i="1" s="1"/>
  <c r="C179" i="5"/>
  <c r="G178" i="5"/>
  <c r="C178" i="4"/>
  <c r="H177" i="4"/>
  <c r="B201" i="1"/>
  <c r="L557" i="7" l="1"/>
  <c r="I557" i="7"/>
  <c r="D558" i="7"/>
  <c r="K557" i="7"/>
  <c r="B557" i="7"/>
  <c r="D191" i="1"/>
  <c r="G190" i="1"/>
  <c r="N190" i="1" s="1"/>
  <c r="C180" i="5"/>
  <c r="G179" i="5"/>
  <c r="C179" i="4"/>
  <c r="H178" i="4"/>
  <c r="B202" i="1"/>
  <c r="D559" i="7" l="1"/>
  <c r="I558" i="7"/>
  <c r="L558" i="7"/>
  <c r="B558" i="7"/>
  <c r="K558" i="7"/>
  <c r="D192" i="1"/>
  <c r="G191" i="1"/>
  <c r="N191" i="1" s="1"/>
  <c r="C181" i="5"/>
  <c r="G180" i="5"/>
  <c r="C180" i="4"/>
  <c r="H179" i="4"/>
  <c r="B203" i="1"/>
  <c r="D560" i="7" l="1"/>
  <c r="K559" i="7"/>
  <c r="I559" i="7"/>
  <c r="L559" i="7"/>
  <c r="B559" i="7"/>
  <c r="D193" i="1"/>
  <c r="G192" i="1"/>
  <c r="N192" i="1" s="1"/>
  <c r="G181" i="5"/>
  <c r="C182" i="5"/>
  <c r="C181" i="4"/>
  <c r="H180" i="4"/>
  <c r="B204" i="1"/>
  <c r="B560" i="7" l="1"/>
  <c r="D561" i="7"/>
  <c r="L560" i="7"/>
  <c r="K560" i="7"/>
  <c r="I560" i="7"/>
  <c r="D194" i="1"/>
  <c r="G193" i="1"/>
  <c r="N193" i="1" s="1"/>
  <c r="C183" i="5"/>
  <c r="G182" i="5"/>
  <c r="H181" i="4"/>
  <c r="C182" i="4"/>
  <c r="B205" i="1"/>
  <c r="K561" i="7" l="1"/>
  <c r="I561" i="7"/>
  <c r="B561" i="7"/>
  <c r="D562" i="7"/>
  <c r="L561" i="7"/>
  <c r="D195" i="1"/>
  <c r="G194" i="1"/>
  <c r="N194" i="1" s="1"/>
  <c r="G183" i="5"/>
  <c r="C184" i="5"/>
  <c r="C183" i="4"/>
  <c r="H182" i="4"/>
  <c r="B206" i="1"/>
  <c r="B562" i="7" l="1"/>
  <c r="D563" i="7"/>
  <c r="I562" i="7"/>
  <c r="L562" i="7"/>
  <c r="K562" i="7"/>
  <c r="D196" i="1"/>
  <c r="G195" i="1"/>
  <c r="N195" i="1" s="1"/>
  <c r="C185" i="5"/>
  <c r="G184" i="5"/>
  <c r="H183" i="4"/>
  <c r="C184" i="4"/>
  <c r="B207" i="1"/>
  <c r="B563" i="7" l="1"/>
  <c r="L563" i="7"/>
  <c r="D564" i="7"/>
  <c r="K563" i="7"/>
  <c r="I563" i="7"/>
  <c r="D197" i="1"/>
  <c r="G196" i="1"/>
  <c r="N196" i="1" s="1"/>
  <c r="C186" i="5"/>
  <c r="G185" i="5"/>
  <c r="C185" i="4"/>
  <c r="H184" i="4"/>
  <c r="B208" i="1"/>
  <c r="D565" i="7" l="1"/>
  <c r="K564" i="7"/>
  <c r="L564" i="7"/>
  <c r="I564" i="7"/>
  <c r="B564" i="7"/>
  <c r="D198" i="1"/>
  <c r="G197" i="1"/>
  <c r="N197" i="1" s="1"/>
  <c r="C187" i="5"/>
  <c r="G186" i="5"/>
  <c r="C186" i="4"/>
  <c r="H185" i="4"/>
  <c r="B209" i="1"/>
  <c r="I565" i="7" l="1"/>
  <c r="B565" i="7"/>
  <c r="L565" i="7"/>
  <c r="D566" i="7"/>
  <c r="K565" i="7"/>
  <c r="D199" i="1"/>
  <c r="G198" i="1"/>
  <c r="N198" i="1" s="1"/>
  <c r="C188" i="5"/>
  <c r="G187" i="5"/>
  <c r="C187" i="4"/>
  <c r="H186" i="4"/>
  <c r="B210" i="1"/>
  <c r="L566" i="7" l="1"/>
  <c r="K566" i="7"/>
  <c r="I566" i="7"/>
  <c r="D567" i="7"/>
  <c r="B566" i="7"/>
  <c r="D200" i="1"/>
  <c r="G199" i="1"/>
  <c r="N199" i="1" s="1"/>
  <c r="C189" i="5"/>
  <c r="G188" i="5"/>
  <c r="C188" i="4"/>
  <c r="H187" i="4"/>
  <c r="B211" i="1"/>
  <c r="D568" i="7" l="1"/>
  <c r="L567" i="7"/>
  <c r="I567" i="7"/>
  <c r="K567" i="7"/>
  <c r="B567" i="7"/>
  <c r="D201" i="1"/>
  <c r="G200" i="1"/>
  <c r="N200" i="1" s="1"/>
  <c r="G189" i="5"/>
  <c r="C190" i="5"/>
  <c r="C189" i="4"/>
  <c r="H188" i="4"/>
  <c r="B212" i="1"/>
  <c r="I568" i="7" l="1"/>
  <c r="L568" i="7"/>
  <c r="B568" i="7"/>
  <c r="D569" i="7"/>
  <c r="K568" i="7"/>
  <c r="D202" i="1"/>
  <c r="G201" i="1"/>
  <c r="N201" i="1" s="1"/>
  <c r="C191" i="5"/>
  <c r="G190" i="5"/>
  <c r="H189" i="4"/>
  <c r="C190" i="4"/>
  <c r="B213" i="1"/>
  <c r="B569" i="7" l="1"/>
  <c r="D570" i="7"/>
  <c r="L569" i="7"/>
  <c r="K569" i="7"/>
  <c r="I569" i="7"/>
  <c r="D203" i="1"/>
  <c r="G202" i="1"/>
  <c r="N202" i="1" s="1"/>
  <c r="G191" i="5"/>
  <c r="C192" i="5"/>
  <c r="C191" i="4"/>
  <c r="H190" i="4"/>
  <c r="B214" i="1"/>
  <c r="K570" i="7" l="1"/>
  <c r="B570" i="7"/>
  <c r="I570" i="7"/>
  <c r="L570" i="7"/>
  <c r="D571" i="7"/>
  <c r="D204" i="1"/>
  <c r="G203" i="1"/>
  <c r="N203" i="1" s="1"/>
  <c r="C193" i="5"/>
  <c r="G192" i="5"/>
  <c r="H191" i="4"/>
  <c r="C192" i="4"/>
  <c r="B215" i="1"/>
  <c r="B571" i="7" l="1"/>
  <c r="D572" i="7"/>
  <c r="L571" i="7"/>
  <c r="K571" i="7"/>
  <c r="I571" i="7"/>
  <c r="D205" i="1"/>
  <c r="G204" i="1"/>
  <c r="N204" i="1" s="1"/>
  <c r="C194" i="5"/>
  <c r="G193" i="5"/>
  <c r="C193" i="4"/>
  <c r="H192" i="4"/>
  <c r="B216" i="1"/>
  <c r="B572" i="7" l="1"/>
  <c r="L572" i="7"/>
  <c r="D573" i="7"/>
  <c r="K572" i="7"/>
  <c r="I572" i="7"/>
  <c r="D206" i="1"/>
  <c r="G205" i="1"/>
  <c r="N205" i="1" s="1"/>
  <c r="C195" i="5"/>
  <c r="G194" i="5"/>
  <c r="C194" i="4"/>
  <c r="H193" i="4"/>
  <c r="B217" i="1"/>
  <c r="L573" i="7" l="1"/>
  <c r="K573" i="7"/>
  <c r="I573" i="7"/>
  <c r="B573" i="7"/>
  <c r="D574" i="7"/>
  <c r="D207" i="1"/>
  <c r="G206" i="1"/>
  <c r="N206" i="1" s="1"/>
  <c r="C196" i="5"/>
  <c r="G195" i="5"/>
  <c r="C195" i="4"/>
  <c r="H194" i="4"/>
  <c r="B218" i="1"/>
  <c r="D575" i="7" l="1"/>
  <c r="I574" i="7"/>
  <c r="L574" i="7"/>
  <c r="B574" i="7"/>
  <c r="K574" i="7"/>
  <c r="D208" i="1"/>
  <c r="G207" i="1"/>
  <c r="N207" i="1" s="1"/>
  <c r="C197" i="5"/>
  <c r="G196" i="5"/>
  <c r="C196" i="4"/>
  <c r="H195" i="4"/>
  <c r="B219" i="1"/>
  <c r="K575" i="7" l="1"/>
  <c r="L575" i="7"/>
  <c r="I575" i="7"/>
  <c r="B575" i="7"/>
  <c r="D576" i="7"/>
  <c r="D209" i="1"/>
  <c r="G208" i="1"/>
  <c r="N208" i="1" s="1"/>
  <c r="G197" i="5"/>
  <c r="C198" i="5"/>
  <c r="C197" i="4"/>
  <c r="H196" i="4"/>
  <c r="B220" i="1"/>
  <c r="D577" i="7" l="1"/>
  <c r="L576" i="7"/>
  <c r="K576" i="7"/>
  <c r="I576" i="7"/>
  <c r="B576" i="7"/>
  <c r="D210" i="1"/>
  <c r="G209" i="1"/>
  <c r="N209" i="1" s="1"/>
  <c r="C199" i="5"/>
  <c r="G198" i="5"/>
  <c r="H197" i="4"/>
  <c r="C198" i="4"/>
  <c r="B221" i="1"/>
  <c r="K577" i="7" l="1"/>
  <c r="I577" i="7"/>
  <c r="B577" i="7"/>
  <c r="L577" i="7"/>
  <c r="D578" i="7"/>
  <c r="D211" i="1"/>
  <c r="G210" i="1"/>
  <c r="N210" i="1" s="1"/>
  <c r="G199" i="5"/>
  <c r="C200" i="5"/>
  <c r="C199" i="4"/>
  <c r="H198" i="4"/>
  <c r="B222" i="1"/>
  <c r="B578" i="7" l="1"/>
  <c r="D579" i="7"/>
  <c r="I578" i="7"/>
  <c r="L578" i="7"/>
  <c r="K578" i="7"/>
  <c r="D212" i="1"/>
  <c r="G211" i="1"/>
  <c r="N211" i="1" s="1"/>
  <c r="C201" i="5"/>
  <c r="G200" i="5"/>
  <c r="H199" i="4"/>
  <c r="C200" i="4"/>
  <c r="B223" i="1"/>
  <c r="K579" i="7" l="1"/>
  <c r="B579" i="7"/>
  <c r="L579" i="7"/>
  <c r="I579" i="7"/>
  <c r="D580" i="7"/>
  <c r="D213" i="1"/>
  <c r="G212" i="1"/>
  <c r="N212" i="1" s="1"/>
  <c r="C202" i="5"/>
  <c r="G201" i="5"/>
  <c r="C201" i="4"/>
  <c r="H200" i="4"/>
  <c r="B224" i="1"/>
  <c r="K580" i="7" l="1"/>
  <c r="L580" i="7"/>
  <c r="I580" i="7"/>
  <c r="D581" i="7"/>
  <c r="B580" i="7"/>
  <c r="D214" i="1"/>
  <c r="G213" i="1"/>
  <c r="N213" i="1" s="1"/>
  <c r="C203" i="5"/>
  <c r="G202" i="5"/>
  <c r="C202" i="4"/>
  <c r="H201" i="4"/>
  <c r="B225" i="1"/>
  <c r="B581" i="7" l="1"/>
  <c r="D582" i="7"/>
  <c r="L581" i="7"/>
  <c r="K581" i="7"/>
  <c r="I581" i="7"/>
  <c r="D215" i="1"/>
  <c r="G214" i="1"/>
  <c r="N214" i="1" s="1"/>
  <c r="C204" i="5"/>
  <c r="G203" i="5"/>
  <c r="C203" i="4"/>
  <c r="H202" i="4"/>
  <c r="B226" i="1"/>
  <c r="L582" i="7" l="1"/>
  <c r="K582" i="7"/>
  <c r="I582" i="7"/>
  <c r="B582" i="7"/>
  <c r="D583" i="7"/>
  <c r="D216" i="1"/>
  <c r="G215" i="1"/>
  <c r="N215" i="1" s="1"/>
  <c r="C205" i="5"/>
  <c r="G204" i="5"/>
  <c r="C204" i="4"/>
  <c r="H203" i="4"/>
  <c r="B227" i="1"/>
  <c r="B583" i="7" l="1"/>
  <c r="D584" i="7"/>
  <c r="L583" i="7"/>
  <c r="I583" i="7"/>
  <c r="K583" i="7"/>
  <c r="D217" i="1"/>
  <c r="G216" i="1"/>
  <c r="N216" i="1" s="1"/>
  <c r="G205" i="5"/>
  <c r="C206" i="5"/>
  <c r="C205" i="4"/>
  <c r="H204" i="4"/>
  <c r="B228" i="1"/>
  <c r="I584" i="7" l="1"/>
  <c r="L584" i="7"/>
  <c r="B584" i="7"/>
  <c r="D585" i="7"/>
  <c r="K584" i="7"/>
  <c r="D218" i="1"/>
  <c r="G217" i="1"/>
  <c r="N217" i="1" s="1"/>
  <c r="C207" i="5"/>
  <c r="G206" i="5"/>
  <c r="H205" i="4"/>
  <c r="C206" i="4"/>
  <c r="B229" i="1"/>
  <c r="D586" i="7" l="1"/>
  <c r="L585" i="7"/>
  <c r="K585" i="7"/>
  <c r="I585" i="7"/>
  <c r="B585" i="7"/>
  <c r="D219" i="1"/>
  <c r="G218" i="1"/>
  <c r="N218" i="1" s="1"/>
  <c r="G207" i="5"/>
  <c r="C208" i="5"/>
  <c r="C207" i="4"/>
  <c r="H206" i="4"/>
  <c r="B230" i="1"/>
  <c r="K586" i="7" l="1"/>
  <c r="B586" i="7"/>
  <c r="I586" i="7"/>
  <c r="L586" i="7"/>
  <c r="D587" i="7"/>
  <c r="D220" i="1"/>
  <c r="G219" i="1"/>
  <c r="N219" i="1" s="1"/>
  <c r="C209" i="5"/>
  <c r="G208" i="5"/>
  <c r="H207" i="4"/>
  <c r="C208" i="4"/>
  <c r="B231" i="1"/>
  <c r="B587" i="7" l="1"/>
  <c r="D588" i="7"/>
  <c r="L587" i="7"/>
  <c r="I587" i="7"/>
  <c r="K587" i="7"/>
  <c r="D221" i="1"/>
  <c r="G220" i="1"/>
  <c r="N220" i="1" s="1"/>
  <c r="C210" i="5"/>
  <c r="G209" i="5"/>
  <c r="C209" i="4"/>
  <c r="H208" i="4"/>
  <c r="B232" i="1"/>
  <c r="B588" i="7" l="1"/>
  <c r="L588" i="7"/>
  <c r="D589" i="7"/>
  <c r="K588" i="7"/>
  <c r="I588" i="7"/>
  <c r="D222" i="1"/>
  <c r="G221" i="1"/>
  <c r="N221" i="1" s="1"/>
  <c r="C211" i="5"/>
  <c r="G210" i="5"/>
  <c r="C210" i="4"/>
  <c r="H209" i="4"/>
  <c r="B233" i="1"/>
  <c r="L589" i="7" l="1"/>
  <c r="K589" i="7"/>
  <c r="I589" i="7"/>
  <c r="B589" i="7"/>
  <c r="D590" i="7"/>
  <c r="D223" i="1"/>
  <c r="G222" i="1"/>
  <c r="N222" i="1" s="1"/>
  <c r="C212" i="5"/>
  <c r="G211" i="5"/>
  <c r="C211" i="4"/>
  <c r="H210" i="4"/>
  <c r="B234" i="1"/>
  <c r="B590" i="7" l="1"/>
  <c r="D591" i="7"/>
  <c r="I590" i="7"/>
  <c r="L590" i="7"/>
  <c r="K590" i="7"/>
  <c r="D224" i="1"/>
  <c r="G223" i="1"/>
  <c r="N223" i="1" s="1"/>
  <c r="C213" i="5"/>
  <c r="G212" i="5"/>
  <c r="C212" i="4"/>
  <c r="H211" i="4"/>
  <c r="B235" i="1"/>
  <c r="D592" i="7" l="1"/>
  <c r="K591" i="7"/>
  <c r="L591" i="7"/>
  <c r="I591" i="7"/>
  <c r="B591" i="7"/>
  <c r="D225" i="1"/>
  <c r="G224" i="1"/>
  <c r="N224" i="1" s="1"/>
  <c r="G213" i="5"/>
  <c r="C214" i="5"/>
  <c r="C213" i="4"/>
  <c r="H212" i="4"/>
  <c r="B236" i="1"/>
  <c r="D593" i="7" l="1"/>
  <c r="L592" i="7"/>
  <c r="B592" i="7"/>
  <c r="K592" i="7"/>
  <c r="I592" i="7"/>
  <c r="D226" i="1"/>
  <c r="G225" i="1"/>
  <c r="N225" i="1" s="1"/>
  <c r="C215" i="5"/>
  <c r="G214" i="5"/>
  <c r="H213" i="4"/>
  <c r="C214" i="4"/>
  <c r="B237" i="1"/>
  <c r="K593" i="7" l="1"/>
  <c r="I593" i="7"/>
  <c r="B593" i="7"/>
  <c r="D594" i="7"/>
  <c r="L593" i="7"/>
  <c r="D227" i="1"/>
  <c r="G226" i="1"/>
  <c r="N226" i="1" s="1"/>
  <c r="G215" i="5"/>
  <c r="C216" i="5"/>
  <c r="C215" i="4"/>
  <c r="H214" i="4"/>
  <c r="B238" i="1"/>
  <c r="B594" i="7" l="1"/>
  <c r="D595" i="7"/>
  <c r="I594" i="7"/>
  <c r="L594" i="7"/>
  <c r="K594" i="7"/>
  <c r="D228" i="1"/>
  <c r="G227" i="1"/>
  <c r="N227" i="1" s="1"/>
  <c r="C217" i="5"/>
  <c r="G216" i="5"/>
  <c r="H215" i="4"/>
  <c r="C216" i="4"/>
  <c r="B239" i="1"/>
  <c r="K595" i="7" l="1"/>
  <c r="B595" i="7"/>
  <c r="L595" i="7"/>
  <c r="D596" i="7"/>
  <c r="I595" i="7"/>
  <c r="D229" i="1"/>
  <c r="G228" i="1"/>
  <c r="N228" i="1" s="1"/>
  <c r="C218" i="5"/>
  <c r="G217" i="5"/>
  <c r="C217" i="4"/>
  <c r="H216" i="4"/>
  <c r="B240" i="1"/>
  <c r="K596" i="7" l="1"/>
  <c r="B596" i="7"/>
  <c r="I596" i="7"/>
  <c r="L596" i="7"/>
  <c r="D597" i="7"/>
  <c r="D230" i="1"/>
  <c r="G229" i="1"/>
  <c r="N229" i="1" s="1"/>
  <c r="C219" i="5"/>
  <c r="G218" i="5"/>
  <c r="C218" i="4"/>
  <c r="H217" i="4"/>
  <c r="B241" i="1"/>
  <c r="I597" i="7" l="1"/>
  <c r="B597" i="7"/>
  <c r="D598" i="7"/>
  <c r="L597" i="7"/>
  <c r="K597" i="7"/>
  <c r="D231" i="1"/>
  <c r="G230" i="1"/>
  <c r="N230" i="1" s="1"/>
  <c r="C220" i="5"/>
  <c r="G219" i="5"/>
  <c r="C219" i="4"/>
  <c r="H218" i="4"/>
  <c r="B242" i="1"/>
  <c r="L598" i="7" l="1"/>
  <c r="I598" i="7"/>
  <c r="B598" i="7"/>
  <c r="D599" i="7"/>
  <c r="K598" i="7"/>
  <c r="D232" i="1"/>
  <c r="G231" i="1"/>
  <c r="N231" i="1" s="1"/>
  <c r="C221" i="5"/>
  <c r="G220" i="5"/>
  <c r="C220" i="4"/>
  <c r="H219" i="4"/>
  <c r="B243" i="1"/>
  <c r="B599" i="7" l="1"/>
  <c r="D600" i="7"/>
  <c r="L599" i="7"/>
  <c r="K599" i="7"/>
  <c r="I599" i="7"/>
  <c r="D233" i="1"/>
  <c r="G232" i="1"/>
  <c r="N232" i="1" s="1"/>
  <c r="G221" i="5"/>
  <c r="C222" i="5"/>
  <c r="C221" i="4"/>
  <c r="H220" i="4"/>
  <c r="B244" i="1"/>
  <c r="K600" i="7" l="1"/>
  <c r="I600" i="7"/>
  <c r="L600" i="7"/>
  <c r="B600" i="7"/>
  <c r="D601" i="7"/>
  <c r="D234" i="1"/>
  <c r="G233" i="1"/>
  <c r="N233" i="1" s="1"/>
  <c r="C223" i="5"/>
  <c r="G222" i="5"/>
  <c r="H221" i="4"/>
  <c r="C222" i="4"/>
  <c r="B245" i="1"/>
  <c r="B601" i="7" l="1"/>
  <c r="L601" i="7"/>
  <c r="K601" i="7"/>
  <c r="I601" i="7"/>
  <c r="D602" i="7"/>
  <c r="D235" i="1"/>
  <c r="G234" i="1"/>
  <c r="N234" i="1" s="1"/>
  <c r="G223" i="5"/>
  <c r="C224" i="5"/>
  <c r="C223" i="4"/>
  <c r="H222" i="4"/>
  <c r="B246" i="1"/>
  <c r="B602" i="7" l="1"/>
  <c r="I602" i="7"/>
  <c r="D603" i="7"/>
  <c r="L602" i="7"/>
  <c r="K602" i="7"/>
  <c r="D236" i="1"/>
  <c r="G235" i="1"/>
  <c r="N235" i="1" s="1"/>
  <c r="C225" i="5"/>
  <c r="G224" i="5"/>
  <c r="H223" i="4"/>
  <c r="C224" i="4"/>
  <c r="B247" i="1"/>
  <c r="B603" i="7" l="1"/>
  <c r="D604" i="7"/>
  <c r="I603" i="7"/>
  <c r="K603" i="7"/>
  <c r="L603" i="7"/>
  <c r="D237" i="1"/>
  <c r="G236" i="1"/>
  <c r="N236" i="1" s="1"/>
  <c r="C226" i="5"/>
  <c r="G225" i="5"/>
  <c r="C225" i="4"/>
  <c r="H224" i="4"/>
  <c r="B248" i="1"/>
  <c r="I604" i="7" l="1"/>
  <c r="B604" i="7"/>
  <c r="L604" i="7"/>
  <c r="D605" i="7"/>
  <c r="K604" i="7"/>
  <c r="D238" i="1"/>
  <c r="G237" i="1"/>
  <c r="N237" i="1" s="1"/>
  <c r="C227" i="5"/>
  <c r="G226" i="5"/>
  <c r="C226" i="4"/>
  <c r="H225" i="4"/>
  <c r="B249" i="1"/>
  <c r="I605" i="7" l="1"/>
  <c r="D606" i="7"/>
  <c r="B605" i="7"/>
  <c r="K605" i="7" s="1"/>
  <c r="L605" i="7"/>
  <c r="D239" i="1"/>
  <c r="G238" i="1"/>
  <c r="N238" i="1" s="1"/>
  <c r="C228" i="5"/>
  <c r="G227" i="5"/>
  <c r="C227" i="4"/>
  <c r="H226" i="4"/>
  <c r="B250" i="1"/>
  <c r="B606" i="7" l="1"/>
  <c r="D607" i="7"/>
  <c r="L606" i="7"/>
  <c r="I606" i="7"/>
  <c r="K606" i="7"/>
  <c r="D240" i="1"/>
  <c r="G239" i="1"/>
  <c r="N239" i="1" s="1"/>
  <c r="C229" i="5"/>
  <c r="G228" i="5"/>
  <c r="C228" i="4"/>
  <c r="H227" i="4"/>
  <c r="B251" i="1"/>
  <c r="D608" i="7" l="1"/>
  <c r="K607" i="7"/>
  <c r="I607" i="7"/>
  <c r="L607" i="7"/>
  <c r="B607" i="7"/>
  <c r="B252" i="1"/>
  <c r="B253" i="1"/>
  <c r="D241" i="1"/>
  <c r="G240" i="1"/>
  <c r="N240" i="1" s="1"/>
  <c r="G229" i="5"/>
  <c r="C230" i="5"/>
  <c r="C229" i="4"/>
  <c r="H228" i="4"/>
  <c r="B608" i="7" l="1"/>
  <c r="D609" i="7"/>
  <c r="L608" i="7"/>
  <c r="K608" i="7"/>
  <c r="I608" i="7"/>
  <c r="B254" i="1"/>
  <c r="D242" i="1"/>
  <c r="G241" i="1"/>
  <c r="N241" i="1" s="1"/>
  <c r="C231" i="5"/>
  <c r="G230" i="5"/>
  <c r="H229" i="4"/>
  <c r="C230" i="4"/>
  <c r="I609" i="7" l="1"/>
  <c r="B609" i="7"/>
  <c r="L609" i="7"/>
  <c r="K609" i="7"/>
  <c r="D610" i="7"/>
  <c r="B255" i="1"/>
  <c r="D243" i="1"/>
  <c r="G242" i="1"/>
  <c r="N242" i="1" s="1"/>
  <c r="G231" i="5"/>
  <c r="C232" i="5"/>
  <c r="C231" i="4"/>
  <c r="H230" i="4"/>
  <c r="B610" i="7" l="1"/>
  <c r="D611" i="7"/>
  <c r="I610" i="7"/>
  <c r="L610" i="7"/>
  <c r="K610" i="7"/>
  <c r="B256" i="1"/>
  <c r="D244" i="1"/>
  <c r="G243" i="1"/>
  <c r="N243" i="1" s="1"/>
  <c r="C233" i="5"/>
  <c r="G232" i="5"/>
  <c r="H231" i="4"/>
  <c r="C232" i="4"/>
  <c r="B611" i="7" l="1"/>
  <c r="L611" i="7"/>
  <c r="D612" i="7"/>
  <c r="I611" i="7"/>
  <c r="K611" i="7"/>
  <c r="B257" i="1"/>
  <c r="D245" i="1"/>
  <c r="G244" i="1"/>
  <c r="N244" i="1" s="1"/>
  <c r="C234" i="5"/>
  <c r="G233" i="5"/>
  <c r="C233" i="4"/>
  <c r="H232" i="4"/>
  <c r="I612" i="7" l="1"/>
  <c r="L612" i="7"/>
  <c r="B612" i="7"/>
  <c r="K612" i="7" s="1"/>
  <c r="D613" i="7"/>
  <c r="B258" i="1"/>
  <c r="D246" i="1"/>
  <c r="G245" i="1"/>
  <c r="N245" i="1" s="1"/>
  <c r="C235" i="5"/>
  <c r="G234" i="5"/>
  <c r="C234" i="4"/>
  <c r="H233" i="4"/>
  <c r="B613" i="7" l="1"/>
  <c r="D614" i="7"/>
  <c r="K613" i="7"/>
  <c r="L613" i="7"/>
  <c r="I613" i="7"/>
  <c r="B259" i="1"/>
  <c r="D247" i="1"/>
  <c r="G246" i="1"/>
  <c r="N246" i="1" s="1"/>
  <c r="C236" i="5"/>
  <c r="G235" i="5"/>
  <c r="C235" i="4"/>
  <c r="H234" i="4"/>
  <c r="K614" i="7" l="1"/>
  <c r="L614" i="7"/>
  <c r="I614" i="7"/>
  <c r="D615" i="7"/>
  <c r="B614" i="7"/>
  <c r="B260" i="1"/>
  <c r="D248" i="1"/>
  <c r="G247" i="1"/>
  <c r="N247" i="1" s="1"/>
  <c r="C237" i="5"/>
  <c r="G236" i="5"/>
  <c r="C236" i="4"/>
  <c r="H235" i="4"/>
  <c r="B615" i="7" l="1"/>
  <c r="D616" i="7"/>
  <c r="L615" i="7"/>
  <c r="K615" i="7"/>
  <c r="I615" i="7"/>
  <c r="B261" i="1"/>
  <c r="D249" i="1"/>
  <c r="G248" i="1"/>
  <c r="N248" i="1" s="1"/>
  <c r="G237" i="5"/>
  <c r="C238" i="5"/>
  <c r="C237" i="4"/>
  <c r="H236" i="4"/>
  <c r="I616" i="7" l="1"/>
  <c r="B616" i="7"/>
  <c r="D617" i="7"/>
  <c r="L616" i="7"/>
  <c r="K616" i="7"/>
  <c r="B262" i="1"/>
  <c r="D250" i="1"/>
  <c r="G249" i="1"/>
  <c r="N249" i="1" s="1"/>
  <c r="C239" i="5"/>
  <c r="G239" i="5" s="1"/>
  <c r="G238" i="5"/>
  <c r="H237" i="4"/>
  <c r="C238" i="4"/>
  <c r="D618" i="7" l="1"/>
  <c r="L617" i="7"/>
  <c r="K617" i="7"/>
  <c r="I617" i="7"/>
  <c r="B617" i="7"/>
  <c r="B263" i="1"/>
  <c r="D251" i="1"/>
  <c r="G250" i="1"/>
  <c r="N250" i="1" s="1"/>
  <c r="C239" i="4"/>
  <c r="H239" i="4" s="1"/>
  <c r="H238" i="4"/>
  <c r="K618" i="7" l="1"/>
  <c r="B618" i="7"/>
  <c r="I618" i="7"/>
  <c r="L618" i="7"/>
  <c r="D619" i="7"/>
  <c r="G251" i="1"/>
  <c r="N251" i="1" s="1"/>
  <c r="D252" i="1"/>
  <c r="B264" i="1"/>
  <c r="D620" i="7" l="1"/>
  <c r="L619" i="7"/>
  <c r="I619" i="7"/>
  <c r="K619" i="7"/>
  <c r="B619" i="7"/>
  <c r="D253" i="1"/>
  <c r="G252" i="1"/>
  <c r="N252" i="1" s="1"/>
  <c r="B265" i="1"/>
  <c r="I620" i="7" l="1"/>
  <c r="B620" i="7"/>
  <c r="L620" i="7"/>
  <c r="D621" i="7"/>
  <c r="K620" i="7"/>
  <c r="D254" i="1"/>
  <c r="G253" i="1"/>
  <c r="N253" i="1" s="1"/>
  <c r="B266" i="1"/>
  <c r="I621" i="7" l="1"/>
  <c r="D622" i="7"/>
  <c r="L621" i="7"/>
  <c r="K621" i="7"/>
  <c r="B621" i="7"/>
  <c r="D255" i="1"/>
  <c r="G254" i="1"/>
  <c r="N254" i="1"/>
  <c r="B267" i="1"/>
  <c r="B622" i="7" l="1"/>
  <c r="D623" i="7"/>
  <c r="I622" i="7"/>
  <c r="L622" i="7"/>
  <c r="K622" i="7"/>
  <c r="D256" i="1"/>
  <c r="G255" i="1"/>
  <c r="N255" i="1" s="1"/>
  <c r="B268" i="1"/>
  <c r="D624" i="7" l="1"/>
  <c r="K623" i="7"/>
  <c r="L623" i="7"/>
  <c r="B623" i="7"/>
  <c r="I623" i="7"/>
  <c r="D257" i="1"/>
  <c r="G256" i="1"/>
  <c r="N256" i="1" s="1"/>
  <c r="B269" i="1"/>
  <c r="I624" i="7" l="1"/>
  <c r="B624" i="7"/>
  <c r="L624" i="7"/>
  <c r="D625" i="7"/>
  <c r="K624" i="7"/>
  <c r="D258" i="1"/>
  <c r="G257" i="1"/>
  <c r="N257" i="1" s="1"/>
  <c r="B270" i="1"/>
  <c r="K625" i="7" l="1"/>
  <c r="I625" i="7"/>
  <c r="B625" i="7"/>
  <c r="D626" i="7"/>
  <c r="L625" i="7"/>
  <c r="D259" i="1"/>
  <c r="G258" i="1"/>
  <c r="N258" i="1" s="1"/>
  <c r="B271" i="1"/>
  <c r="I626" i="7" l="1"/>
  <c r="L626" i="7"/>
  <c r="K626" i="7"/>
  <c r="B626" i="7"/>
  <c r="D627" i="7"/>
  <c r="D260" i="1"/>
  <c r="G259" i="1"/>
  <c r="N259" i="1" s="1"/>
  <c r="B272" i="1"/>
  <c r="D628" i="7" l="1"/>
  <c r="L627" i="7"/>
  <c r="I627" i="7"/>
  <c r="K627" i="7"/>
  <c r="B627" i="7"/>
  <c r="D261" i="1"/>
  <c r="G260" i="1"/>
  <c r="N260" i="1"/>
  <c r="B273" i="1"/>
  <c r="K628" i="7" l="1"/>
  <c r="B628" i="7"/>
  <c r="L628" i="7"/>
  <c r="D629" i="7"/>
  <c r="I628" i="7"/>
  <c r="D262" i="1"/>
  <c r="G261" i="1"/>
  <c r="N261" i="1"/>
  <c r="B274" i="1"/>
  <c r="L629" i="7" l="1"/>
  <c r="K629" i="7"/>
  <c r="I629" i="7"/>
  <c r="B629" i="7"/>
  <c r="D630" i="7"/>
  <c r="D263" i="1"/>
  <c r="G262" i="1"/>
  <c r="N262" i="1" s="1"/>
  <c r="B275" i="1"/>
  <c r="I630" i="7" l="1"/>
  <c r="L630" i="7"/>
  <c r="K630" i="7"/>
  <c r="D631" i="7"/>
  <c r="B630" i="7"/>
  <c r="D264" i="1"/>
  <c r="G263" i="1"/>
  <c r="N263" i="1" s="1"/>
  <c r="B276" i="1"/>
  <c r="K631" i="7" l="1"/>
  <c r="B631" i="7"/>
  <c r="I631" i="7"/>
  <c r="D632" i="7"/>
  <c r="L631" i="7"/>
  <c r="D265" i="1"/>
  <c r="G264" i="1"/>
  <c r="N264" i="1" s="1"/>
  <c r="B277" i="1"/>
  <c r="K632" i="7" l="1"/>
  <c r="L632" i="7"/>
  <c r="I632" i="7"/>
  <c r="B632" i="7"/>
  <c r="D633" i="7"/>
  <c r="D266" i="1"/>
  <c r="G265" i="1"/>
  <c r="N265" i="1" s="1"/>
  <c r="B278" i="1"/>
  <c r="K633" i="7" l="1"/>
  <c r="B633" i="7"/>
  <c r="I633" i="7"/>
  <c r="L633" i="7"/>
  <c r="D634" i="7"/>
  <c r="D267" i="1"/>
  <c r="G266" i="1"/>
  <c r="N266" i="1" s="1"/>
  <c r="B279" i="1"/>
  <c r="D635" i="7" l="1"/>
  <c r="L634" i="7"/>
  <c r="I634" i="7"/>
  <c r="B634" i="7"/>
  <c r="K634" i="7"/>
  <c r="D268" i="1"/>
  <c r="G267" i="1"/>
  <c r="N267" i="1" s="1"/>
  <c r="B280" i="1"/>
  <c r="B635" i="7" l="1"/>
  <c r="I635" i="7"/>
  <c r="K635" i="7"/>
  <c r="D636" i="7"/>
  <c r="L635" i="7"/>
  <c r="D269" i="1"/>
  <c r="G268" i="1"/>
  <c r="N268" i="1" s="1"/>
  <c r="B281" i="1"/>
  <c r="K636" i="7" l="1"/>
  <c r="I636" i="7"/>
  <c r="L636" i="7"/>
  <c r="B636" i="7"/>
  <c r="D637" i="7"/>
  <c r="D270" i="1"/>
  <c r="G269" i="1"/>
  <c r="N269" i="1" s="1"/>
  <c r="B282" i="1"/>
  <c r="D638" i="7" l="1"/>
  <c r="I637" i="7"/>
  <c r="L637" i="7"/>
  <c r="B637" i="7"/>
  <c r="K637" i="7"/>
  <c r="D271" i="1"/>
  <c r="G270" i="1"/>
  <c r="N270" i="1" s="1"/>
  <c r="B283" i="1"/>
  <c r="I638" i="7" l="1"/>
  <c r="B638" i="7"/>
  <c r="L638" i="7"/>
  <c r="D639" i="7"/>
  <c r="K638" i="7"/>
  <c r="D272" i="1"/>
  <c r="G271" i="1"/>
  <c r="N271" i="1" s="1"/>
  <c r="B284" i="1"/>
  <c r="D640" i="7" l="1"/>
  <c r="L639" i="7"/>
  <c r="I639" i="7"/>
  <c r="K639" i="7"/>
  <c r="B639" i="7"/>
  <c r="D273" i="1"/>
  <c r="G272" i="1"/>
  <c r="N272" i="1" s="1"/>
  <c r="B285" i="1"/>
  <c r="B640" i="7" l="1"/>
  <c r="L640" i="7"/>
  <c r="D641" i="7"/>
  <c r="K640" i="7"/>
  <c r="I640" i="7"/>
  <c r="D274" i="1"/>
  <c r="G273" i="1"/>
  <c r="N273" i="1" s="1"/>
  <c r="B286" i="1"/>
  <c r="K641" i="7" l="1"/>
  <c r="D642" i="7"/>
  <c r="I641" i="7"/>
  <c r="L641" i="7"/>
  <c r="B641" i="7"/>
  <c r="D275" i="1"/>
  <c r="G274" i="1"/>
  <c r="N274" i="1" s="1"/>
  <c r="B287" i="1"/>
  <c r="D643" i="7" l="1"/>
  <c r="L642" i="7"/>
  <c r="K642" i="7"/>
  <c r="I642" i="7"/>
  <c r="B642" i="7"/>
  <c r="D276" i="1"/>
  <c r="G275" i="1"/>
  <c r="N275" i="1" s="1"/>
  <c r="B288" i="1"/>
  <c r="L643" i="7" l="1"/>
  <c r="K643" i="7"/>
  <c r="I643" i="7"/>
  <c r="B643" i="7"/>
  <c r="D644" i="7"/>
  <c r="D277" i="1"/>
  <c r="G276" i="1"/>
  <c r="N276" i="1" s="1"/>
  <c r="B289" i="1"/>
  <c r="I644" i="7" l="1"/>
  <c r="B644" i="7"/>
  <c r="L644" i="7"/>
  <c r="D645" i="7"/>
  <c r="K644" i="7"/>
  <c r="D278" i="1"/>
  <c r="G277" i="1"/>
  <c r="N277" i="1" s="1"/>
  <c r="B290" i="1"/>
  <c r="I645" i="7" l="1"/>
  <c r="D646" i="7"/>
  <c r="K645" i="7"/>
  <c r="B645" i="7"/>
  <c r="L645" i="7"/>
  <c r="D279" i="1"/>
  <c r="G278" i="1"/>
  <c r="N278" i="1" s="1"/>
  <c r="B291" i="1"/>
  <c r="D647" i="7" l="1"/>
  <c r="B646" i="7"/>
  <c r="L646" i="7"/>
  <c r="K646" i="7"/>
  <c r="I646" i="7"/>
  <c r="D280" i="1"/>
  <c r="G279" i="1"/>
  <c r="N279" i="1" s="1"/>
  <c r="B292" i="1"/>
  <c r="B647" i="7" l="1"/>
  <c r="I647" i="7"/>
  <c r="D648" i="7"/>
  <c r="L647" i="7"/>
  <c r="K647" i="7"/>
  <c r="D281" i="1"/>
  <c r="G280" i="1"/>
  <c r="N280" i="1" s="1"/>
  <c r="B293" i="1"/>
  <c r="D649" i="7" l="1"/>
  <c r="L648" i="7"/>
  <c r="I648" i="7"/>
  <c r="B648" i="7"/>
  <c r="K648" i="7"/>
  <c r="D282" i="1"/>
  <c r="G281" i="1"/>
  <c r="N281" i="1" s="1"/>
  <c r="B294" i="1"/>
  <c r="L649" i="7" l="1"/>
  <c r="K649" i="7"/>
  <c r="B649" i="7"/>
  <c r="I649" i="7"/>
  <c r="D650" i="7"/>
  <c r="D283" i="1"/>
  <c r="G282" i="1"/>
  <c r="N282" i="1" s="1"/>
  <c r="B295" i="1"/>
  <c r="D651" i="7" l="1"/>
  <c r="I650" i="7"/>
  <c r="L650" i="7"/>
  <c r="K650" i="7"/>
  <c r="B650" i="7"/>
  <c r="D284" i="1"/>
  <c r="G283" i="1"/>
  <c r="N283" i="1" s="1"/>
  <c r="B296" i="1"/>
  <c r="D652" i="7" l="1"/>
  <c r="B651" i="7"/>
  <c r="I651" i="7"/>
  <c r="L651" i="7"/>
  <c r="K651" i="7"/>
  <c r="D285" i="1"/>
  <c r="G284" i="1"/>
  <c r="N284" i="1" s="1"/>
  <c r="B297" i="1"/>
  <c r="L652" i="7" l="1"/>
  <c r="I652" i="7"/>
  <c r="B652" i="7"/>
  <c r="D653" i="7"/>
  <c r="K652" i="7"/>
  <c r="D286" i="1"/>
  <c r="G285" i="1"/>
  <c r="N285" i="1" s="1"/>
  <c r="B298" i="1"/>
  <c r="K653" i="7" l="1"/>
  <c r="B653" i="7"/>
  <c r="I653" i="7"/>
  <c r="D654" i="7"/>
  <c r="L653" i="7"/>
  <c r="D287" i="1"/>
  <c r="G286" i="1"/>
  <c r="N286" i="1" s="1"/>
  <c r="B299" i="1"/>
  <c r="I654" i="7" l="1"/>
  <c r="B654" i="7"/>
  <c r="L654" i="7"/>
  <c r="D655" i="7"/>
  <c r="K654" i="7"/>
  <c r="D288" i="1"/>
  <c r="G287" i="1"/>
  <c r="N287" i="1" s="1"/>
  <c r="B300" i="1"/>
  <c r="L655" i="7" l="1"/>
  <c r="B655" i="7"/>
  <c r="K655" i="7"/>
  <c r="I655" i="7"/>
  <c r="D656" i="7"/>
  <c r="D289" i="1"/>
  <c r="G288" i="1"/>
  <c r="N288" i="1" s="1"/>
  <c r="B301" i="1"/>
  <c r="K656" i="7" l="1"/>
  <c r="I656" i="7"/>
  <c r="B656" i="7"/>
  <c r="L656" i="7"/>
  <c r="D657" i="7"/>
  <c r="D290" i="1"/>
  <c r="G289" i="1"/>
  <c r="N289" i="1" s="1"/>
  <c r="B302" i="1"/>
  <c r="D658" i="7" l="1"/>
  <c r="K657" i="7"/>
  <c r="I657" i="7"/>
  <c r="L657" i="7"/>
  <c r="B657" i="7"/>
  <c r="D291" i="1"/>
  <c r="G290" i="1"/>
  <c r="N290" i="1" s="1"/>
  <c r="B303" i="1"/>
  <c r="L658" i="7" l="1"/>
  <c r="D659" i="7"/>
  <c r="I658" i="7"/>
  <c r="B658" i="7"/>
  <c r="K658" i="7"/>
  <c r="D292" i="1"/>
  <c r="G291" i="1"/>
  <c r="N291" i="1" s="1"/>
  <c r="B304" i="1"/>
  <c r="L659" i="7" l="1"/>
  <c r="D660" i="7"/>
  <c r="I659" i="7"/>
  <c r="B659" i="7"/>
  <c r="K659" i="7" s="1"/>
  <c r="D293" i="1"/>
  <c r="G292" i="1"/>
  <c r="N292" i="1" s="1"/>
  <c r="B305" i="1"/>
  <c r="I660" i="7" l="1"/>
  <c r="B660" i="7"/>
  <c r="L660" i="7"/>
  <c r="D661" i="7"/>
  <c r="K660" i="7"/>
  <c r="D294" i="1"/>
  <c r="G293" i="1"/>
  <c r="N293" i="1"/>
  <c r="B306" i="1"/>
  <c r="K661" i="7" l="1"/>
  <c r="I661" i="7"/>
  <c r="B661" i="7"/>
  <c r="D662" i="7"/>
  <c r="L661" i="7"/>
  <c r="D295" i="1"/>
  <c r="G294" i="1"/>
  <c r="N294" i="1" s="1"/>
  <c r="B307" i="1"/>
  <c r="B662" i="7" l="1"/>
  <c r="L662" i="7"/>
  <c r="K662" i="7"/>
  <c r="I662" i="7"/>
  <c r="D663" i="7"/>
  <c r="D296" i="1"/>
  <c r="G295" i="1"/>
  <c r="N295" i="1" s="1"/>
  <c r="B308" i="1"/>
  <c r="K663" i="7" l="1"/>
  <c r="L663" i="7"/>
  <c r="I663" i="7"/>
  <c r="D664" i="7"/>
  <c r="B663" i="7"/>
  <c r="D297" i="1"/>
  <c r="G296" i="1"/>
  <c r="N296" i="1" s="1"/>
  <c r="B309" i="1"/>
  <c r="D665" i="7" l="1"/>
  <c r="K664" i="7"/>
  <c r="L664" i="7"/>
  <c r="I664" i="7"/>
  <c r="B664" i="7"/>
  <c r="D298" i="1"/>
  <c r="G297" i="1"/>
  <c r="N297" i="1" s="1"/>
  <c r="B310" i="1"/>
  <c r="L665" i="7" l="1"/>
  <c r="K665" i="7"/>
  <c r="D666" i="7"/>
  <c r="I665" i="7"/>
  <c r="B665" i="7"/>
  <c r="D299" i="1"/>
  <c r="G298" i="1"/>
  <c r="N298" i="1" s="1"/>
  <c r="B311" i="1"/>
  <c r="D667" i="7" l="1"/>
  <c r="B666" i="7"/>
  <c r="L666" i="7"/>
  <c r="K666" i="7"/>
  <c r="I666" i="7"/>
  <c r="D300" i="1"/>
  <c r="G299" i="1"/>
  <c r="N299" i="1" s="1"/>
  <c r="B312" i="1"/>
  <c r="K667" i="7" l="1"/>
  <c r="B667" i="7"/>
  <c r="I667" i="7"/>
  <c r="D668" i="7"/>
  <c r="L667" i="7"/>
  <c r="D301" i="1"/>
  <c r="G300" i="1"/>
  <c r="N300" i="1" s="1"/>
  <c r="B313" i="1"/>
  <c r="D669" i="7" l="1"/>
  <c r="K668" i="7"/>
  <c r="I668" i="7"/>
  <c r="B668" i="7"/>
  <c r="L668" i="7"/>
  <c r="D302" i="1"/>
  <c r="G301" i="1"/>
  <c r="N301" i="1" s="1"/>
  <c r="B314" i="1"/>
  <c r="B669" i="7" l="1"/>
  <c r="K669" i="7" s="1"/>
  <c r="D670" i="7"/>
  <c r="L669" i="7"/>
  <c r="I669" i="7"/>
  <c r="D303" i="1"/>
  <c r="G302" i="1"/>
  <c r="N302" i="1" s="1"/>
  <c r="B315" i="1"/>
  <c r="I670" i="7" l="1"/>
  <c r="L670" i="7"/>
  <c r="B670" i="7"/>
  <c r="D671" i="7"/>
  <c r="K670" i="7"/>
  <c r="D304" i="1"/>
  <c r="G303" i="1"/>
  <c r="N303" i="1" s="1"/>
  <c r="B316" i="1"/>
  <c r="B671" i="7" l="1"/>
  <c r="D672" i="7"/>
  <c r="L671" i="7"/>
  <c r="I671" i="7"/>
  <c r="K671" i="7"/>
  <c r="D305" i="1"/>
  <c r="G304" i="1"/>
  <c r="N304" i="1" s="1"/>
  <c r="B317" i="1"/>
  <c r="K672" i="7" l="1"/>
  <c r="L672" i="7"/>
  <c r="D673" i="7"/>
  <c r="I672" i="7"/>
  <c r="B672" i="7"/>
  <c r="D306" i="1"/>
  <c r="G305" i="1"/>
  <c r="N305" i="1" s="1"/>
  <c r="B318" i="1"/>
  <c r="B673" i="7" l="1"/>
  <c r="D674" i="7"/>
  <c r="I673" i="7"/>
  <c r="L673" i="7"/>
  <c r="K673" i="7"/>
  <c r="D307" i="1"/>
  <c r="G306" i="1"/>
  <c r="N306" i="1" s="1"/>
  <c r="B319" i="1"/>
  <c r="I674" i="7" l="1"/>
  <c r="B674" i="7"/>
  <c r="L674" i="7"/>
  <c r="D675" i="7"/>
  <c r="K674" i="7"/>
  <c r="D308" i="1"/>
  <c r="G307" i="1"/>
  <c r="N307" i="1" s="1"/>
  <c r="B320" i="1"/>
  <c r="L675" i="7" l="1"/>
  <c r="D676" i="7"/>
  <c r="I675" i="7"/>
  <c r="K675" i="7"/>
  <c r="B675" i="7"/>
  <c r="D309" i="1"/>
  <c r="G308" i="1"/>
  <c r="N308" i="1" s="1"/>
  <c r="B321" i="1"/>
  <c r="I676" i="7" l="1"/>
  <c r="B676" i="7"/>
  <c r="L676" i="7"/>
  <c r="D677" i="7"/>
  <c r="K676" i="7"/>
  <c r="D310" i="1"/>
  <c r="G309" i="1"/>
  <c r="N309" i="1" s="1"/>
  <c r="B322" i="1"/>
  <c r="L677" i="7" l="1"/>
  <c r="K677" i="7"/>
  <c r="I677" i="7"/>
  <c r="B677" i="7"/>
  <c r="D678" i="7"/>
  <c r="D311" i="1"/>
  <c r="G310" i="1"/>
  <c r="N310" i="1" s="1"/>
  <c r="B323" i="1"/>
  <c r="B678" i="7" l="1"/>
  <c r="L678" i="7"/>
  <c r="I678" i="7"/>
  <c r="D679" i="7"/>
  <c r="K678" i="7"/>
  <c r="D312" i="1"/>
  <c r="G311" i="1"/>
  <c r="N311" i="1" s="1"/>
  <c r="B324" i="1"/>
  <c r="L679" i="7" l="1"/>
  <c r="K679" i="7"/>
  <c r="I679" i="7"/>
  <c r="B679" i="7"/>
  <c r="D680" i="7"/>
  <c r="D313" i="1"/>
  <c r="G312" i="1"/>
  <c r="N312" i="1" s="1"/>
  <c r="B325" i="1"/>
  <c r="B680" i="7" l="1"/>
  <c r="D681" i="7"/>
  <c r="L680" i="7"/>
  <c r="K680" i="7"/>
  <c r="I680" i="7"/>
  <c r="D314" i="1"/>
  <c r="G313" i="1"/>
  <c r="N313" i="1" s="1"/>
  <c r="B326" i="1"/>
  <c r="L681" i="7" l="1"/>
  <c r="K681" i="7"/>
  <c r="D682" i="7"/>
  <c r="I681" i="7"/>
  <c r="B681" i="7"/>
  <c r="D315" i="1"/>
  <c r="G314" i="1"/>
  <c r="N314" i="1" s="1"/>
  <c r="B327" i="1"/>
  <c r="D683" i="7" l="1"/>
  <c r="L682" i="7"/>
  <c r="K682" i="7"/>
  <c r="I682" i="7"/>
  <c r="B682" i="7"/>
  <c r="D316" i="1"/>
  <c r="G315" i="1"/>
  <c r="N315" i="1" s="1"/>
  <c r="B328" i="1"/>
  <c r="K683" i="7" l="1"/>
  <c r="B683" i="7"/>
  <c r="I683" i="7"/>
  <c r="D684" i="7"/>
  <c r="L683" i="7"/>
  <c r="D317" i="1"/>
  <c r="G316" i="1"/>
  <c r="N316" i="1" s="1"/>
  <c r="B329" i="1"/>
  <c r="D685" i="7" l="1"/>
  <c r="K684" i="7"/>
  <c r="L684" i="7"/>
  <c r="B684" i="7"/>
  <c r="I684" i="7"/>
  <c r="D318" i="1"/>
  <c r="G317" i="1"/>
  <c r="N317" i="1" s="1"/>
  <c r="B330" i="1"/>
  <c r="K685" i="7" l="1"/>
  <c r="B685" i="7"/>
  <c r="I685" i="7"/>
  <c r="D686" i="7"/>
  <c r="L685" i="7"/>
  <c r="D319" i="1"/>
  <c r="G318" i="1"/>
  <c r="N318" i="1" s="1"/>
  <c r="B331" i="1"/>
  <c r="K686" i="7" l="1"/>
  <c r="L686" i="7"/>
  <c r="B686" i="7"/>
  <c r="D687" i="7"/>
  <c r="I686" i="7"/>
  <c r="D320" i="1"/>
  <c r="G319" i="1"/>
  <c r="N319" i="1" s="1"/>
  <c r="B332" i="1"/>
  <c r="D688" i="7" l="1"/>
  <c r="B687" i="7"/>
  <c r="I687" i="7"/>
  <c r="L687" i="7"/>
  <c r="K687" i="7"/>
  <c r="D321" i="1"/>
  <c r="G320" i="1"/>
  <c r="N320" i="1" s="1"/>
  <c r="B333" i="1"/>
  <c r="K688" i="7" l="1"/>
  <c r="L688" i="7"/>
  <c r="B688" i="7"/>
  <c r="D689" i="7"/>
  <c r="I688" i="7"/>
  <c r="D322" i="1"/>
  <c r="G321" i="1"/>
  <c r="N321" i="1" s="1"/>
  <c r="B334" i="1"/>
  <c r="B689" i="7" l="1"/>
  <c r="D690" i="7"/>
  <c r="I689" i="7"/>
  <c r="L689" i="7"/>
  <c r="K689" i="7"/>
  <c r="D323" i="1"/>
  <c r="G322" i="1"/>
  <c r="N322" i="1" s="1"/>
  <c r="B335" i="1"/>
  <c r="B690" i="7" l="1"/>
  <c r="I690" i="7"/>
  <c r="L690" i="7"/>
  <c r="D691" i="7"/>
  <c r="K690" i="7"/>
  <c r="D324" i="1"/>
  <c r="G323" i="1"/>
  <c r="N323" i="1" s="1"/>
  <c r="D692" i="7" l="1"/>
  <c r="L691" i="7"/>
  <c r="K691" i="7"/>
  <c r="I691" i="7"/>
  <c r="B691" i="7"/>
  <c r="D325" i="1"/>
  <c r="G324" i="1"/>
  <c r="N324" i="1"/>
  <c r="I692" i="7" l="1"/>
  <c r="B692" i="7"/>
  <c r="L692" i="7"/>
  <c r="D693" i="7"/>
  <c r="K692" i="7"/>
  <c r="D326" i="1"/>
  <c r="G325" i="1"/>
  <c r="N325" i="1" s="1"/>
  <c r="L693" i="7" l="1"/>
  <c r="K693" i="7"/>
  <c r="I693" i="7"/>
  <c r="B693" i="7"/>
  <c r="D694" i="7"/>
  <c r="D327" i="1"/>
  <c r="G326" i="1"/>
  <c r="N326" i="1" s="1"/>
  <c r="D695" i="7" l="1"/>
  <c r="B694" i="7"/>
  <c r="L694" i="7"/>
  <c r="I694" i="7"/>
  <c r="K694" i="7"/>
  <c r="D328" i="1"/>
  <c r="G327" i="1"/>
  <c r="N327" i="1"/>
  <c r="L695" i="7" l="1"/>
  <c r="K695" i="7"/>
  <c r="I695" i="7"/>
  <c r="D696" i="7"/>
  <c r="B695" i="7"/>
  <c r="D329" i="1"/>
  <c r="G328" i="1"/>
  <c r="N328" i="1" s="1"/>
  <c r="B696" i="7" l="1"/>
  <c r="D697" i="7"/>
  <c r="L696" i="7"/>
  <c r="K696" i="7"/>
  <c r="I696" i="7"/>
  <c r="D330" i="1"/>
  <c r="G329" i="1"/>
  <c r="N329" i="1" s="1"/>
  <c r="K697" i="7" l="1"/>
  <c r="I697" i="7"/>
  <c r="B697" i="7"/>
  <c r="L697" i="7"/>
  <c r="D698" i="7"/>
  <c r="D331" i="1"/>
  <c r="G330" i="1"/>
  <c r="N330" i="1" s="1"/>
  <c r="B698" i="7" l="1"/>
  <c r="D699" i="7"/>
  <c r="L698" i="7"/>
  <c r="K698" i="7"/>
  <c r="I698" i="7"/>
  <c r="D332" i="1"/>
  <c r="G331" i="1"/>
  <c r="N331" i="1" s="1"/>
  <c r="B699" i="7" l="1"/>
  <c r="I699" i="7"/>
  <c r="D700" i="7"/>
  <c r="L699" i="7"/>
  <c r="K699" i="7"/>
  <c r="D333" i="1"/>
  <c r="G332" i="1"/>
  <c r="N332" i="1" s="1"/>
  <c r="D701" i="7" l="1"/>
  <c r="K700" i="7"/>
  <c r="L700" i="7"/>
  <c r="I700" i="7"/>
  <c r="B700" i="7"/>
  <c r="D334" i="1"/>
  <c r="G333" i="1"/>
  <c r="N333" i="1" s="1"/>
  <c r="K701" i="7" l="1"/>
  <c r="B701" i="7"/>
  <c r="I701" i="7"/>
  <c r="D702" i="7"/>
  <c r="L701" i="7"/>
  <c r="D335" i="1"/>
  <c r="G334" i="1"/>
  <c r="N334" i="1" s="1"/>
  <c r="K702" i="7" l="1"/>
  <c r="I702" i="7"/>
  <c r="L702" i="7"/>
  <c r="D703" i="7"/>
  <c r="B702" i="7"/>
  <c r="G335" i="1"/>
  <c r="N335" i="1"/>
  <c r="B703" i="7" l="1"/>
  <c r="D704" i="7"/>
  <c r="I703" i="7"/>
  <c r="K703" i="7"/>
  <c r="L703" i="7"/>
  <c r="I704" i="7" l="1"/>
  <c r="K704" i="7"/>
  <c r="B704" i="7"/>
  <c r="L704" i="7"/>
  <c r="D705" i="7"/>
  <c r="B705" i="7" l="1"/>
  <c r="D706" i="7"/>
  <c r="I705" i="7"/>
  <c r="L705" i="7"/>
  <c r="K705" i="7"/>
  <c r="I706" i="7" l="1"/>
  <c r="B706" i="7"/>
  <c r="D707" i="7"/>
  <c r="K706" i="7"/>
  <c r="L706" i="7"/>
  <c r="D708" i="7" l="1"/>
  <c r="L707" i="7"/>
  <c r="K707" i="7"/>
  <c r="I707" i="7"/>
  <c r="B707" i="7"/>
  <c r="I708" i="7" l="1"/>
  <c r="B708" i="7"/>
  <c r="L708" i="7"/>
  <c r="K708" i="7"/>
  <c r="D709" i="7"/>
  <c r="K709" i="7" l="1"/>
  <c r="L709" i="7"/>
  <c r="B709" i="7"/>
  <c r="I709" i="7"/>
  <c r="D710" i="7"/>
  <c r="K710" i="7" l="1"/>
  <c r="L710" i="7"/>
  <c r="D711" i="7"/>
  <c r="B710" i="7"/>
  <c r="I710" i="7"/>
  <c r="L711" i="7" l="1"/>
  <c r="K711" i="7"/>
  <c r="D712" i="7"/>
  <c r="I711" i="7"/>
  <c r="B711" i="7"/>
  <c r="D713" i="7" l="1"/>
  <c r="K712" i="7"/>
  <c r="I712" i="7"/>
  <c r="L712" i="7"/>
  <c r="B712" i="7"/>
  <c r="L713" i="7" l="1"/>
  <c r="K713" i="7"/>
  <c r="I713" i="7"/>
  <c r="B713" i="7"/>
  <c r="D714" i="7"/>
  <c r="L714" i="7" l="1"/>
  <c r="I714" i="7"/>
  <c r="D715" i="7"/>
  <c r="K714" i="7"/>
  <c r="B714" i="7"/>
  <c r="K715" i="7" l="1"/>
  <c r="B715" i="7"/>
  <c r="L715" i="7"/>
  <c r="D716" i="7"/>
  <c r="I715" i="7"/>
  <c r="D717" i="7" l="1"/>
  <c r="K716" i="7"/>
  <c r="L716" i="7"/>
  <c r="B716" i="7"/>
  <c r="I716" i="7"/>
  <c r="K717" i="7" l="1"/>
  <c r="B717" i="7"/>
  <c r="I717" i="7"/>
  <c r="D718" i="7"/>
  <c r="L717" i="7"/>
  <c r="K718" i="7" l="1"/>
  <c r="I718" i="7"/>
  <c r="L718" i="7"/>
  <c r="B718" i="7"/>
  <c r="D719" i="7"/>
  <c r="D720" i="7" l="1"/>
  <c r="I719" i="7"/>
  <c r="L719" i="7"/>
  <c r="K719" i="7"/>
  <c r="B719" i="7"/>
  <c r="K720" i="7" l="1"/>
  <c r="L720" i="7"/>
  <c r="I720" i="7"/>
  <c r="B720" i="7"/>
  <c r="D721" i="7"/>
  <c r="B721" i="7" l="1"/>
  <c r="D722" i="7"/>
  <c r="I721" i="7"/>
  <c r="L721" i="7"/>
  <c r="K721" i="7"/>
  <c r="I722" i="7" l="1"/>
  <c r="B722" i="7"/>
  <c r="D723" i="7"/>
  <c r="K722" i="7"/>
  <c r="L722" i="7"/>
  <c r="L723" i="7" l="1"/>
  <c r="D724" i="7"/>
  <c r="K723" i="7"/>
  <c r="I723" i="7"/>
  <c r="B723" i="7"/>
  <c r="B724" i="7" l="1"/>
  <c r="L724" i="7"/>
  <c r="K724" i="7"/>
  <c r="D725" i="7"/>
  <c r="I724" i="7"/>
  <c r="L725" i="7" l="1"/>
  <c r="K725" i="7"/>
  <c r="B725" i="7"/>
  <c r="I725" i="7"/>
  <c r="D726" i="7"/>
  <c r="D727" i="7" l="1"/>
  <c r="B726" i="7"/>
  <c r="K726" i="7"/>
  <c r="I726" i="7"/>
  <c r="L726" i="7"/>
  <c r="L727" i="7" l="1"/>
  <c r="K727" i="7"/>
  <c r="B727" i="7"/>
  <c r="D728" i="7"/>
  <c r="I727" i="7"/>
  <c r="D729" i="7" l="1"/>
  <c r="L728" i="7"/>
  <c r="K728" i="7"/>
  <c r="I728" i="7"/>
  <c r="B728" i="7"/>
  <c r="L729" i="7" l="1"/>
  <c r="K729" i="7"/>
  <c r="I729" i="7"/>
  <c r="B729" i="7"/>
  <c r="D730" i="7"/>
  <c r="B730" i="7" l="1"/>
  <c r="D731" i="7"/>
  <c r="L730" i="7"/>
  <c r="K730" i="7"/>
  <c r="I730" i="7"/>
  <c r="K731" i="7" l="1"/>
  <c r="B731" i="7"/>
  <c r="L731" i="7"/>
  <c r="D732" i="7"/>
  <c r="I731" i="7"/>
  <c r="L732" i="7" l="1"/>
  <c r="I732" i="7"/>
  <c r="B732" i="7"/>
  <c r="K732" i="7" s="1"/>
  <c r="D733" i="7"/>
  <c r="K733" i="7" l="1"/>
  <c r="B733" i="7"/>
  <c r="L733" i="7"/>
  <c r="I733" i="7"/>
  <c r="D734" i="7"/>
  <c r="K734" i="7" l="1"/>
  <c r="L734" i="7"/>
  <c r="B734" i="7"/>
  <c r="D735" i="7"/>
  <c r="I734" i="7"/>
  <c r="B735" i="7" l="1"/>
  <c r="K735" i="7" s="1"/>
  <c r="L735" i="7"/>
  <c r="I735" i="7"/>
  <c r="D736" i="7"/>
  <c r="I736" i="7" l="1"/>
  <c r="L736" i="7"/>
  <c r="B736" i="7"/>
  <c r="K736" i="7" s="1"/>
  <c r="D737" i="7"/>
  <c r="B737" i="7" l="1"/>
  <c r="D738" i="7"/>
  <c r="L737" i="7"/>
  <c r="K737" i="7"/>
  <c r="I737" i="7"/>
  <c r="B738" i="7" l="1"/>
  <c r="I738" i="7"/>
  <c r="L738" i="7"/>
  <c r="D739" i="7"/>
  <c r="K738" i="7"/>
  <c r="L739" i="7" l="1"/>
  <c r="K739" i="7"/>
  <c r="D740" i="7"/>
  <c r="I739" i="7"/>
  <c r="B739" i="7"/>
  <c r="B740" i="7" l="1"/>
  <c r="L740" i="7"/>
  <c r="D741" i="7"/>
  <c r="K740" i="7"/>
  <c r="I740" i="7"/>
  <c r="D742" i="7" l="1"/>
  <c r="L741" i="7"/>
  <c r="K741" i="7"/>
  <c r="I741" i="7"/>
  <c r="B741" i="7"/>
  <c r="I742" i="7" l="1"/>
  <c r="B742" i="7"/>
  <c r="L742" i="7"/>
  <c r="K742" i="7"/>
  <c r="D743" i="7"/>
  <c r="L743" i="7" l="1"/>
  <c r="D744" i="7"/>
  <c r="I743" i="7"/>
  <c r="K743" i="7"/>
  <c r="B743" i="7"/>
  <c r="I744" i="7" l="1"/>
  <c r="L744" i="7"/>
  <c r="B744" i="7"/>
  <c r="D745" i="7"/>
  <c r="K744" i="7"/>
  <c r="B745" i="7" l="1"/>
  <c r="D746" i="7"/>
  <c r="I745" i="7"/>
  <c r="L745" i="7"/>
  <c r="K745" i="7"/>
  <c r="I746" i="7" l="1"/>
  <c r="L746" i="7"/>
  <c r="K746" i="7"/>
  <c r="B746" i="7"/>
  <c r="D747" i="7"/>
  <c r="B747" i="7" l="1"/>
  <c r="L747" i="7"/>
  <c r="D748" i="7"/>
  <c r="K747" i="7"/>
  <c r="I747" i="7"/>
  <c r="K748" i="7" l="1"/>
  <c r="L748" i="7"/>
  <c r="D749" i="7"/>
  <c r="B748" i="7"/>
  <c r="I748" i="7"/>
  <c r="B749" i="7" l="1"/>
  <c r="D750" i="7"/>
  <c r="I749" i="7"/>
  <c r="L749" i="7"/>
  <c r="K749" i="7"/>
  <c r="D751" i="7" l="1"/>
  <c r="I750" i="7"/>
  <c r="L750" i="7"/>
  <c r="K750" i="7"/>
  <c r="B750" i="7"/>
  <c r="K751" i="7" l="1"/>
  <c r="B751" i="7"/>
  <c r="I751" i="7"/>
  <c r="L751" i="7"/>
  <c r="D752" i="7"/>
  <c r="I752" i="7" l="1"/>
  <c r="D753" i="7"/>
  <c r="B752" i="7"/>
  <c r="L752" i="7"/>
  <c r="K752" i="7"/>
  <c r="K753" i="7" l="1"/>
  <c r="B753" i="7"/>
  <c r="I753" i="7"/>
  <c r="D754" i="7"/>
  <c r="L753" i="7"/>
  <c r="D755" i="7" l="1"/>
  <c r="I754" i="7"/>
  <c r="L754" i="7"/>
  <c r="B754" i="7"/>
  <c r="K754" i="7"/>
  <c r="B755" i="7" l="1"/>
  <c r="K755" i="7" s="1"/>
  <c r="I755" i="7"/>
  <c r="D756" i="7"/>
  <c r="L755" i="7"/>
  <c r="K756" i="7" l="1"/>
  <c r="D757" i="7"/>
  <c r="I756" i="7"/>
  <c r="L756" i="7"/>
  <c r="B756" i="7"/>
  <c r="K757" i="7" l="1"/>
  <c r="I757" i="7"/>
  <c r="D758" i="7"/>
  <c r="L757" i="7"/>
  <c r="B757" i="7"/>
  <c r="B758" i="7" l="1"/>
  <c r="D759" i="7"/>
  <c r="L758" i="7"/>
  <c r="I758" i="7"/>
  <c r="K758" i="7"/>
  <c r="K759" i="7" l="1"/>
  <c r="B759" i="7"/>
  <c r="D760" i="7"/>
  <c r="L759" i="7"/>
  <c r="I759" i="7"/>
  <c r="I760" i="7" l="1"/>
  <c r="L760" i="7"/>
  <c r="B760" i="7"/>
  <c r="D761" i="7"/>
  <c r="K760" i="7"/>
  <c r="K761" i="7" l="1"/>
  <c r="B761" i="7"/>
  <c r="I761" i="7"/>
  <c r="L761" i="7"/>
  <c r="D762" i="7"/>
  <c r="B762" i="7" l="1"/>
  <c r="K762" i="7" s="1"/>
  <c r="D763" i="7"/>
  <c r="L762" i="7"/>
  <c r="I762" i="7"/>
  <c r="L763" i="7" l="1"/>
  <c r="B763" i="7"/>
  <c r="K763" i="7" s="1"/>
  <c r="I763" i="7"/>
  <c r="D764" i="7"/>
  <c r="L764" i="7" l="1"/>
  <c r="D765" i="7"/>
  <c r="B764" i="7"/>
  <c r="I764" i="7"/>
  <c r="K764" i="7"/>
  <c r="K765" i="7" l="1"/>
  <c r="L765" i="7"/>
  <c r="I765" i="7"/>
  <c r="D766" i="7"/>
  <c r="B765" i="7"/>
  <c r="B766" i="7" l="1"/>
  <c r="D767" i="7"/>
  <c r="L766" i="7"/>
  <c r="K766" i="7"/>
  <c r="I766" i="7"/>
  <c r="L767" i="7" l="1"/>
  <c r="K767" i="7"/>
  <c r="B767" i="7"/>
  <c r="I767" i="7"/>
  <c r="D768" i="7"/>
  <c r="I768" i="7" l="1"/>
  <c r="L768" i="7"/>
  <c r="D769" i="7"/>
  <c r="B768" i="7"/>
  <c r="K768" i="7"/>
  <c r="L769" i="7" l="1"/>
  <c r="K769" i="7"/>
  <c r="D770" i="7"/>
  <c r="I769" i="7"/>
  <c r="B769" i="7"/>
  <c r="I770" i="7" l="1"/>
  <c r="L770" i="7"/>
  <c r="K770" i="7"/>
  <c r="B770" i="7"/>
  <c r="D771" i="7"/>
  <c r="D772" i="7" l="1"/>
  <c r="I771" i="7"/>
  <c r="B771" i="7"/>
  <c r="K771" i="7"/>
  <c r="L771" i="7"/>
  <c r="I772" i="7" l="1"/>
  <c r="D773" i="7"/>
  <c r="B772" i="7"/>
  <c r="L772" i="7"/>
  <c r="K772" i="7"/>
  <c r="D774" i="7" l="1"/>
  <c r="L773" i="7"/>
  <c r="K773" i="7"/>
  <c r="I773" i="7"/>
  <c r="B773" i="7"/>
  <c r="I774" i="7" l="1"/>
  <c r="B774" i="7"/>
  <c r="K774" i="7"/>
  <c r="L774" i="7"/>
  <c r="D775" i="7"/>
  <c r="D776" i="7" l="1"/>
  <c r="L775" i="7"/>
  <c r="K775" i="7"/>
  <c r="I775" i="7"/>
  <c r="B775" i="7"/>
  <c r="I776" i="7" l="1"/>
  <c r="L776" i="7"/>
  <c r="D777" i="7"/>
  <c r="K776" i="7"/>
  <c r="B776" i="7"/>
  <c r="B777" i="7" l="1"/>
  <c r="I777" i="7"/>
  <c r="L777" i="7"/>
  <c r="K777" i="7"/>
  <c r="D778" i="7"/>
  <c r="I778" i="7" l="1"/>
  <c r="B778" i="7"/>
  <c r="L778" i="7"/>
  <c r="D779" i="7"/>
  <c r="K778" i="7"/>
  <c r="B779" i="7" l="1"/>
  <c r="K779" i="7" s="1"/>
  <c r="D780" i="7"/>
  <c r="I779" i="7"/>
  <c r="L779" i="7"/>
  <c r="I780" i="7" l="1"/>
  <c r="L780" i="7"/>
  <c r="B780" i="7"/>
  <c r="D781" i="7"/>
  <c r="K780" i="7"/>
  <c r="B781" i="7" l="1"/>
  <c r="D782" i="7"/>
  <c r="I781" i="7"/>
  <c r="L781" i="7"/>
  <c r="K781" i="7"/>
  <c r="D783" i="7" l="1"/>
  <c r="L782" i="7"/>
  <c r="K782" i="7"/>
  <c r="I782" i="7"/>
  <c r="B782" i="7"/>
  <c r="K783" i="7" l="1"/>
  <c r="I783" i="7"/>
  <c r="D784" i="7"/>
  <c r="L783" i="7"/>
  <c r="B783" i="7"/>
  <c r="I784" i="7" l="1"/>
  <c r="L784" i="7"/>
  <c r="D785" i="7"/>
  <c r="B784" i="7"/>
  <c r="K784" i="7"/>
  <c r="K785" i="7" l="1"/>
  <c r="D786" i="7"/>
  <c r="B785" i="7"/>
  <c r="I785" i="7"/>
  <c r="L785" i="7"/>
  <c r="D787" i="7" l="1"/>
  <c r="I786" i="7"/>
  <c r="L786" i="7"/>
  <c r="K786" i="7"/>
  <c r="B786" i="7"/>
  <c r="B787" i="7" l="1"/>
  <c r="L787" i="7"/>
  <c r="I787" i="7"/>
  <c r="D788" i="7"/>
  <c r="K787" i="7"/>
  <c r="K788" i="7" l="1"/>
  <c r="I788" i="7"/>
  <c r="L788" i="7"/>
  <c r="D789" i="7"/>
  <c r="B788" i="7"/>
  <c r="K789" i="7" l="1"/>
  <c r="D790" i="7"/>
  <c r="B789" i="7"/>
  <c r="I789" i="7"/>
  <c r="L789" i="7"/>
  <c r="B790" i="7" l="1"/>
  <c r="D791" i="7"/>
  <c r="L790" i="7"/>
  <c r="K790" i="7"/>
  <c r="I790" i="7"/>
  <c r="L791" i="7" l="1"/>
  <c r="B791" i="7"/>
  <c r="K791" i="7"/>
  <c r="I791" i="7"/>
  <c r="D792" i="7"/>
  <c r="B792" i="7" l="1"/>
  <c r="L792" i="7"/>
  <c r="D793" i="7"/>
  <c r="I792" i="7"/>
  <c r="K792" i="7"/>
  <c r="I793" i="7" l="1"/>
  <c r="K793" i="7"/>
  <c r="D794" i="7"/>
  <c r="B793" i="7"/>
  <c r="L793" i="7"/>
  <c r="I794" i="7" l="1"/>
  <c r="B794" i="7"/>
  <c r="L794" i="7"/>
  <c r="K794" i="7"/>
  <c r="D795" i="7"/>
  <c r="K795" i="7" l="1"/>
  <c r="I795" i="7"/>
  <c r="D796" i="7"/>
  <c r="B795" i="7"/>
  <c r="L795" i="7"/>
  <c r="I796" i="7" l="1"/>
  <c r="L796" i="7"/>
  <c r="B796" i="7"/>
  <c r="D797" i="7"/>
  <c r="K796" i="7"/>
  <c r="K797" i="7" l="1"/>
  <c r="D798" i="7"/>
  <c r="L797" i="7"/>
  <c r="I797" i="7"/>
  <c r="B797" i="7"/>
  <c r="L798" i="7" l="1"/>
  <c r="D799" i="7"/>
  <c r="I798" i="7"/>
  <c r="K798" i="7"/>
  <c r="B798" i="7"/>
  <c r="B799" i="7" l="1"/>
  <c r="L799" i="7"/>
  <c r="I799" i="7"/>
  <c r="K799" i="7"/>
  <c r="D800" i="7"/>
  <c r="K800" i="7" l="1"/>
  <c r="D801" i="7"/>
  <c r="I800" i="7"/>
  <c r="L800" i="7"/>
  <c r="B800" i="7"/>
  <c r="K801" i="7" l="1"/>
  <c r="D802" i="7"/>
  <c r="I801" i="7"/>
  <c r="L801" i="7"/>
  <c r="B801" i="7"/>
  <c r="D803" i="7" l="1"/>
  <c r="I802" i="7"/>
  <c r="L802" i="7"/>
  <c r="B802" i="7"/>
  <c r="K802" i="7"/>
  <c r="K803" i="7" l="1"/>
  <c r="I803" i="7"/>
  <c r="D804" i="7"/>
  <c r="L803" i="7"/>
  <c r="B803" i="7"/>
  <c r="B804" i="7" l="1"/>
  <c r="D805" i="7"/>
  <c r="L804" i="7"/>
  <c r="K804" i="7"/>
  <c r="I804" i="7"/>
  <c r="K805" i="7" l="1"/>
  <c r="I805" i="7"/>
  <c r="L805" i="7"/>
  <c r="D806" i="7"/>
  <c r="B805" i="7"/>
  <c r="L806" i="7" l="1"/>
  <c r="B806" i="7"/>
  <c r="D807" i="7"/>
  <c r="I806" i="7"/>
  <c r="K806" i="7"/>
  <c r="B807" i="7" l="1"/>
  <c r="I807" i="7"/>
  <c r="D808" i="7"/>
  <c r="L807" i="7"/>
  <c r="K807" i="7"/>
  <c r="I808" i="7" l="1"/>
  <c r="L808" i="7"/>
  <c r="B808" i="7"/>
  <c r="K808" i="7"/>
  <c r="D809" i="7"/>
  <c r="D810" i="7" l="1"/>
  <c r="I809" i="7"/>
  <c r="B809" i="7"/>
  <c r="L809" i="7"/>
  <c r="K809" i="7"/>
  <c r="L810" i="7" l="1"/>
  <c r="K810" i="7"/>
  <c r="B810" i="7"/>
  <c r="I810" i="7"/>
  <c r="D811" i="7"/>
  <c r="D812" i="7" l="1"/>
  <c r="I811" i="7"/>
  <c r="L811" i="7"/>
  <c r="K811" i="7"/>
  <c r="B811" i="7"/>
  <c r="I812" i="7" l="1"/>
  <c r="L812" i="7"/>
  <c r="D813" i="7"/>
  <c r="K812" i="7"/>
  <c r="B812" i="7"/>
  <c r="B813" i="7" l="1"/>
  <c r="D814" i="7"/>
  <c r="L813" i="7"/>
  <c r="I813" i="7"/>
  <c r="K813" i="7"/>
  <c r="I814" i="7" l="1"/>
  <c r="B814" i="7"/>
  <c r="D815" i="7"/>
  <c r="K814" i="7"/>
  <c r="L814" i="7"/>
  <c r="D816" i="7" l="1"/>
  <c r="B815" i="7"/>
  <c r="I815" i="7"/>
  <c r="L815" i="7"/>
  <c r="K815" i="7"/>
  <c r="B816" i="7" l="1"/>
  <c r="L816" i="7"/>
  <c r="I816" i="7"/>
  <c r="D817" i="7"/>
  <c r="K816" i="7"/>
  <c r="B817" i="7" l="1"/>
  <c r="I817" i="7"/>
  <c r="K817" i="7"/>
  <c r="L817" i="7"/>
  <c r="D818" i="7"/>
  <c r="D819" i="7" l="1"/>
  <c r="B818" i="7"/>
  <c r="L818" i="7"/>
  <c r="K818" i="7"/>
  <c r="I818" i="7"/>
  <c r="D820" i="7" l="1"/>
  <c r="I819" i="7"/>
  <c r="L819" i="7"/>
  <c r="K819" i="7"/>
  <c r="B819" i="7"/>
  <c r="D821" i="7" l="1"/>
  <c r="K820" i="7"/>
  <c r="L820" i="7"/>
  <c r="B820" i="7"/>
  <c r="I820" i="7"/>
  <c r="K821" i="7" l="1"/>
  <c r="I821" i="7"/>
  <c r="D822" i="7"/>
  <c r="L821" i="7"/>
  <c r="B821" i="7"/>
  <c r="D823" i="7" l="1"/>
  <c r="I822" i="7"/>
  <c r="B822" i="7"/>
  <c r="L822" i="7"/>
  <c r="K822" i="7"/>
  <c r="L823" i="7" l="1"/>
  <c r="B823" i="7"/>
  <c r="I823" i="7"/>
  <c r="D824" i="7"/>
  <c r="K823" i="7"/>
  <c r="D825" i="7" l="1"/>
  <c r="L824" i="7"/>
  <c r="B824" i="7"/>
  <c r="K824" i="7"/>
  <c r="I824" i="7"/>
  <c r="K825" i="7" l="1"/>
  <c r="L825" i="7"/>
  <c r="B825" i="7"/>
  <c r="I825" i="7"/>
  <c r="D826" i="7"/>
  <c r="K826" i="7" l="1"/>
  <c r="B826" i="7"/>
  <c r="I826" i="7"/>
  <c r="D827" i="7"/>
  <c r="L826" i="7"/>
  <c r="K827" i="7" l="1"/>
  <c r="I827" i="7"/>
  <c r="L827" i="7"/>
  <c r="B827" i="7"/>
  <c r="D828" i="7"/>
  <c r="L828" i="7" l="1"/>
  <c r="K828" i="7"/>
  <c r="I828" i="7"/>
  <c r="B828" i="7"/>
  <c r="D829" i="7"/>
  <c r="K829" i="7" l="1"/>
  <c r="B829" i="7"/>
  <c r="I829" i="7"/>
  <c r="D830" i="7"/>
  <c r="L829" i="7"/>
  <c r="I830" i="7" l="1"/>
  <c r="D831" i="7"/>
  <c r="L830" i="7"/>
  <c r="K830" i="7"/>
  <c r="B830" i="7"/>
  <c r="B831" i="7" l="1"/>
  <c r="I831" i="7"/>
  <c r="D832" i="7"/>
  <c r="L831" i="7"/>
  <c r="K831" i="7"/>
  <c r="I832" i="7" l="1"/>
  <c r="L832" i="7"/>
  <c r="D833" i="7"/>
  <c r="K832" i="7"/>
  <c r="B832" i="7"/>
  <c r="B833" i="7" l="1"/>
  <c r="I833" i="7"/>
  <c r="D834" i="7"/>
  <c r="L833" i="7"/>
  <c r="K833" i="7"/>
  <c r="I834" i="7" l="1"/>
  <c r="K834" i="7"/>
  <c r="D835" i="7"/>
  <c r="B834" i="7"/>
  <c r="L834" i="7"/>
  <c r="K835" i="7" l="1"/>
  <c r="D836" i="7"/>
  <c r="I835" i="7"/>
  <c r="L835" i="7"/>
  <c r="B835" i="7"/>
  <c r="D837" i="7" l="1"/>
  <c r="L836" i="7"/>
  <c r="I836" i="7"/>
  <c r="B836" i="7"/>
  <c r="K836" i="7"/>
  <c r="K837" i="7" l="1"/>
  <c r="I837" i="7"/>
  <c r="D838" i="7"/>
  <c r="B837" i="7"/>
  <c r="L837" i="7"/>
  <c r="K838" i="7" l="1"/>
  <c r="I838" i="7"/>
  <c r="D839" i="7"/>
  <c r="B838" i="7"/>
  <c r="L838" i="7"/>
  <c r="L839" i="7" l="1"/>
  <c r="I839" i="7"/>
  <c r="D840" i="7"/>
  <c r="K839" i="7"/>
  <c r="B839" i="7"/>
  <c r="B840" i="7" l="1"/>
  <c r="L840" i="7"/>
  <c r="I840" i="7"/>
  <c r="D841" i="7"/>
  <c r="K840" i="7"/>
  <c r="L841" i="7" l="1"/>
  <c r="B841" i="7"/>
  <c r="D842" i="7"/>
  <c r="I841" i="7"/>
  <c r="K841" i="7"/>
  <c r="K842" i="7" l="1"/>
  <c r="I842" i="7"/>
  <c r="D843" i="7"/>
  <c r="B842" i="7"/>
  <c r="L842" i="7"/>
  <c r="I843" i="7" l="1"/>
  <c r="L843" i="7"/>
  <c r="D844" i="7"/>
  <c r="B843" i="7"/>
  <c r="K843" i="7"/>
  <c r="B844" i="7" l="1"/>
  <c r="I844" i="7"/>
  <c r="L844" i="7"/>
  <c r="K844" i="7"/>
  <c r="D845" i="7"/>
  <c r="K845" i="7" l="1"/>
  <c r="D846" i="7"/>
  <c r="I845" i="7"/>
  <c r="L845" i="7"/>
  <c r="B845" i="7"/>
  <c r="I846" i="7" l="1"/>
  <c r="D847" i="7"/>
  <c r="L846" i="7"/>
  <c r="K846" i="7"/>
  <c r="B846" i="7"/>
  <c r="K847" i="7" l="1"/>
  <c r="I847" i="7"/>
  <c r="B847" i="7"/>
  <c r="D848" i="7"/>
  <c r="L847" i="7"/>
  <c r="B848" i="7" l="1"/>
  <c r="L848" i="7"/>
  <c r="K848" i="7"/>
  <c r="D849" i="7"/>
  <c r="I848" i="7"/>
  <c r="K849" i="7" l="1"/>
  <c r="I849" i="7"/>
  <c r="B849" i="7"/>
  <c r="D850" i="7"/>
  <c r="L849" i="7"/>
  <c r="K850" i="7" l="1"/>
  <c r="I850" i="7"/>
  <c r="B850" i="7"/>
  <c r="D851" i="7"/>
  <c r="L850" i="7"/>
  <c r="D852" i="7" l="1"/>
  <c r="L851" i="7"/>
  <c r="I851" i="7"/>
  <c r="K851" i="7"/>
  <c r="B851" i="7"/>
  <c r="B852" i="7" l="1"/>
  <c r="L852" i="7"/>
  <c r="K852" i="7"/>
  <c r="D853" i="7"/>
  <c r="I852" i="7"/>
  <c r="D854" i="7" l="1"/>
  <c r="L853" i="7"/>
  <c r="I853" i="7"/>
  <c r="K853" i="7"/>
  <c r="B853" i="7"/>
  <c r="B854" i="7" l="1"/>
  <c r="K854" i="7" s="1"/>
  <c r="L854" i="7"/>
  <c r="D855" i="7"/>
  <c r="I854" i="7"/>
  <c r="B855" i="7" l="1"/>
  <c r="D856" i="7"/>
  <c r="I855" i="7"/>
  <c r="L855" i="7"/>
  <c r="K855" i="7"/>
  <c r="I856" i="7" l="1"/>
  <c r="B856" i="7"/>
  <c r="K856" i="7"/>
  <c r="L856" i="7"/>
  <c r="D857" i="7"/>
  <c r="B857" i="7" l="1"/>
  <c r="D858" i="7"/>
  <c r="I857" i="7"/>
  <c r="K857" i="7"/>
  <c r="L857" i="7"/>
  <c r="K858" i="7" l="1"/>
  <c r="I858" i="7"/>
  <c r="D859" i="7"/>
  <c r="L858" i="7"/>
  <c r="B858" i="7"/>
  <c r="B859" i="7" l="1"/>
  <c r="L859" i="7"/>
  <c r="K859" i="7"/>
  <c r="I859" i="7"/>
  <c r="D860" i="7"/>
  <c r="D861" i="7" l="1"/>
  <c r="I860" i="7"/>
  <c r="L860" i="7"/>
  <c r="K860" i="7"/>
  <c r="B860" i="7"/>
  <c r="B861" i="7" l="1"/>
  <c r="I861" i="7"/>
  <c r="D862" i="7"/>
  <c r="L861" i="7"/>
  <c r="K861" i="7"/>
  <c r="K862" i="7" l="1"/>
  <c r="I862" i="7"/>
  <c r="D863" i="7"/>
  <c r="L862" i="7"/>
  <c r="B862" i="7"/>
  <c r="K863" i="7" l="1"/>
  <c r="B863" i="7"/>
  <c r="I863" i="7"/>
  <c r="D864" i="7"/>
  <c r="L863" i="7"/>
  <c r="I864" i="7" l="1"/>
  <c r="L864" i="7"/>
  <c r="D865" i="7"/>
  <c r="K864" i="7"/>
  <c r="B864" i="7"/>
  <c r="K865" i="7" l="1"/>
  <c r="B865" i="7"/>
  <c r="I865" i="7"/>
  <c r="L865" i="7"/>
  <c r="D866" i="7"/>
  <c r="I866" i="7" l="1"/>
  <c r="K866" i="7"/>
  <c r="D867" i="7"/>
  <c r="B866" i="7"/>
  <c r="L866" i="7"/>
  <c r="K867" i="7" l="1"/>
  <c r="B867" i="7"/>
  <c r="I867" i="7"/>
  <c r="D868" i="7"/>
  <c r="L867" i="7"/>
  <c r="B868" i="7" l="1"/>
  <c r="D869" i="7"/>
  <c r="L868" i="7"/>
  <c r="K868" i="7"/>
  <c r="I868" i="7"/>
  <c r="B869" i="7" l="1"/>
  <c r="K869" i="7"/>
  <c r="I869" i="7"/>
  <c r="D870" i="7"/>
  <c r="L869" i="7"/>
  <c r="I870" i="7" l="1"/>
  <c r="D871" i="7"/>
  <c r="L870" i="7"/>
  <c r="K870" i="7"/>
  <c r="B870" i="7"/>
  <c r="K871" i="7" l="1"/>
  <c r="I871" i="7"/>
  <c r="D872" i="7"/>
  <c r="B871" i="7"/>
  <c r="L871" i="7"/>
  <c r="I872" i="7" l="1"/>
  <c r="B872" i="7"/>
  <c r="L872" i="7"/>
  <c r="D873" i="7"/>
  <c r="K872" i="7"/>
  <c r="D874" i="7" l="1"/>
  <c r="L873" i="7"/>
  <c r="K873" i="7"/>
  <c r="I873" i="7"/>
  <c r="B873" i="7"/>
  <c r="I874" i="7" l="1"/>
  <c r="K874" i="7"/>
  <c r="D875" i="7"/>
  <c r="B874" i="7"/>
  <c r="L874" i="7"/>
  <c r="L875" i="7" l="1"/>
  <c r="K875" i="7"/>
  <c r="I875" i="7"/>
  <c r="D876" i="7"/>
  <c r="B875" i="7"/>
  <c r="D877" i="7" l="1"/>
  <c r="I876" i="7"/>
  <c r="L876" i="7"/>
  <c r="B876" i="7"/>
  <c r="K876" i="7"/>
  <c r="L877" i="7" l="1"/>
  <c r="B877" i="7"/>
  <c r="I877" i="7"/>
  <c r="D878" i="7"/>
  <c r="K877" i="7"/>
  <c r="D879" i="7" l="1"/>
  <c r="B878" i="7"/>
  <c r="L878" i="7"/>
  <c r="K878" i="7"/>
  <c r="I878" i="7"/>
  <c r="L879" i="7" l="1"/>
  <c r="K879" i="7"/>
  <c r="I879" i="7"/>
  <c r="D880" i="7"/>
  <c r="B879" i="7"/>
  <c r="I880" i="7" l="1"/>
  <c r="B880" i="7"/>
  <c r="L880" i="7"/>
  <c r="K880" i="7"/>
  <c r="D881" i="7"/>
  <c r="D882" i="7" l="1"/>
  <c r="L881" i="7"/>
  <c r="K881" i="7"/>
  <c r="I881" i="7"/>
  <c r="B881" i="7"/>
  <c r="I882" i="7" l="1"/>
  <c r="K882" i="7"/>
  <c r="B882" i="7"/>
  <c r="D883" i="7"/>
  <c r="L882" i="7"/>
  <c r="L883" i="7" l="1"/>
  <c r="K883" i="7"/>
  <c r="I883" i="7"/>
  <c r="D884" i="7"/>
  <c r="B883" i="7"/>
  <c r="D885" i="7" l="1"/>
  <c r="I884" i="7"/>
  <c r="K884" i="7"/>
  <c r="L884" i="7"/>
  <c r="B884" i="7"/>
  <c r="B885" i="7" l="1"/>
  <c r="I885" i="7"/>
  <c r="D886" i="7"/>
  <c r="L885" i="7"/>
  <c r="K885" i="7"/>
  <c r="I886" i="7" l="1"/>
  <c r="D887" i="7"/>
  <c r="L886" i="7"/>
  <c r="B886" i="7"/>
  <c r="K886" i="7" s="1"/>
  <c r="L887" i="7" l="1"/>
  <c r="K887" i="7"/>
  <c r="I887" i="7"/>
  <c r="D888" i="7"/>
  <c r="B887" i="7"/>
  <c r="I888" i="7" l="1"/>
  <c r="B888" i="7"/>
  <c r="L888" i="7"/>
  <c r="K888" i="7"/>
  <c r="D889" i="7"/>
  <c r="L889" i="7" l="1"/>
  <c r="K889" i="7"/>
  <c r="I889" i="7"/>
  <c r="B889" i="7"/>
  <c r="D890" i="7"/>
  <c r="I890" i="7" l="1"/>
  <c r="K890" i="7"/>
  <c r="D891" i="7"/>
  <c r="B890" i="7"/>
  <c r="L890" i="7"/>
  <c r="L891" i="7" l="1"/>
  <c r="K891" i="7"/>
  <c r="I891" i="7"/>
  <c r="D892" i="7"/>
  <c r="B891" i="7"/>
  <c r="I892" i="7" l="1"/>
  <c r="D893" i="7"/>
  <c r="K892" i="7"/>
  <c r="L892" i="7"/>
  <c r="B892" i="7"/>
  <c r="B893" i="7" l="1"/>
  <c r="K893" i="7"/>
  <c r="I893" i="7"/>
  <c r="D894" i="7"/>
  <c r="L893" i="7"/>
  <c r="K894" i="7" l="1"/>
  <c r="D895" i="7"/>
  <c r="B894" i="7"/>
  <c r="L894" i="7"/>
  <c r="I894" i="7"/>
  <c r="K895" i="7" l="1"/>
  <c r="I895" i="7"/>
  <c r="D896" i="7"/>
  <c r="B895" i="7"/>
  <c r="L895" i="7"/>
  <c r="I896" i="7" l="1"/>
  <c r="B896" i="7"/>
  <c r="L896" i="7"/>
  <c r="K896" i="7"/>
  <c r="D897" i="7"/>
  <c r="L897" i="7" l="1"/>
  <c r="K897" i="7"/>
  <c r="I897" i="7"/>
  <c r="B897" i="7"/>
  <c r="D898" i="7"/>
  <c r="K898" i="7" l="1"/>
  <c r="I898" i="7"/>
  <c r="D899" i="7"/>
  <c r="B898" i="7"/>
  <c r="L898" i="7"/>
  <c r="K899" i="7" l="1"/>
  <c r="I899" i="7"/>
  <c r="D900" i="7"/>
  <c r="B899" i="7"/>
  <c r="L899" i="7"/>
  <c r="I900" i="7" l="1"/>
  <c r="L900" i="7"/>
  <c r="B900" i="7"/>
  <c r="D901" i="7"/>
  <c r="K900" i="7"/>
  <c r="B901" i="7" l="1"/>
  <c r="K901" i="7" s="1"/>
  <c r="I901" i="7"/>
  <c r="D902" i="7"/>
  <c r="L901" i="7"/>
  <c r="K902" i="7" l="1"/>
  <c r="I902" i="7"/>
  <c r="D903" i="7"/>
  <c r="L902" i="7"/>
  <c r="B902" i="7"/>
  <c r="K903" i="7" l="1"/>
  <c r="I903" i="7"/>
  <c r="D904" i="7"/>
  <c r="B903" i="7"/>
  <c r="L903" i="7"/>
  <c r="I904" i="7" l="1"/>
  <c r="B904" i="7"/>
  <c r="L904" i="7"/>
  <c r="D905" i="7"/>
  <c r="K904" i="7"/>
  <c r="L905" i="7" l="1"/>
  <c r="I905" i="7"/>
  <c r="B905" i="7"/>
  <c r="D906" i="7"/>
  <c r="K905" i="7"/>
  <c r="I906" i="7" l="1"/>
  <c r="K906" i="7"/>
  <c r="B906" i="7"/>
  <c r="L906" i="7"/>
  <c r="D907" i="7"/>
  <c r="D908" i="7" l="1"/>
  <c r="B907" i="7"/>
  <c r="K907" i="7"/>
  <c r="I907" i="7"/>
  <c r="L907" i="7"/>
  <c r="D909" i="7" l="1"/>
  <c r="I908" i="7"/>
  <c r="L908" i="7"/>
  <c r="K908" i="7"/>
  <c r="B908" i="7"/>
  <c r="L909" i="7" l="1"/>
  <c r="B909" i="7"/>
  <c r="K909" i="7"/>
  <c r="I909" i="7"/>
  <c r="D910" i="7"/>
  <c r="K910" i="7" l="1"/>
  <c r="I910" i="7"/>
  <c r="D911" i="7"/>
  <c r="B910" i="7"/>
  <c r="L910" i="7"/>
  <c r="L911" i="7" l="1"/>
  <c r="K911" i="7"/>
  <c r="I911" i="7"/>
  <c r="D912" i="7"/>
  <c r="B911" i="7"/>
  <c r="I912" i="7" l="1"/>
  <c r="B912" i="7"/>
  <c r="L912" i="7"/>
  <c r="K912" i="7"/>
  <c r="D913" i="7"/>
  <c r="D914" i="7" l="1"/>
  <c r="L913" i="7"/>
  <c r="I913" i="7"/>
  <c r="B913" i="7"/>
  <c r="K913" i="7"/>
  <c r="I914" i="7" l="1"/>
  <c r="D915" i="7"/>
  <c r="B914" i="7"/>
  <c r="L914" i="7"/>
  <c r="K914" i="7"/>
  <c r="K915" i="7" l="1"/>
  <c r="I915" i="7"/>
  <c r="D916" i="7"/>
  <c r="B915" i="7"/>
  <c r="L915" i="7"/>
  <c r="D917" i="7" l="1"/>
  <c r="L916" i="7"/>
  <c r="K916" i="7"/>
  <c r="I916" i="7"/>
  <c r="B916" i="7"/>
  <c r="B917" i="7" l="1"/>
  <c r="D918" i="7"/>
  <c r="L917" i="7"/>
  <c r="I917" i="7"/>
  <c r="K917" i="7"/>
  <c r="I918" i="7" l="1"/>
  <c r="K918" i="7"/>
  <c r="D919" i="7"/>
  <c r="B918" i="7"/>
  <c r="L918" i="7"/>
  <c r="L919" i="7" l="1"/>
  <c r="K919" i="7"/>
  <c r="D920" i="7"/>
  <c r="I919" i="7"/>
  <c r="B919" i="7"/>
  <c r="B920" i="7" l="1"/>
  <c r="D921" i="7"/>
  <c r="K920" i="7"/>
  <c r="L920" i="7"/>
  <c r="I920" i="7"/>
  <c r="B921" i="7" l="1"/>
  <c r="D922" i="7"/>
  <c r="L921" i="7"/>
  <c r="K921" i="7"/>
  <c r="I921" i="7"/>
  <c r="I922" i="7" l="1"/>
  <c r="B922" i="7"/>
  <c r="K922" i="7"/>
  <c r="D923" i="7"/>
  <c r="L922" i="7"/>
  <c r="I923" i="7" l="1"/>
  <c r="D924" i="7"/>
  <c r="B923" i="7"/>
  <c r="K923" i="7"/>
  <c r="L923" i="7"/>
  <c r="D925" i="7" l="1"/>
  <c r="L924" i="7"/>
  <c r="I924" i="7"/>
  <c r="B924" i="7"/>
  <c r="K924" i="7"/>
  <c r="B925" i="7" l="1"/>
  <c r="L925" i="7"/>
  <c r="K925" i="7"/>
  <c r="I925" i="7"/>
  <c r="D926" i="7"/>
  <c r="K926" i="7" l="1"/>
  <c r="D927" i="7"/>
  <c r="B926" i="7"/>
  <c r="I926" i="7"/>
  <c r="L926" i="7"/>
  <c r="L927" i="7" l="1"/>
  <c r="K927" i="7"/>
  <c r="I927" i="7"/>
  <c r="B927" i="7"/>
  <c r="D928" i="7"/>
  <c r="D929" i="7" l="1"/>
  <c r="L928" i="7"/>
  <c r="I928" i="7"/>
  <c r="B928" i="7"/>
  <c r="K928" i="7"/>
  <c r="D930" i="7" l="1"/>
  <c r="B929" i="7"/>
  <c r="L929" i="7"/>
  <c r="K929" i="7"/>
  <c r="I929" i="7"/>
  <c r="I930" i="7" l="1"/>
  <c r="D931" i="7"/>
  <c r="L930" i="7"/>
  <c r="B930" i="7"/>
  <c r="K930" i="7"/>
  <c r="L931" i="7" l="1"/>
  <c r="I931" i="7"/>
  <c r="D932" i="7"/>
  <c r="K931" i="7"/>
  <c r="B931" i="7"/>
  <c r="K932" i="7" l="1"/>
  <c r="L932" i="7"/>
  <c r="D933" i="7"/>
  <c r="B932" i="7"/>
  <c r="I932" i="7"/>
  <c r="B933" i="7" l="1"/>
  <c r="L933" i="7"/>
  <c r="I933" i="7"/>
  <c r="D934" i="7"/>
  <c r="K933" i="7"/>
  <c r="I934" i="7" l="1"/>
  <c r="D935" i="7"/>
  <c r="L934" i="7"/>
  <c r="B934" i="7"/>
  <c r="K934" i="7"/>
  <c r="L935" i="7" l="1"/>
  <c r="K935" i="7"/>
  <c r="D936" i="7"/>
  <c r="I935" i="7"/>
  <c r="B935" i="7"/>
  <c r="B936" i="7" l="1"/>
  <c r="L936" i="7"/>
  <c r="I936" i="7"/>
  <c r="D937" i="7"/>
  <c r="K936" i="7"/>
  <c r="D938" i="7" l="1"/>
  <c r="B937" i="7"/>
  <c r="L937" i="7"/>
  <c r="I937" i="7"/>
  <c r="K937" i="7"/>
  <c r="I938" i="7" l="1"/>
  <c r="K938" i="7"/>
  <c r="D939" i="7"/>
  <c r="L938" i="7"/>
  <c r="B938" i="7"/>
  <c r="D940" i="7" l="1"/>
  <c r="K939" i="7"/>
  <c r="I939" i="7"/>
  <c r="B939" i="7"/>
  <c r="L939" i="7"/>
  <c r="B940" i="7" l="1"/>
  <c r="K940" i="7"/>
  <c r="L940" i="7"/>
  <c r="I940" i="7"/>
  <c r="D941" i="7"/>
  <c r="B941" i="7" l="1"/>
  <c r="I941" i="7"/>
  <c r="D942" i="7"/>
  <c r="L941" i="7"/>
  <c r="K941" i="7"/>
  <c r="K942" i="7" l="1"/>
  <c r="I942" i="7"/>
  <c r="D943" i="7"/>
  <c r="L942" i="7"/>
  <c r="B942" i="7"/>
  <c r="L943" i="7" l="1"/>
  <c r="K943" i="7"/>
  <c r="I943" i="7"/>
  <c r="D944" i="7"/>
  <c r="B943" i="7"/>
  <c r="D945" i="7" l="1"/>
  <c r="B944" i="7"/>
  <c r="L944" i="7"/>
  <c r="I944" i="7"/>
  <c r="K944" i="7"/>
  <c r="B945" i="7" l="1"/>
  <c r="D946" i="7"/>
  <c r="L945" i="7"/>
  <c r="I945" i="7"/>
  <c r="K945" i="7"/>
  <c r="I946" i="7" l="1"/>
  <c r="D947" i="7"/>
  <c r="K946" i="7"/>
  <c r="B946" i="7"/>
  <c r="L946" i="7"/>
  <c r="K947" i="7" l="1"/>
  <c r="B947" i="7"/>
  <c r="I947" i="7"/>
  <c r="D948" i="7"/>
  <c r="L947" i="7"/>
  <c r="K948" i="7" l="1"/>
  <c r="L948" i="7"/>
  <c r="I948" i="7"/>
  <c r="D949" i="7"/>
  <c r="B948" i="7"/>
  <c r="L949" i="7" l="1"/>
  <c r="B949" i="7"/>
  <c r="D950" i="7"/>
  <c r="K949" i="7"/>
  <c r="I949" i="7"/>
  <c r="I950" i="7" l="1"/>
  <c r="K950" i="7"/>
  <c r="D951" i="7"/>
  <c r="B950" i="7"/>
  <c r="L950" i="7"/>
  <c r="L951" i="7" l="1"/>
  <c r="K951" i="7"/>
  <c r="I951" i="7"/>
  <c r="B951" i="7"/>
  <c r="D952" i="7"/>
  <c r="D953" i="7" l="1"/>
  <c r="L952" i="7"/>
  <c r="I952" i="7"/>
  <c r="B952" i="7"/>
  <c r="K952" i="7" s="1"/>
  <c r="D954" i="7" l="1"/>
  <c r="L953" i="7"/>
  <c r="K953" i="7"/>
  <c r="I953" i="7"/>
  <c r="B953" i="7"/>
  <c r="I954" i="7" l="1"/>
  <c r="B954" i="7"/>
  <c r="K954" i="7"/>
  <c r="D955" i="7"/>
  <c r="L954" i="7"/>
  <c r="K955" i="7" l="1"/>
  <c r="D956" i="7"/>
  <c r="B955" i="7"/>
  <c r="L955" i="7"/>
  <c r="I955" i="7"/>
  <c r="D957" i="7" l="1"/>
  <c r="K956" i="7"/>
  <c r="L956" i="7"/>
  <c r="I956" i="7"/>
  <c r="B956" i="7"/>
  <c r="B957" i="7" l="1"/>
  <c r="K957" i="7" s="1"/>
  <c r="D958" i="7"/>
  <c r="L957" i="7"/>
  <c r="I957" i="7"/>
  <c r="D959" i="7" l="1"/>
  <c r="B958" i="7"/>
  <c r="K958" i="7" s="1"/>
  <c r="L958" i="7"/>
  <c r="I958" i="7"/>
  <c r="K959" i="7" l="1"/>
  <c r="I959" i="7"/>
  <c r="D960" i="7"/>
  <c r="B959" i="7"/>
  <c r="L959" i="7"/>
  <c r="K960" i="7" l="1"/>
  <c r="B960" i="7"/>
  <c r="L960" i="7"/>
  <c r="I960" i="7"/>
  <c r="D961" i="7"/>
  <c r="I961" i="7" l="1"/>
  <c r="L961" i="7"/>
  <c r="D962" i="7"/>
  <c r="K961" i="7"/>
  <c r="B961" i="7"/>
  <c r="K962" i="7" l="1"/>
  <c r="B962" i="7"/>
  <c r="I962" i="7"/>
  <c r="L962" i="7"/>
  <c r="D963" i="7"/>
  <c r="D964" i="7" l="1"/>
  <c r="L963" i="7"/>
  <c r="K963" i="7"/>
  <c r="I963" i="7"/>
  <c r="B963" i="7"/>
  <c r="L964" i="7" l="1"/>
  <c r="B964" i="7"/>
  <c r="K964" i="7" s="1"/>
  <c r="I964" i="7"/>
  <c r="D965" i="7"/>
  <c r="I965" i="7" l="1"/>
  <c r="D966" i="7"/>
  <c r="B965" i="7"/>
  <c r="K965" i="7"/>
  <c r="L965" i="7"/>
  <c r="L966" i="7" l="1"/>
  <c r="B966" i="7"/>
  <c r="D967" i="7"/>
  <c r="K966" i="7"/>
  <c r="I966" i="7"/>
  <c r="B967" i="7" l="1"/>
  <c r="L967" i="7"/>
  <c r="K967" i="7"/>
  <c r="I967" i="7"/>
  <c r="D968" i="7"/>
  <c r="L968" i="7" l="1"/>
  <c r="I968" i="7"/>
  <c r="B968" i="7"/>
  <c r="K968" i="7" s="1"/>
  <c r="D969" i="7"/>
  <c r="K969" i="7" l="1"/>
  <c r="I969" i="7"/>
  <c r="B969" i="7"/>
  <c r="D970" i="7"/>
  <c r="L969" i="7"/>
  <c r="K970" i="7" l="1"/>
  <c r="B970" i="7"/>
  <c r="I970" i="7"/>
  <c r="L970" i="7"/>
  <c r="D971" i="7"/>
  <c r="L971" i="7" l="1"/>
  <c r="K971" i="7"/>
  <c r="I971" i="7"/>
  <c r="B971" i="7"/>
  <c r="D972" i="7"/>
  <c r="B972" i="7" l="1"/>
  <c r="K972" i="7" s="1"/>
  <c r="L972" i="7"/>
  <c r="I972" i="7"/>
  <c r="D973" i="7"/>
  <c r="K973" i="7" l="1"/>
  <c r="I973" i="7"/>
  <c r="D974" i="7"/>
  <c r="B973" i="7"/>
  <c r="L973" i="7"/>
  <c r="K974" i="7" l="1"/>
  <c r="L974" i="7"/>
  <c r="I974" i="7"/>
  <c r="B974" i="7"/>
  <c r="D975" i="7"/>
  <c r="B975" i="7" l="1"/>
  <c r="L975" i="7"/>
  <c r="K975" i="7"/>
  <c r="I975" i="7"/>
  <c r="D976" i="7"/>
  <c r="B976" i="7" l="1"/>
  <c r="D977" i="7"/>
  <c r="L976" i="7"/>
  <c r="I976" i="7"/>
  <c r="K976" i="7"/>
  <c r="K977" i="7" l="1"/>
  <c r="I977" i="7"/>
  <c r="D978" i="7"/>
  <c r="B977" i="7"/>
  <c r="L977" i="7"/>
  <c r="B978" i="7" l="1"/>
  <c r="I978" i="7"/>
  <c r="D979" i="7"/>
  <c r="L978" i="7"/>
  <c r="K978" i="7"/>
  <c r="B979" i="7" l="1"/>
  <c r="D980" i="7"/>
  <c r="L979" i="7"/>
  <c r="I979" i="7"/>
  <c r="K979" i="7"/>
  <c r="K980" i="7" l="1"/>
  <c r="L980" i="7"/>
  <c r="D981" i="7"/>
  <c r="B980" i="7"/>
  <c r="I980" i="7"/>
  <c r="D982" i="7" l="1"/>
  <c r="B981" i="7"/>
  <c r="L981" i="7"/>
  <c r="K981" i="7"/>
  <c r="I981" i="7"/>
  <c r="L982" i="7" l="1"/>
  <c r="K982" i="7"/>
  <c r="B982" i="7"/>
  <c r="I982" i="7"/>
  <c r="D983" i="7"/>
  <c r="D984" i="7" l="1"/>
  <c r="B983" i="7"/>
  <c r="K983" i="7"/>
  <c r="L983" i="7"/>
  <c r="I983" i="7"/>
  <c r="L984" i="7" l="1"/>
  <c r="K984" i="7"/>
  <c r="I984" i="7"/>
  <c r="B984" i="7"/>
  <c r="D985" i="7"/>
  <c r="I985" i="7" l="1"/>
  <c r="B985" i="7"/>
  <c r="L985" i="7"/>
  <c r="K985" i="7"/>
  <c r="D986" i="7"/>
  <c r="I986" i="7" l="1"/>
  <c r="K986" i="7"/>
  <c r="D987" i="7"/>
  <c r="L986" i="7"/>
  <c r="B986" i="7"/>
  <c r="B987" i="7" l="1"/>
  <c r="D988" i="7"/>
  <c r="L987" i="7"/>
  <c r="K987" i="7"/>
  <c r="I987" i="7"/>
  <c r="B988" i="7" l="1"/>
  <c r="I988" i="7"/>
  <c r="K988" i="7"/>
  <c r="L988" i="7"/>
  <c r="D989" i="7"/>
  <c r="I989" i="7" l="1"/>
  <c r="D990" i="7"/>
  <c r="B989" i="7"/>
  <c r="L989" i="7"/>
  <c r="K989" i="7"/>
  <c r="K990" i="7" l="1"/>
  <c r="L990" i="7"/>
  <c r="I990" i="7"/>
  <c r="B990" i="7"/>
  <c r="D991" i="7"/>
  <c r="D992" i="7" l="1"/>
  <c r="B991" i="7"/>
  <c r="L991" i="7"/>
  <c r="I991" i="7"/>
  <c r="K991" i="7"/>
  <c r="B992" i="7" l="1"/>
  <c r="D993" i="7"/>
  <c r="L992" i="7"/>
  <c r="I992" i="7"/>
  <c r="K992" i="7"/>
  <c r="I993" i="7" l="1"/>
  <c r="L993" i="7"/>
  <c r="K993" i="7"/>
  <c r="D994" i="7"/>
  <c r="B993" i="7"/>
  <c r="B994" i="7" l="1"/>
  <c r="I994" i="7"/>
  <c r="D995" i="7"/>
  <c r="L994" i="7"/>
  <c r="K994" i="7"/>
  <c r="B995" i="7" l="1"/>
  <c r="D996" i="7"/>
  <c r="L995" i="7"/>
  <c r="K995" i="7"/>
  <c r="I995" i="7"/>
  <c r="B996" i="7" l="1"/>
  <c r="K996" i="7" s="1"/>
  <c r="L996" i="7"/>
  <c r="I996" i="7"/>
  <c r="D997" i="7"/>
  <c r="K997" i="7" l="1"/>
  <c r="I997" i="7"/>
  <c r="D998" i="7"/>
  <c r="L997" i="7"/>
  <c r="B997" i="7"/>
  <c r="L998" i="7" l="1"/>
  <c r="K998" i="7"/>
  <c r="I998" i="7"/>
  <c r="B998" i="7"/>
  <c r="D999" i="7"/>
  <c r="D1000" i="7" l="1"/>
  <c r="B999" i="7"/>
  <c r="K999" i="7"/>
  <c r="I999" i="7"/>
  <c r="L999" i="7"/>
  <c r="D1001" i="7" l="1"/>
  <c r="K1000" i="7"/>
  <c r="L1000" i="7"/>
  <c r="I1000" i="7"/>
  <c r="B1000" i="7"/>
  <c r="I1001" i="7" l="1"/>
  <c r="K1001" i="7"/>
  <c r="B1001" i="7"/>
  <c r="L1001" i="7"/>
  <c r="D1002" i="7"/>
  <c r="K1002" i="7" l="1"/>
  <c r="B1002" i="7"/>
  <c r="D1003" i="7"/>
  <c r="L1002" i="7"/>
  <c r="I1002" i="7"/>
  <c r="B1003" i="7" l="1"/>
  <c r="D1004" i="7"/>
  <c r="L1003" i="7"/>
  <c r="K1003" i="7"/>
  <c r="I1003" i="7"/>
  <c r="K1004" i="7" l="1"/>
  <c r="B1004" i="7"/>
  <c r="L1004" i="7"/>
  <c r="I1004" i="7"/>
  <c r="D1005" i="7"/>
  <c r="K1005" i="7" l="1"/>
  <c r="D1006" i="7"/>
  <c r="B1005" i="7"/>
  <c r="L1005" i="7"/>
  <c r="I1005" i="7"/>
  <c r="I1006" i="7" l="1"/>
  <c r="D1007" i="7"/>
  <c r="B1006" i="7"/>
  <c r="L1006" i="7"/>
  <c r="K1006" i="7"/>
  <c r="D1008" i="7" l="1"/>
  <c r="B1007" i="7"/>
  <c r="L1007" i="7"/>
  <c r="K1007" i="7"/>
  <c r="I1007" i="7"/>
  <c r="B1008" i="7" l="1"/>
  <c r="D1009" i="7"/>
  <c r="L1008" i="7"/>
  <c r="I1008" i="7"/>
  <c r="K1008" i="7"/>
  <c r="I1009" i="7" l="1"/>
  <c r="B1009" i="7"/>
  <c r="K1009" i="7"/>
  <c r="D1010" i="7"/>
  <c r="L1009" i="7"/>
  <c r="K1010" i="7" l="1"/>
  <c r="B1010" i="7"/>
  <c r="I1010" i="7"/>
  <c r="D1011" i="7"/>
  <c r="L1010" i="7"/>
  <c r="B1011" i="7" l="1"/>
  <c r="D1012" i="7"/>
  <c r="L1011" i="7"/>
  <c r="K1011" i="7"/>
  <c r="I1011" i="7"/>
  <c r="K1012" i="7" l="1"/>
  <c r="B1012" i="7"/>
  <c r="L1012" i="7"/>
  <c r="I1012" i="7"/>
  <c r="D1013" i="7"/>
  <c r="K1013" i="7" l="1"/>
  <c r="I1013" i="7"/>
  <c r="B1013" i="7"/>
  <c r="L1013" i="7"/>
  <c r="D1014" i="7"/>
  <c r="K1014" i="7" l="1"/>
  <c r="I1014" i="7"/>
  <c r="D1015" i="7"/>
  <c r="L1014" i="7"/>
  <c r="B1014" i="7"/>
  <c r="B1015" i="7" l="1"/>
  <c r="K1015" i="7"/>
  <c r="L1015" i="7"/>
  <c r="D1016" i="7"/>
  <c r="I1015" i="7"/>
  <c r="D1017" i="7" l="1"/>
  <c r="L1016" i="7"/>
  <c r="K1016" i="7"/>
  <c r="I1016" i="7"/>
  <c r="B1016" i="7"/>
  <c r="L1017" i="7" l="1"/>
  <c r="I1017" i="7"/>
  <c r="K1017" i="7"/>
  <c r="B1017" i="7"/>
  <c r="D1018" i="7"/>
  <c r="B1018" i="7" l="1"/>
  <c r="D1019" i="7"/>
  <c r="I1018" i="7"/>
  <c r="L1018" i="7"/>
  <c r="K1018" i="7"/>
  <c r="B1019" i="7" l="1"/>
  <c r="K1019" i="7"/>
  <c r="I1019" i="7"/>
  <c r="D1020" i="7"/>
  <c r="L1019" i="7"/>
  <c r="L1020" i="7" l="1"/>
  <c r="K1020" i="7"/>
  <c r="D1021" i="7"/>
  <c r="I1020" i="7"/>
  <c r="B1020" i="7"/>
  <c r="L1021" i="7" l="1"/>
  <c r="I1021" i="7"/>
  <c r="B1021" i="7"/>
  <c r="D1022" i="7"/>
  <c r="K1021" i="7"/>
  <c r="I1022" i="7" l="1"/>
  <c r="L1022" i="7"/>
  <c r="K1022" i="7"/>
  <c r="D1023" i="7"/>
  <c r="B1022" i="7"/>
  <c r="B1023" i="7" l="1"/>
  <c r="K1023" i="7"/>
  <c r="L1023" i="7"/>
  <c r="I1023" i="7"/>
  <c r="D1024" i="7"/>
  <c r="B1024" i="7" l="1"/>
  <c r="L1024" i="7"/>
  <c r="I1024" i="7"/>
  <c r="K1024" i="7"/>
  <c r="D1025" i="7"/>
  <c r="D1026" i="7" l="1"/>
  <c r="K1025" i="7"/>
  <c r="I1025" i="7"/>
  <c r="B1025" i="7"/>
  <c r="L1025" i="7"/>
  <c r="B1026" i="7" l="1"/>
  <c r="I1026" i="7"/>
  <c r="D1027" i="7"/>
  <c r="L1026" i="7"/>
  <c r="K1026" i="7"/>
  <c r="B1027" i="7" l="1"/>
  <c r="K1027" i="7" s="1"/>
  <c r="I1027" i="7"/>
  <c r="D1028" i="7"/>
  <c r="L1027" i="7"/>
  <c r="I1028" i="7" l="1"/>
  <c r="B1028" i="7"/>
  <c r="L1028" i="7"/>
  <c r="D1029" i="7"/>
  <c r="K1028" i="7"/>
  <c r="B1029" i="7" l="1"/>
  <c r="D1030" i="7"/>
  <c r="K1029" i="7"/>
  <c r="L1029" i="7"/>
  <c r="I1029" i="7"/>
  <c r="K1030" i="7" l="1"/>
  <c r="B1030" i="7"/>
  <c r="D1031" i="7"/>
  <c r="I1030" i="7"/>
  <c r="L1030" i="7"/>
  <c r="K1031" i="7" l="1"/>
  <c r="I1031" i="7"/>
  <c r="L1031" i="7"/>
  <c r="D1032" i="7"/>
  <c r="B1031" i="7"/>
  <c r="K1032" i="7" l="1"/>
  <c r="I1032" i="7"/>
  <c r="L1032" i="7"/>
  <c r="D1033" i="7"/>
  <c r="B1032" i="7"/>
  <c r="D1034" i="7" l="1"/>
  <c r="K1033" i="7"/>
  <c r="L1033" i="7"/>
  <c r="I1033" i="7"/>
  <c r="B1033" i="7"/>
  <c r="L1034" i="7" l="1"/>
  <c r="K1034" i="7"/>
  <c r="I1034" i="7"/>
  <c r="D1035" i="7"/>
  <c r="B1034" i="7"/>
  <c r="B1035" i="7" l="1"/>
  <c r="K1035" i="7"/>
  <c r="L1035" i="7"/>
  <c r="I1035" i="7"/>
  <c r="D1036" i="7"/>
  <c r="L1036" i="7" l="1"/>
  <c r="D1037" i="7"/>
  <c r="K1036" i="7"/>
  <c r="B1036" i="7"/>
  <c r="I1036" i="7"/>
  <c r="I1037" i="7" l="1"/>
  <c r="B1037" i="7"/>
  <c r="K1037" i="7"/>
  <c r="L1037" i="7"/>
  <c r="D1038" i="7"/>
  <c r="I1038" i="7" l="1"/>
  <c r="B1038" i="7"/>
  <c r="D1039" i="7"/>
  <c r="K1038" i="7"/>
  <c r="L1038" i="7"/>
  <c r="K1039" i="7" l="1"/>
  <c r="D1040" i="7"/>
  <c r="L1039" i="7"/>
  <c r="I1039" i="7"/>
  <c r="B1039" i="7"/>
  <c r="D1041" i="7" l="1"/>
  <c r="K1040" i="7"/>
  <c r="L1040" i="7"/>
  <c r="I1040" i="7"/>
  <c r="B1040" i="7"/>
  <c r="B1041" i="7" l="1"/>
  <c r="K1041" i="7"/>
  <c r="D1042" i="7"/>
  <c r="I1041" i="7"/>
  <c r="L1041" i="7"/>
  <c r="L1042" i="7" l="1"/>
  <c r="I1042" i="7"/>
  <c r="B1042" i="7"/>
  <c r="K1042" i="7" s="1"/>
  <c r="D1043" i="7"/>
  <c r="K1043" i="7" l="1"/>
  <c r="L1043" i="7"/>
  <c r="I1043" i="7"/>
  <c r="D1044" i="7"/>
  <c r="B1043" i="7"/>
  <c r="D1045" i="7" l="1"/>
  <c r="B1044" i="7"/>
  <c r="L1044" i="7"/>
  <c r="K1044" i="7"/>
  <c r="I1044" i="7"/>
  <c r="I1045" i="7" l="1"/>
  <c r="B1045" i="7"/>
  <c r="K1045" i="7"/>
  <c r="D1046" i="7"/>
  <c r="L1045" i="7"/>
  <c r="B1046" i="7" l="1"/>
  <c r="D1047" i="7"/>
  <c r="I1046" i="7"/>
  <c r="L1046" i="7"/>
  <c r="K1046" i="7"/>
  <c r="B1047" i="7" l="1"/>
  <c r="K1047" i="7"/>
  <c r="L1047" i="7"/>
  <c r="I1047" i="7"/>
  <c r="D1048" i="7"/>
  <c r="B1048" i="7" l="1"/>
  <c r="D1049" i="7"/>
  <c r="L1048" i="7"/>
  <c r="K1048" i="7"/>
  <c r="I1048" i="7"/>
  <c r="I1049" i="7" l="1"/>
  <c r="K1049" i="7"/>
  <c r="B1049" i="7"/>
  <c r="D1050" i="7"/>
  <c r="L1049" i="7"/>
  <c r="D1051" i="7" l="1"/>
  <c r="I1050" i="7"/>
  <c r="L1050" i="7"/>
  <c r="K1050" i="7"/>
  <c r="B1050" i="7"/>
  <c r="K1051" i="7" l="1"/>
  <c r="I1051" i="7"/>
  <c r="L1051" i="7"/>
  <c r="D1052" i="7"/>
  <c r="B1051" i="7"/>
  <c r="B1052" i="7" l="1"/>
  <c r="L1052" i="7"/>
  <c r="D1053" i="7"/>
  <c r="K1052" i="7"/>
  <c r="I1052" i="7"/>
  <c r="L1053" i="7" l="1"/>
  <c r="I1053" i="7"/>
  <c r="K1053" i="7"/>
  <c r="D1054" i="7"/>
  <c r="B1053" i="7"/>
  <c r="I1054" i="7" l="1"/>
  <c r="L1054" i="7"/>
  <c r="B1054" i="7"/>
  <c r="D1055" i="7"/>
  <c r="K1054" i="7"/>
  <c r="K1055" i="7" l="1"/>
  <c r="L1055" i="7"/>
  <c r="D1056" i="7"/>
  <c r="B1055" i="7"/>
  <c r="I1055" i="7"/>
  <c r="B1056" i="7" l="1"/>
  <c r="D1057" i="7"/>
  <c r="K1056" i="7"/>
  <c r="I1056" i="7"/>
  <c r="L1056" i="7"/>
  <c r="D1058" i="7" l="1"/>
  <c r="L1057" i="7"/>
  <c r="K1057" i="7"/>
  <c r="B1057" i="7"/>
  <c r="I1057" i="7"/>
  <c r="B1058" i="7" l="1"/>
  <c r="I1058" i="7"/>
  <c r="D1059" i="7"/>
  <c r="K1058" i="7"/>
  <c r="L1058" i="7"/>
  <c r="B1059" i="7" l="1"/>
  <c r="K1059" i="7"/>
  <c r="L1059" i="7"/>
  <c r="I1059" i="7"/>
  <c r="D1060" i="7"/>
  <c r="B1060" i="7" l="1"/>
  <c r="I1060" i="7"/>
  <c r="D1061" i="7"/>
  <c r="L1060" i="7"/>
  <c r="K1060" i="7"/>
  <c r="D1062" i="7" l="1"/>
  <c r="B1061" i="7"/>
  <c r="K1061" i="7"/>
  <c r="I1061" i="7"/>
  <c r="L1061" i="7"/>
  <c r="K1062" i="7" l="1"/>
  <c r="L1062" i="7"/>
  <c r="B1062" i="7"/>
  <c r="I1062" i="7"/>
  <c r="D1063" i="7"/>
  <c r="K1063" i="7" l="1"/>
  <c r="L1063" i="7"/>
  <c r="I1063" i="7"/>
  <c r="D1064" i="7"/>
  <c r="B1063" i="7"/>
  <c r="B1064" i="7" l="1"/>
  <c r="D1065" i="7"/>
  <c r="K1064" i="7"/>
  <c r="L1064" i="7"/>
  <c r="I1064" i="7"/>
  <c r="L1065" i="7" l="1"/>
  <c r="B1065" i="7"/>
  <c r="K1065" i="7"/>
  <c r="I1065" i="7"/>
  <c r="D1066" i="7"/>
  <c r="K1066" i="7" l="1"/>
  <c r="B1066" i="7"/>
  <c r="D1067" i="7"/>
  <c r="I1066" i="7"/>
  <c r="L1066" i="7"/>
  <c r="B1067" i="7" l="1"/>
  <c r="K1067" i="7"/>
  <c r="D1068" i="7"/>
  <c r="I1067" i="7"/>
  <c r="L1067" i="7"/>
  <c r="D1069" i="7" l="1"/>
  <c r="K1068" i="7"/>
  <c r="L1068" i="7"/>
  <c r="I1068" i="7"/>
  <c r="B1068" i="7"/>
  <c r="K1069" i="7" l="1"/>
  <c r="L1069" i="7"/>
  <c r="I1069" i="7"/>
  <c r="D1070" i="7"/>
  <c r="B1069" i="7"/>
  <c r="I1070" i="7" l="1"/>
  <c r="K1070" i="7"/>
  <c r="L1070" i="7"/>
  <c r="D1071" i="7"/>
  <c r="B1070" i="7"/>
  <c r="K1071" i="7" l="1"/>
  <c r="L1071" i="7"/>
  <c r="I1071" i="7"/>
  <c r="D1072" i="7"/>
  <c r="B1071" i="7"/>
  <c r="B1072" i="7" l="1"/>
  <c r="D1073" i="7"/>
  <c r="K1072" i="7"/>
  <c r="L1072" i="7"/>
  <c r="I1072" i="7"/>
  <c r="B1073" i="7" l="1"/>
  <c r="I1073" i="7"/>
  <c r="D1074" i="7"/>
  <c r="L1073" i="7"/>
  <c r="K1073" i="7"/>
  <c r="B1074" i="7" l="1"/>
  <c r="K1074" i="7" s="1"/>
  <c r="L1074" i="7"/>
  <c r="D1075" i="7"/>
  <c r="I1074" i="7"/>
  <c r="B1075" i="7" l="1"/>
  <c r="K1075" i="7"/>
  <c r="L1075" i="7"/>
  <c r="I1075" i="7"/>
  <c r="D1076" i="7"/>
  <c r="I1076" i="7" l="1"/>
  <c r="B1076" i="7"/>
  <c r="L1076" i="7"/>
  <c r="D1077" i="7"/>
  <c r="K1076" i="7"/>
  <c r="B1077" i="7" l="1"/>
  <c r="I1077" i="7"/>
  <c r="L1077" i="7"/>
  <c r="D1078" i="7"/>
  <c r="K1077" i="7"/>
  <c r="D1079" i="7" l="1"/>
  <c r="K1078" i="7"/>
  <c r="L1078" i="7"/>
  <c r="I1078" i="7"/>
  <c r="B1078" i="7"/>
  <c r="B1079" i="7" l="1"/>
  <c r="K1079" i="7"/>
  <c r="I1079" i="7"/>
  <c r="L1079" i="7"/>
  <c r="D1080" i="7"/>
  <c r="B1080" i="7" l="1"/>
  <c r="D1081" i="7"/>
  <c r="K1080" i="7"/>
  <c r="L1080" i="7"/>
  <c r="I1080" i="7"/>
  <c r="L1081" i="7" l="1"/>
  <c r="B1081" i="7"/>
  <c r="I1081" i="7"/>
  <c r="K1081" i="7"/>
  <c r="D1082" i="7"/>
  <c r="B1082" i="7" l="1"/>
  <c r="K1082" i="7"/>
  <c r="I1082" i="7"/>
  <c r="D1083" i="7"/>
  <c r="L1082" i="7"/>
  <c r="K1083" i="7" l="1"/>
  <c r="L1083" i="7"/>
  <c r="D1084" i="7"/>
  <c r="B1083" i="7"/>
  <c r="I1083" i="7"/>
  <c r="L1084" i="7" l="1"/>
  <c r="B1084" i="7"/>
  <c r="D1085" i="7"/>
  <c r="K1084" i="7"/>
  <c r="I1084" i="7"/>
  <c r="B1085" i="7" l="1"/>
  <c r="K1085" i="7"/>
  <c r="I1085" i="7"/>
  <c r="L1085" i="7"/>
  <c r="D1086" i="7"/>
  <c r="K1086" i="7" l="1"/>
  <c r="L1086" i="7"/>
  <c r="I1086" i="7"/>
  <c r="B1086" i="7"/>
  <c r="D1087" i="7"/>
  <c r="K1087" i="7" l="1"/>
  <c r="L1087" i="7"/>
  <c r="I1087" i="7"/>
  <c r="D1088" i="7"/>
  <c r="B1087" i="7"/>
  <c r="B1088" i="7" l="1"/>
  <c r="L1088" i="7"/>
  <c r="K1088" i="7"/>
  <c r="D1089" i="7"/>
  <c r="I1088" i="7"/>
  <c r="L1089" i="7" l="1"/>
  <c r="B1089" i="7"/>
  <c r="I1089" i="7"/>
  <c r="K1089" i="7"/>
  <c r="D1090" i="7"/>
  <c r="K1090" i="7" l="1"/>
  <c r="D1091" i="7"/>
  <c r="L1090" i="7"/>
  <c r="I1090" i="7"/>
  <c r="B1090" i="7"/>
  <c r="K1091" i="7" l="1"/>
  <c r="B1091" i="7"/>
  <c r="I1091" i="7"/>
  <c r="L1091" i="7"/>
  <c r="D1092" i="7"/>
  <c r="I1092" i="7" l="1"/>
  <c r="B1092" i="7"/>
  <c r="L1092" i="7"/>
  <c r="K1092" i="7"/>
  <c r="D1093" i="7"/>
  <c r="B1093" i="7" l="1"/>
  <c r="K1093" i="7" s="1"/>
  <c r="D1094" i="7"/>
  <c r="I1093" i="7"/>
  <c r="L1093" i="7"/>
  <c r="B1094" i="7" l="1"/>
  <c r="K1094" i="7"/>
  <c r="D1095" i="7"/>
  <c r="L1094" i="7"/>
  <c r="I1094" i="7"/>
  <c r="B1095" i="7" l="1"/>
  <c r="K1095" i="7"/>
  <c r="L1095" i="7"/>
  <c r="I1095" i="7"/>
  <c r="D1096" i="7"/>
  <c r="I1096" i="7" l="1"/>
  <c r="B1096" i="7"/>
  <c r="K1096" i="7"/>
  <c r="L1096" i="7"/>
  <c r="D1097" i="7"/>
  <c r="L1097" i="7" l="1"/>
  <c r="B1097" i="7"/>
  <c r="I1097" i="7"/>
  <c r="K1097" i="7"/>
  <c r="D1098" i="7"/>
  <c r="K1098" i="7" l="1"/>
  <c r="I1098" i="7"/>
  <c r="L1098" i="7"/>
  <c r="B1098" i="7"/>
  <c r="D1099" i="7"/>
  <c r="B1099" i="7" l="1"/>
  <c r="K1099" i="7"/>
  <c r="L1099" i="7"/>
  <c r="D1100" i="7"/>
  <c r="I1099" i="7"/>
  <c r="I1100" i="7" l="1"/>
  <c r="L1100" i="7"/>
  <c r="K1100" i="7"/>
  <c r="D1101" i="7"/>
  <c r="B1100" i="7"/>
  <c r="D1102" i="7" l="1"/>
  <c r="I1101" i="7"/>
  <c r="L1101" i="7"/>
  <c r="B1101" i="7"/>
  <c r="K1101" i="7"/>
  <c r="K1102" i="7" l="1"/>
  <c r="L1102" i="7"/>
  <c r="I1102" i="7"/>
  <c r="D1103" i="7"/>
  <c r="B1102" i="7"/>
  <c r="B1103" i="7" l="1"/>
  <c r="K1103" i="7"/>
  <c r="L1103" i="7"/>
  <c r="I1103" i="7"/>
  <c r="D1104" i="7"/>
  <c r="L1104" i="7" l="1"/>
  <c r="D1105" i="7"/>
  <c r="I1104" i="7"/>
  <c r="B1104" i="7"/>
  <c r="K1104" i="7"/>
  <c r="D1106" i="7" l="1"/>
  <c r="L1105" i="7"/>
  <c r="I1105" i="7"/>
  <c r="K1105" i="7"/>
  <c r="B1105" i="7"/>
  <c r="L1106" i="7" l="1"/>
  <c r="D1107" i="7"/>
  <c r="B1106" i="7"/>
  <c r="K1106" i="7"/>
  <c r="I1106" i="7"/>
  <c r="B1107" i="7" l="1"/>
  <c r="K1107" i="7" s="1"/>
  <c r="L1107" i="7"/>
  <c r="I1107" i="7"/>
  <c r="D1108" i="7"/>
  <c r="L1108" i="7" l="1"/>
  <c r="K1108" i="7"/>
  <c r="D1109" i="7"/>
  <c r="I1108" i="7"/>
  <c r="B1108" i="7"/>
  <c r="D1110" i="7" l="1"/>
  <c r="I1109" i="7"/>
  <c r="B1109" i="7"/>
  <c r="L1109" i="7"/>
  <c r="K1109" i="7"/>
  <c r="K1110" i="7" l="1"/>
  <c r="L1110" i="7"/>
  <c r="I1110" i="7"/>
  <c r="D1111" i="7"/>
  <c r="B1110" i="7"/>
  <c r="K1111" i="7" l="1"/>
  <c r="L1111" i="7"/>
  <c r="I1111" i="7"/>
  <c r="B1111" i="7"/>
  <c r="D1112" i="7"/>
  <c r="L1112" i="7" l="1"/>
  <c r="K1112" i="7"/>
  <c r="I1112" i="7"/>
  <c r="B1112" i="7"/>
  <c r="D1113" i="7"/>
  <c r="L1113" i="7" l="1"/>
  <c r="B1113" i="7"/>
  <c r="I1113" i="7"/>
  <c r="K1113" i="7"/>
  <c r="D1114" i="7"/>
  <c r="I1114" i="7" l="1"/>
  <c r="D1115" i="7"/>
  <c r="B1114" i="7"/>
  <c r="K1114" i="7"/>
  <c r="L1114" i="7"/>
  <c r="K1115" i="7" l="1"/>
  <c r="L1115" i="7"/>
  <c r="D1116" i="7"/>
  <c r="B1115" i="7"/>
  <c r="I1115" i="7"/>
  <c r="D1117" i="7" l="1"/>
  <c r="L1116" i="7"/>
  <c r="K1116" i="7"/>
  <c r="B1116" i="7"/>
  <c r="I1116" i="7"/>
  <c r="D1118" i="7" l="1"/>
  <c r="B1117" i="7"/>
  <c r="I1117" i="7"/>
  <c r="K1117" i="7"/>
  <c r="L1117" i="7"/>
  <c r="K1118" i="7" l="1"/>
  <c r="L1118" i="7"/>
  <c r="D1119" i="7"/>
  <c r="B1118" i="7"/>
  <c r="I1118" i="7"/>
  <c r="B1119" i="7" l="1"/>
  <c r="K1119" i="7" s="1"/>
  <c r="L1119" i="7"/>
  <c r="I1119" i="7"/>
  <c r="D1120" i="7"/>
  <c r="I1120" i="7" l="1"/>
  <c r="B1120" i="7"/>
  <c r="K1120" i="7"/>
  <c r="L1120" i="7"/>
  <c r="D1121" i="7"/>
  <c r="L1121" i="7" l="1"/>
  <c r="B1121" i="7"/>
  <c r="I1121" i="7"/>
  <c r="D1122" i="7"/>
  <c r="K1121" i="7"/>
  <c r="B1122" i="7" l="1"/>
  <c r="K1122" i="7"/>
  <c r="L1122" i="7"/>
  <c r="I1122" i="7"/>
  <c r="D1123" i="7"/>
  <c r="B1123" i="7" l="1"/>
  <c r="K1123" i="7"/>
  <c r="L1123" i="7"/>
  <c r="I1123" i="7"/>
  <c r="D1124" i="7"/>
  <c r="I1124" i="7" l="1"/>
  <c r="B1124" i="7"/>
  <c r="L1124" i="7"/>
  <c r="D1125" i="7"/>
  <c r="K1124" i="7"/>
  <c r="L1125" i="7" l="1"/>
  <c r="B1125" i="7"/>
  <c r="I1125" i="7"/>
  <c r="D1126" i="7"/>
  <c r="K1125" i="7"/>
  <c r="K1126" i="7" l="1"/>
  <c r="L1126" i="7"/>
  <c r="I1126" i="7"/>
  <c r="B1126" i="7"/>
  <c r="D1127" i="7"/>
  <c r="L1127" i="7" l="1"/>
  <c r="D1128" i="7"/>
  <c r="B1127" i="7"/>
  <c r="K1127" i="7"/>
  <c r="I1127" i="7"/>
  <c r="I1128" i="7" l="1"/>
  <c r="B1128" i="7"/>
  <c r="L1128" i="7"/>
  <c r="K1128" i="7"/>
  <c r="D1129" i="7"/>
  <c r="L1129" i="7" l="1"/>
  <c r="B1129" i="7"/>
  <c r="I1129" i="7"/>
  <c r="K1129" i="7"/>
  <c r="D1130" i="7"/>
  <c r="L1130" i="7" l="1"/>
  <c r="I1130" i="7"/>
  <c r="K1130" i="7"/>
  <c r="B1130" i="7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<sst xmlns="http://schemas.openxmlformats.org/spreadsheetml/2006/main" count="10358" uniqueCount="101">
  <si>
    <t>tiempo</t>
  </si>
  <si>
    <t>ordinario</t>
  </si>
  <si>
    <t>semana</t>
  </si>
  <si>
    <t>lunes</t>
  </si>
  <si>
    <t>martes</t>
  </si>
  <si>
    <t>miercoles</t>
  </si>
  <si>
    <t>jueves</t>
  </si>
  <si>
    <t>viernes</t>
  </si>
  <si>
    <t>sabado</t>
  </si>
  <si>
    <t>domingo</t>
  </si>
  <si>
    <t>adviento</t>
  </si>
  <si>
    <t>navidad</t>
  </si>
  <si>
    <t>cuaresma</t>
  </si>
  <si>
    <t>pascua</t>
  </si>
  <si>
    <t>{ nombre: "Tiempo Ordinario Semana 7 Domingo",		archivo: "/salterios/src/evan/audios/tos07domingo.mpeg",	fecha: `${year}-02-16` },</t>
  </si>
  <si>
    <t>"</t>
  </si>
  <si>
    <t>archivo: "/salterios/src/evan/audios/</t>
  </si>
  <si>
    <t xml:space="preserve"> archivo: "/salterios/src/evan/audios/</t>
  </si>
  <si>
    <t>{ nombre: "Tiempo Ordinario, Semana 7 Domingo", archivo: "/salterios/src/evan/audios/tos07domingo.mp3", fecha: `${year}-02-16` },</t>
  </si>
  <si>
    <t>miercoles Ceniza</t>
  </si>
  <si>
    <t>de</t>
  </si>
  <si>
    <t>semana del Domingo de Ramos en la Pasión del Señor</t>
  </si>
  <si>
    <t>triduo pascual</t>
  </si>
  <si>
    <t>pascual</t>
  </si>
  <si>
    <t>pascual Pentecostes</t>
  </si>
  <si>
    <t>epifania</t>
  </si>
  <si>
    <t>2025-2026</t>
  </si>
  <si>
    <t>/*</t>
  </si>
  <si>
    <t>*/</t>
  </si>
  <si>
    <r>
      <t>const</t>
    </r>
    <r>
      <rPr>
        <sz val="11"/>
        <color rgb="FF34E411"/>
        <rFont val="Consolas"/>
        <family val="3"/>
      </rPr>
      <t xml:space="preserve"> year </t>
    </r>
    <r>
      <rPr>
        <sz val="11"/>
        <color rgb="FFD4D4D4"/>
        <rFont val="Consolas"/>
        <family val="3"/>
      </rPr>
      <t>=</t>
    </r>
    <r>
      <rPr>
        <sz val="11"/>
        <color rgb="FF34E411"/>
        <rFont val="Consolas"/>
        <family val="3"/>
      </rPr>
      <t xml:space="preserve"> </t>
    </r>
    <r>
      <rPr>
        <sz val="11"/>
        <color rgb="FF569CD6"/>
        <rFont val="Consolas"/>
        <family val="3"/>
      </rPr>
      <t>new</t>
    </r>
    <r>
      <rPr>
        <sz val="11"/>
        <color rgb="FF34E411"/>
        <rFont val="Consolas"/>
        <family val="3"/>
      </rPr>
      <t xml:space="preserve"> Date().getFullYear(); </t>
    </r>
    <r>
      <rPr>
        <sz val="11"/>
        <color rgb="FF6A9955"/>
        <rFont val="Consolas"/>
        <family val="3"/>
      </rPr>
      <t>// Obtiene el año actual</t>
    </r>
  </si>
  <si>
    <t>// const year = 2025; // Si prefieres un año fijo</t>
  </si>
  <si>
    <t>// Lista de audios con su información</t>
  </si>
  <si>
    <r>
      <t>const</t>
    </r>
    <r>
      <rPr>
        <sz val="11"/>
        <color rgb="FF34E411"/>
        <rFont val="Consolas"/>
        <family val="3"/>
      </rPr>
      <t xml:space="preserve"> audios </t>
    </r>
    <r>
      <rPr>
        <sz val="11"/>
        <color rgb="FFD4D4D4"/>
        <rFont val="Consolas"/>
        <family val="3"/>
      </rPr>
      <t>=</t>
    </r>
    <r>
      <rPr>
        <sz val="11"/>
        <color rgb="FF34E411"/>
        <rFont val="Consolas"/>
        <family val="3"/>
      </rPr>
      <t xml:space="preserve"> [</t>
    </r>
  </si>
  <si>
    <r>
      <t xml:space="preserve">    </t>
    </r>
    <r>
      <rPr>
        <sz val="11"/>
        <color rgb="FF6A9955"/>
        <rFont val="Consolas"/>
        <family val="3"/>
      </rPr>
      <t>// DIA DE LOS SANTOS</t>
    </r>
  </si>
  <si>
    <r>
      <t xml:space="preserve">    { nombre: </t>
    </r>
    <r>
      <rPr>
        <sz val="11"/>
        <color rgb="FFCE9178"/>
        <rFont val="Consolas"/>
        <family val="3"/>
      </rPr>
      <t>"Santa María, Madre de Dios"</t>
    </r>
    <r>
      <rPr>
        <sz val="11"/>
        <color rgb="FF34E411"/>
        <rFont val="Consolas"/>
        <family val="3"/>
      </rPr>
      <t xml:space="preserve">,                             archivo: </t>
    </r>
    <r>
      <rPr>
        <sz val="11"/>
        <color rgb="FFCE9178"/>
        <rFont val="Consolas"/>
        <family val="3"/>
      </rPr>
      <t>"/ev/dias/01enero.mp3"</t>
    </r>
    <r>
      <rPr>
        <sz val="11"/>
        <color rgb="FF34E411"/>
        <rFont val="Consolas"/>
        <family val="3"/>
      </rPr>
      <t xml:space="preserve">,        fecha: </t>
    </r>
    <r>
      <rPr>
        <sz val="11"/>
        <color rgb="FFCE9178"/>
        <rFont val="Consolas"/>
        <family val="3"/>
      </rPr>
      <t>`</t>
    </r>
    <r>
      <rPr>
        <sz val="11"/>
        <color rgb="FF569CD6"/>
        <rFont val="Consolas"/>
        <family val="3"/>
      </rPr>
      <t>${</t>
    </r>
    <r>
      <rPr>
        <sz val="11"/>
        <color rgb="FFD4D4D4"/>
        <rFont val="Consolas"/>
        <family val="3"/>
      </rPr>
      <t>year</t>
    </r>
    <r>
      <rPr>
        <sz val="11"/>
        <color rgb="FF569CD6"/>
        <rFont val="Consolas"/>
        <family val="3"/>
      </rPr>
      <t>}</t>
    </r>
    <r>
      <rPr>
        <sz val="11"/>
        <color rgb="FFCE9178"/>
        <rFont val="Consolas"/>
        <family val="3"/>
      </rPr>
      <t>-01-01`</t>
    </r>
    <r>
      <rPr>
        <sz val="11"/>
        <color rgb="FF34E411"/>
        <rFont val="Consolas"/>
        <family val="3"/>
      </rPr>
      <t xml:space="preserve"> }, </t>
    </r>
    <r>
      <rPr>
        <sz val="11"/>
        <color rgb="FF6A9955"/>
        <rFont val="Consolas"/>
        <family val="3"/>
      </rPr>
      <t>// 1ro de Enero, Santa Maria Madre de Dios</t>
    </r>
  </si>
  <si>
    <r>
      <t xml:space="preserve">    { nombre: </t>
    </r>
    <r>
      <rPr>
        <sz val="11"/>
        <color rgb="FFCE9178"/>
        <rFont val="Consolas"/>
        <family val="3"/>
      </rPr>
      <t>"2 de Enero"</t>
    </r>
    <r>
      <rPr>
        <sz val="11"/>
        <color rgb="FF34E411"/>
        <rFont val="Consolas"/>
        <family val="3"/>
      </rPr>
      <t xml:space="preserve">,                                             archivo: </t>
    </r>
    <r>
      <rPr>
        <sz val="11"/>
        <color rgb="FFCE9178"/>
        <rFont val="Consolas"/>
        <family val="3"/>
      </rPr>
      <t>"/ev/dias/02enero.mp3"</t>
    </r>
    <r>
      <rPr>
        <sz val="11"/>
        <color rgb="FF34E411"/>
        <rFont val="Consolas"/>
        <family val="3"/>
      </rPr>
      <t xml:space="preserve">,        fecha: </t>
    </r>
    <r>
      <rPr>
        <sz val="11"/>
        <color rgb="FFCE9178"/>
        <rFont val="Consolas"/>
        <family val="3"/>
      </rPr>
      <t>`</t>
    </r>
    <r>
      <rPr>
        <sz val="11"/>
        <color rgb="FF569CD6"/>
        <rFont val="Consolas"/>
        <family val="3"/>
      </rPr>
      <t>${</t>
    </r>
    <r>
      <rPr>
        <sz val="11"/>
        <color rgb="FFD4D4D4"/>
        <rFont val="Consolas"/>
        <family val="3"/>
      </rPr>
      <t>year</t>
    </r>
    <r>
      <rPr>
        <sz val="11"/>
        <color rgb="FF569CD6"/>
        <rFont val="Consolas"/>
        <family val="3"/>
      </rPr>
      <t>}</t>
    </r>
    <r>
      <rPr>
        <sz val="11"/>
        <color rgb="FFCE9178"/>
        <rFont val="Consolas"/>
        <family val="3"/>
      </rPr>
      <t>-01-02`</t>
    </r>
    <r>
      <rPr>
        <sz val="11"/>
        <color rgb="FF34E411"/>
        <rFont val="Consolas"/>
        <family val="3"/>
      </rPr>
      <t xml:space="preserve"> }, </t>
    </r>
    <r>
      <rPr>
        <sz val="11"/>
        <color rgb="FF6A9955"/>
        <rFont val="Consolas"/>
        <family val="3"/>
      </rPr>
      <t>// 2 de Enero Santisimo Nombre de nuestro Señor Jesucristo</t>
    </r>
  </si>
  <si>
    <r>
      <t xml:space="preserve">    { nombre: </t>
    </r>
    <r>
      <rPr>
        <sz val="11"/>
        <color rgb="FFCE9178"/>
        <rFont val="Consolas"/>
        <family val="3"/>
      </rPr>
      <t>"3 de Enero"</t>
    </r>
    <r>
      <rPr>
        <sz val="11"/>
        <color rgb="FF34E411"/>
        <rFont val="Consolas"/>
        <family val="3"/>
      </rPr>
      <t xml:space="preserve">,                                             archivo: </t>
    </r>
    <r>
      <rPr>
        <sz val="11"/>
        <color rgb="FFCE9178"/>
        <rFont val="Consolas"/>
        <family val="3"/>
      </rPr>
      <t>"/ev/dias/03enero.mp3"</t>
    </r>
    <r>
      <rPr>
        <sz val="11"/>
        <color rgb="FF34E411"/>
        <rFont val="Consolas"/>
        <family val="3"/>
      </rPr>
      <t xml:space="preserve">,        fecha: </t>
    </r>
    <r>
      <rPr>
        <sz val="11"/>
        <color rgb="FFCE9178"/>
        <rFont val="Consolas"/>
        <family val="3"/>
      </rPr>
      <t>`</t>
    </r>
    <r>
      <rPr>
        <sz val="11"/>
        <color rgb="FF569CD6"/>
        <rFont val="Consolas"/>
        <family val="3"/>
      </rPr>
      <t>${</t>
    </r>
    <r>
      <rPr>
        <sz val="11"/>
        <color rgb="FFD4D4D4"/>
        <rFont val="Consolas"/>
        <family val="3"/>
      </rPr>
      <t>year</t>
    </r>
    <r>
      <rPr>
        <sz val="11"/>
        <color rgb="FF569CD6"/>
        <rFont val="Consolas"/>
        <family val="3"/>
      </rPr>
      <t>}</t>
    </r>
    <r>
      <rPr>
        <sz val="11"/>
        <color rgb="FFCE9178"/>
        <rFont val="Consolas"/>
        <family val="3"/>
      </rPr>
      <t>-01-03`</t>
    </r>
    <r>
      <rPr>
        <sz val="11"/>
        <color rgb="FF34E411"/>
        <rFont val="Consolas"/>
        <family val="3"/>
      </rPr>
      <t xml:space="preserve"> }, </t>
    </r>
    <r>
      <rPr>
        <sz val="11"/>
        <color rgb="FF6A9955"/>
        <rFont val="Consolas"/>
        <family val="3"/>
      </rPr>
      <t>// 3 de Enero Santisimo Nombre de nuestro Señor Jesucristo</t>
    </r>
  </si>
  <si>
    <r>
      <t xml:space="preserve">    { nombre: </t>
    </r>
    <r>
      <rPr>
        <sz val="11"/>
        <color rgb="FFCE9178"/>
        <rFont val="Consolas"/>
        <family val="3"/>
      </rPr>
      <t>"La Epifanía del Señor"</t>
    </r>
    <r>
      <rPr>
        <sz val="11"/>
        <color rgb="FF34E411"/>
        <rFont val="Consolas"/>
        <family val="3"/>
      </rPr>
      <t xml:space="preserve">,                                  archivo: </t>
    </r>
    <r>
      <rPr>
        <sz val="11"/>
        <color rgb="FFCE9178"/>
        <rFont val="Consolas"/>
        <family val="3"/>
      </rPr>
      <t>"/ev/dias/06enero.mp3"</t>
    </r>
    <r>
      <rPr>
        <sz val="11"/>
        <color rgb="FF34E411"/>
        <rFont val="Consolas"/>
        <family val="3"/>
      </rPr>
      <t xml:space="preserve">,        fecha: </t>
    </r>
    <r>
      <rPr>
        <sz val="11"/>
        <color rgb="FFCE9178"/>
        <rFont val="Consolas"/>
        <family val="3"/>
      </rPr>
      <t>`</t>
    </r>
    <r>
      <rPr>
        <sz val="11"/>
        <color rgb="FF569CD6"/>
        <rFont val="Consolas"/>
        <family val="3"/>
      </rPr>
      <t>${</t>
    </r>
    <r>
      <rPr>
        <sz val="11"/>
        <color rgb="FFD4D4D4"/>
        <rFont val="Consolas"/>
        <family val="3"/>
      </rPr>
      <t>year</t>
    </r>
    <r>
      <rPr>
        <sz val="11"/>
        <color rgb="FF569CD6"/>
        <rFont val="Consolas"/>
        <family val="3"/>
      </rPr>
      <t>}</t>
    </r>
    <r>
      <rPr>
        <sz val="11"/>
        <color rgb="FFCE9178"/>
        <rFont val="Consolas"/>
        <family val="3"/>
      </rPr>
      <t>-01-06`</t>
    </r>
    <r>
      <rPr>
        <sz val="11"/>
        <color rgb="FF34E411"/>
        <rFont val="Consolas"/>
        <family val="3"/>
      </rPr>
      <t xml:space="preserve"> }, </t>
    </r>
    <r>
      <rPr>
        <sz val="11"/>
        <color rgb="FF6A9955"/>
        <rFont val="Consolas"/>
        <family val="3"/>
      </rPr>
      <t>// 6 de Enero, Epifanía del Señor</t>
    </r>
  </si>
  <si>
    <t>/*  </t>
  </si>
  <si>
    <t>    { nombre: "Día de la Altagracia",                                   archivo: "/ev/dias/21enero.mp3",        fecha: `${year}-01-21` }, // 21 de Enero, Día de la Altagracia</t>
  </si>
  <si>
    <t>    { nombre: "La Conversión de San Pablo, apóstol",                    archivo: "/ev/dias/26enero.mp3",        fecha: `${year}-01-25` }, // 25 La Conversión de San Pablo, apóstol</t>
  </si>
  <si>
    <t>    */</t>
  </si>
  <si>
    <t>Navidad</t>
  </si>
  <si>
    <t>Semana</t>
  </si>
  <si>
    <t>archivo:</t>
  </si>
  <si>
    <t>tn</t>
  </si>
  <si>
    <t>Adviento</t>
  </si>
  <si>
    <t>Ordinario</t>
  </si>
  <si>
    <t>Epifania</t>
  </si>
  <si>
    <t>Cuaresma</t>
  </si>
  <si>
    <t>Domingo De Ramos</t>
  </si>
  <si>
    <t>Semana Santa</t>
  </si>
  <si>
    <t>Triduo Pascual</t>
  </si>
  <si>
    <t>Vigilia Pascual</t>
  </si>
  <si>
    <t>Pascual</t>
  </si>
  <si>
    <t>ta</t>
  </si>
  <si>
    <t>te</t>
  </si>
  <si>
    <t>to</t>
  </si>
  <si>
    <t>tc</t>
  </si>
  <si>
    <t>tp</t>
  </si>
  <si>
    <t>ss</t>
  </si>
  <si>
    <t>,Santa María, Madre de Dios</t>
  </si>
  <si>
    <t>,Santos Basilio Magno y Gregorio de Nacianzo, obispos y doctores de la Iglesia</t>
  </si>
  <si>
    <t>,El Bautismo del Señor</t>
  </si>
  <si>
    <t>,La Epifanía del Señor</t>
  </si>
  <si>
    <t>Mes</t>
  </si>
  <si>
    <t>año</t>
  </si>
  <si>
    <t>dia/mes</t>
  </si>
  <si>
    <t>Tiempo ab</t>
  </si>
  <si>
    <t>No.Semana</t>
  </si>
  <si>
    <t>dia</t>
  </si>
  <si>
    <t>Codigo</t>
  </si>
  <si>
    <t>fecha</t>
  </si>
  <si>
    <t>Column1</t>
  </si>
  <si>
    <t>, Jueves Santo en la Cena del Señor</t>
  </si>
  <si>
    <t>, Sábado Santo de la Sepultura del Señor</t>
  </si>
  <si>
    <t>,Octava de Pascua</t>
  </si>
  <si>
    <t>,Divina Misericordia</t>
  </si>
  <si>
    <t>,Domingo de Pentecostés</t>
  </si>
  <si>
    <t>,Miércoles de Ceniza</t>
  </si>
  <si>
    <t>, Viernes después del Miércoles de Ceniza</t>
  </si>
  <si>
    <t>, Jueves después del Miércoles de Ceniza</t>
  </si>
  <si>
    <t>, Sábado después del Miércoles de Ceniza</t>
  </si>
  <si>
    <t>, Domingo «Laetare»</t>
  </si>
  <si>
    <t>, La Anunciación del Señor</t>
  </si>
  <si>
    <t>, Domingo de Ramos en la Pasión del Señor</t>
  </si>
  <si>
    <t>, Martes Santo</t>
  </si>
  <si>
    <t>, Lunes Santo</t>
  </si>
  <si>
    <t>, Miercoles Santo</t>
  </si>
  <si>
    <t>, Viernes Santo en la Pasión del Señor</t>
  </si>
  <si>
    <t>, Domingo de Pascua de la Resurrección del Señor</t>
  </si>
  <si>
    <t>, La Ascensión del Señor</t>
  </si>
  <si>
    <t>, La Santísima Trinidad</t>
  </si>
  <si>
    <t>, El Cuerpo y la Sangre Santísimos de Cristo</t>
  </si>
  <si>
    <t>, El Sagrado Corazón de Jesús</t>
  </si>
  <si>
    <t>, El Nacimiento de San Juan Bautista</t>
  </si>
  <si>
    <t>, Santos Pedro y Pablo, apóstoles</t>
  </si>
  <si>
    <t>, La Inmaculada Concepción de la Bienaventurada Virgen María</t>
  </si>
  <si>
    <t>, La Natividad del Señor</t>
  </si>
  <si>
    <t>, La Sagrada Familia de Jesús, María y José</t>
  </si>
  <si>
    <t>, Los Santos Inocentes, mártires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</si>
</sst>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0"/>
    <numFmt numFmtId="172" formatCode="dd\-mm"/>
    <numFmt numFmtId="173" formatCode="[$-F800]dddd\,\ mmmm\ dd\,\ yyyy"/>
    <numFmt numFmtId="174" formatCode="dddd"/>
    <numFmt numFmtId="175" formatCode="yyyy"/>
  </numFmts>
  <fonts count="10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34E411"/>
      <name val="Consolas"/>
      <family val="3"/>
    </font>
    <font>
      <sz val="11"/>
      <color rgb="FF569CD6"/>
      <name val="Consolas"/>
      <family val="3"/>
    </font>
    <font>
      <sz val="11"/>
      <color rgb="FFD4D4D4"/>
      <name val="Consolas"/>
      <family val="3"/>
    </font>
    <font>
      <sz val="11"/>
      <color rgb="FF6A9955"/>
      <name val="Consolas"/>
      <family val="3"/>
    </font>
    <font>
      <sz val="11"/>
      <color rgb="FFCE9178"/>
      <name val="Consolas"/>
      <family val="3"/>
    </font>
    <font>
      <sz val="11"/>
      <color theme="9"/>
      <name val="Aptos Narrow"/>
      <family val="2"/>
      <scheme val="minor"/>
    </font>
    <font>
      <sz val="11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theme="7"/>
      </patternFill>
    </fill>
    <fill>
      <patternFill patternType="solid">
        <fgColor rgb="FF00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16">
    <xf numFmtId="0" fontId="0" fillId="0" borderId="0" xfId="0"/>
    <xf numFmtId="164" fontId="0" fillId="0" borderId="0" xfId="0" applyNumberFormat="1"/>
    <xf numFmtId="164" fontId="0" fillId="0" borderId="0" xfId="0" quotePrefix="1" applyNumberFormat="1"/>
    <xf numFmtId="0" fontId="2" fillId="2" borderId="0" xfId="1"/>
    <xf numFmtId="0" fontId="4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0" fillId="3" borderId="0" xfId="0" applyFill="1" applyAlignment="1">
      <alignment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72" fontId="6" fillId="0" borderId="0" xfId="0" applyNumberFormat="1" applyFont="1" applyAlignment="1">
      <alignment vertical="center"/>
    </xf>
    <xf numFmtId="173" fontId="0" fillId="0" borderId="0" xfId="0" applyNumberFormat="1"/>
    <xf numFmtId="174" fontId="0" fillId="0" borderId="0" xfId="0" applyNumberFormat="1"/>
    <xf numFmtId="0" fontId="1" fillId="0" borderId="0" xfId="0" applyFont="1"/>
    <xf numFmtId="0" fontId="8" fillId="0" borderId="0" xfId="0" applyFont="1"/>
    <xf numFmtId="0" fontId="9" fillId="0" borderId="0" xfId="0" applyFont="1" applyAlignment="1">
      <alignment vertical="center"/>
    </xf>
    <xf numFmtId="175" fontId="6" fillId="0" borderId="0" xfId="0" applyNumberFormat="1" applyFont="1" applyAlignment="1">
      <alignment vertical="center"/>
    </xf>
  </cellXfs>
  <cellStyles count="2">
    <cellStyle name="Accent4" xfId="1" builtinId="41"/>
    <cellStyle name="Normal" xfId="0" builtinId="0"/>
  </cellStyles>
  <dxfs count="23">
    <dxf>
      <font>
        <color theme="0"/>
      </font>
      <fill>
        <patternFill>
          <bgColor theme="7"/>
        </patternFill>
      </fill>
    </dxf>
    <dxf>
      <font>
        <color theme="0"/>
      </font>
      <fill>
        <patternFill>
          <bgColor theme="8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7"/>
        </patternFill>
      </fill>
    </dxf>
    <dxf>
      <font>
        <color theme="0"/>
      </font>
      <fill>
        <patternFill>
          <bgColor theme="9"/>
        </patternFill>
      </fill>
    </dxf>
    <dxf>
      <font>
        <color theme="0"/>
      </font>
      <fill>
        <patternFill>
          <bgColor theme="8"/>
        </patternFill>
      </fill>
    </dxf>
    <dxf>
      <font>
        <color theme="0"/>
      </font>
      <fill>
        <patternFill>
          <bgColor theme="7"/>
        </patternFill>
      </fill>
    </dxf>
    <dxf>
      <font>
        <color theme="0"/>
      </font>
      <fill>
        <patternFill>
          <bgColor theme="8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7"/>
        </patternFill>
      </fill>
    </dxf>
    <dxf>
      <font>
        <color theme="0"/>
      </font>
      <fill>
        <patternFill>
          <bgColor theme="9"/>
        </patternFill>
      </fill>
    </dxf>
    <dxf>
      <font>
        <color theme="0"/>
      </font>
      <fill>
        <patternFill>
          <bgColor theme="8"/>
        </patternFill>
      </fill>
    </dxf>
    <dxf>
      <numFmt numFmtId="173" formatCode="[$-F800]dddd\,\ mmmm\ dd\,\ yyyy"/>
    </dxf>
    <dxf>
      <numFmt numFmtId="174" formatCode="dd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A9955"/>
        <name val="Consolas"/>
        <family val="3"/>
        <scheme val="none"/>
      </font>
      <numFmt numFmtId="172" formatCode="dd\-mm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6A9955"/>
        <name val="Consolas"/>
        <family val="3"/>
        <scheme val="none"/>
      </font>
      <numFmt numFmtId="175" formatCode="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onsolas"/>
        <family val="3"/>
        <scheme val="none"/>
      </font>
      <alignment horizontal="general" vertical="center" textRotation="0" wrapText="0" indent="0" justifyLastLine="0" shrinkToFit="0" readingOrder="0"/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9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9"/>
        </patternFill>
      </fill>
    </dxf>
    <dxf>
      <font>
        <color theme="0"/>
      </font>
      <fill>
        <patternFill>
          <bgColor rgb="FF7030A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EF0C5D-00D0-43A4-955F-CA8E10697875}" name="Table1" displayName="Table1" ref="A17:L1130" totalsRowShown="0">
  <autoFilter ref="A17:L1130" xr:uid="{75EF0C5D-00D0-43A4-955F-CA8E10697875}">
    <filterColumn colId="2">
      <filters>
        <dateGroupItem year="2026" dateTimeGrouping="year"/>
      </filters>
    </filterColumn>
  </autoFilter>
  <tableColumns count="12">
    <tableColumn id="1" xr3:uid="{0A51A71C-019D-4EC7-9EED-7FD70E4610CE}" name="Tiempo ab"/>
    <tableColumn id="2" xr3:uid="{4E8574DD-F0A2-4620-82DD-987E528880B0}" name="Mes" dataDxfId="16">
      <calculatedColumnFormula>_xlfn.CONCAT("/* ",UPPER(TEXT(D18,"[$-es-ES]mmmm")),"        */")</calculatedColumnFormula>
    </tableColumn>
    <tableColumn id="3" xr3:uid="{25602439-C669-4E02-B74A-502F19126555}" name="año" dataDxfId="15">
      <calculatedColumnFormula>+C17+1</calculatedColumnFormula>
    </tableColumn>
    <tableColumn id="4" xr3:uid="{28531D81-F5FE-4D19-9192-5C656B4A6A68}" name="dia/mes" dataDxfId="14">
      <calculatedColumnFormula>+D17+1</calculatedColumnFormula>
    </tableColumn>
    <tableColumn id="5" xr3:uid="{A667AAC0-4DF6-40E5-B56B-9A52AD45D575}" name="tiempo"/>
    <tableColumn id="6" xr3:uid="{FAB17EFA-9AF3-49CE-BCFE-1F61440C2D03}" name="Semana"/>
    <tableColumn id="7" xr3:uid="{51C78998-8190-43E2-8720-875355E54CC6}" name="No.Semana"/>
    <tableColumn id="8" xr3:uid="{4E842AE5-7F71-471F-BEF2-84FCAE0B4235}" name="Column1"/>
    <tableColumn id="9" xr3:uid="{68F7F667-D6B6-484A-998A-4E0A2F98865C}" name="dia" dataDxfId="13">
      <calculatedColumnFormula>D18</calculatedColumnFormula>
    </tableColumn>
    <tableColumn id="10" xr3:uid="{B8170E26-2B14-42F9-8608-F561C59530A1}" name="archivo:"/>
    <tableColumn id="11" xr3:uid="{8B22393E-6835-4C88-8F22-C59BFA25E5F1}" name="Codigo">
      <calculatedColumnFormula>_xlfn.CONCAT(B18, " ", "{ nombre: ", CHAR(34), E18, ", ", F18, " ", ROMAN(G18),H18, ", ", UPPER(TEXT(D18, "[$-es-ES]dddd")), CHAR(34), ", archivo: ", CHAR(34), "/ev/", _xlfn.IFS(E18="Adviento","ta", E18="Navidad","tn", E18="Epifania","te", E18="Ordinario","to", E18="Cuaresma","tc", E18="Domingo De Ramos","tc", E18="Semana Santa","ss", E18="Triduo Pascual","tp", E18="Vigilia Pascual","tp", E18="Pascual","tp"), "/", G18, "/", TEXT(D18, "[$-es-ES]dddd"), ".mp3", CHAR(34), ", fecha: `${year}-", TEXT(D18, "mm-dd"), "` },")</calculatedColumnFormula>
    </tableColumn>
    <tableColumn id="12" xr3:uid="{AD894FCC-2059-49FA-8782-C30CB825C66B}" name="fecha" dataDxfId="12">
      <calculatedColumnFormula>D18</calculatedColumnFormula>
    </tableColumn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3735F-CCFC-4070-945D-F60832AA2199}">
  <dimension ref="A1:N370"/>
  <sheetViews>
    <sheetView zoomScale="145" zoomScaleNormal="145" workbookViewId="0">
      <selection activeCell="G14" sqref="G14"/>
    </sheetView>
  </sheetViews>
  <sheetFormatPr defaultRowHeight="15" x14ac:dyDescent="0.25"/>
  <cols>
    <col min="2" max="2" width="12.28515625" bestFit="1" customWidth="1"/>
    <col min="3" max="3" width="8.140625" bestFit="1" customWidth="1"/>
    <col min="4" max="4" width="3" bestFit="1" customWidth="1"/>
    <col min="7" max="7" width="21.7109375" customWidth="1"/>
    <col min="8" max="8" width="1.42578125" bestFit="1" customWidth="1"/>
    <col min="9" max="10" width="2.85546875" bestFit="1" customWidth="1"/>
    <col min="11" max="11" width="2.85546875" customWidth="1"/>
    <col min="12" max="12" width="10.140625" bestFit="1" customWidth="1"/>
    <col min="13" max="13" width="10.140625" customWidth="1"/>
    <col min="14" max="14" width="112.28515625" bestFit="1" customWidth="1"/>
  </cols>
  <sheetData>
    <row r="1" spans="1:14" x14ac:dyDescent="0.25">
      <c r="N1" t="s">
        <v>18</v>
      </c>
    </row>
    <row r="3" spans="1:14" x14ac:dyDescent="0.25">
      <c r="A3" t="s">
        <v>0</v>
      </c>
      <c r="B3" t="s">
        <v>11</v>
      </c>
      <c r="C3" t="s">
        <v>2</v>
      </c>
      <c r="D3" s="2">
        <v>1</v>
      </c>
      <c r="E3" t="s">
        <v>6</v>
      </c>
      <c r="F3" t="s">
        <v>17</v>
      </c>
      <c r="G3" s="1" t="str">
        <f t="shared" ref="G3:G12" si="0">_xlfn.CONCAT(LEFT(A3,1),LEFT(B3,1),LEFT(C3,1),"0",D3,E3)</f>
        <v>tns01jueves</v>
      </c>
      <c r="H3" t="s">
        <v>15</v>
      </c>
      <c r="I3">
        <v>1</v>
      </c>
      <c r="J3">
        <v>1</v>
      </c>
      <c r="K3" t="s">
        <v>27</v>
      </c>
      <c r="L3" t="str">
        <f t="shared" ref="L3:L12" si="1">IF(I3=1,"Enero",
IF(I3=2,"Febrero",
IF(I3=3,"Marzo",
IF(I3=4,"Abril",
IF(I3=5,"Mayo",
IF(I3=6,"Junio",
IF(I3=7,"Julio",
IF(I3=8,"Agosto",
IF(I3=9,"Septiembre",
IF(I3=10,"Octubre",
IF(I3=11,"Noviembre",
IF(I3=12,"Diciembre",""))))))))))))</f>
        <v>Enero</v>
      </c>
      <c r="M3" t="s">
        <v>28</v>
      </c>
      <c r="N3" t="str">
        <f t="shared" ref="N3:N12" si="2">_xlfn.CONCAT("{ nombre: ",H3,PROPER(A3)," ",PROPER(B3),", ",PROPER(C3)," ",D3," ",PROPER(E3),""",",F3,G3,".mp3",H3,", fecha: `${year}-",0,I3,"-",J3,"` },")</f>
        <v>{ nombre: "Tiempo Navidad, Semana 1 Jueves", archivo: "/salterios/src/evan/audios/tns01jueves.mp3", fecha: `${year}-01-1` },</v>
      </c>
    </row>
    <row r="4" spans="1:14" x14ac:dyDescent="0.25">
      <c r="A4" t="s">
        <v>0</v>
      </c>
      <c r="B4" t="str">
        <f t="shared" ref="B4:B7" si="3">B3</f>
        <v>navidad</v>
      </c>
      <c r="C4" t="s">
        <v>2</v>
      </c>
      <c r="D4" s="2">
        <v>1</v>
      </c>
      <c r="E4" t="s">
        <v>7</v>
      </c>
      <c r="F4" t="s">
        <v>17</v>
      </c>
      <c r="G4" s="1" t="str">
        <f t="shared" si="0"/>
        <v>tns01viernes</v>
      </c>
      <c r="H4" t="s">
        <v>15</v>
      </c>
      <c r="I4">
        <f t="shared" ref="I4:I14" si="4">I3</f>
        <v>1</v>
      </c>
      <c r="J4">
        <f t="shared" ref="J4:J14" si="5">+J3+1</f>
        <v>2</v>
      </c>
      <c r="K4" t="s">
        <v>27</v>
      </c>
      <c r="L4" t="str">
        <f t="shared" si="1"/>
        <v>Enero</v>
      </c>
      <c r="M4" t="s">
        <v>28</v>
      </c>
      <c r="N4" t="str">
        <f t="shared" si="2"/>
        <v>{ nombre: "Tiempo Navidad, Semana 1 Viernes", archivo: "/salterios/src/evan/audios/tns01viernes.mp3", fecha: `${year}-01-2` },</v>
      </c>
    </row>
    <row r="5" spans="1:14" x14ac:dyDescent="0.25">
      <c r="A5" t="s">
        <v>0</v>
      </c>
      <c r="B5" t="str">
        <f t="shared" si="3"/>
        <v>navidad</v>
      </c>
      <c r="C5" t="s">
        <v>2</v>
      </c>
      <c r="D5" s="2">
        <v>1</v>
      </c>
      <c r="E5" t="s">
        <v>8</v>
      </c>
      <c r="F5" t="s">
        <v>17</v>
      </c>
      <c r="G5" s="1" t="str">
        <f t="shared" si="0"/>
        <v>tns01sabado</v>
      </c>
      <c r="H5" t="s">
        <v>15</v>
      </c>
      <c r="I5">
        <f t="shared" si="4"/>
        <v>1</v>
      </c>
      <c r="J5">
        <f t="shared" si="5"/>
        <v>3</v>
      </c>
      <c r="K5" t="s">
        <v>27</v>
      </c>
      <c r="L5" t="str">
        <f t="shared" si="1"/>
        <v>Enero</v>
      </c>
      <c r="M5" t="s">
        <v>28</v>
      </c>
      <c r="N5" t="str">
        <f t="shared" si="2"/>
        <v>{ nombre: "Tiempo Navidad, Semana 1 Sabado", archivo: "/salterios/src/evan/audios/tns01sabado.mp3", fecha: `${year}-01-3` },</v>
      </c>
    </row>
    <row r="6" spans="1:14" x14ac:dyDescent="0.25">
      <c r="A6" t="s">
        <v>0</v>
      </c>
      <c r="B6" t="str">
        <f t="shared" si="3"/>
        <v>navidad</v>
      </c>
      <c r="C6" t="s">
        <v>2</v>
      </c>
      <c r="D6" s="2">
        <v>2</v>
      </c>
      <c r="E6" t="s">
        <v>9</v>
      </c>
      <c r="F6" t="s">
        <v>17</v>
      </c>
      <c r="G6" s="1" t="str">
        <f t="shared" si="0"/>
        <v>tns02domingo</v>
      </c>
      <c r="H6" t="s">
        <v>15</v>
      </c>
      <c r="I6">
        <f t="shared" si="4"/>
        <v>1</v>
      </c>
      <c r="J6">
        <f t="shared" si="5"/>
        <v>4</v>
      </c>
      <c r="K6" t="s">
        <v>27</v>
      </c>
      <c r="L6" t="str">
        <f t="shared" si="1"/>
        <v>Enero</v>
      </c>
      <c r="M6" t="s">
        <v>28</v>
      </c>
      <c r="N6" t="str">
        <f t="shared" si="2"/>
        <v>{ nombre: "Tiempo Navidad, Semana 2 Domingo", archivo: "/salterios/src/evan/audios/tns02domingo.mp3", fecha: `${year}-01-4` },</v>
      </c>
    </row>
    <row r="7" spans="1:14" x14ac:dyDescent="0.25">
      <c r="A7" t="s">
        <v>0</v>
      </c>
      <c r="B7" t="str">
        <f t="shared" si="3"/>
        <v>navidad</v>
      </c>
      <c r="C7" t="s">
        <v>2</v>
      </c>
      <c r="D7" s="2">
        <v>2</v>
      </c>
      <c r="E7" t="s">
        <v>3</v>
      </c>
      <c r="F7" t="s">
        <v>17</v>
      </c>
      <c r="G7" s="1" t="str">
        <f t="shared" si="0"/>
        <v>tns02lunes</v>
      </c>
      <c r="H7" t="s">
        <v>15</v>
      </c>
      <c r="I7">
        <f t="shared" si="4"/>
        <v>1</v>
      </c>
      <c r="J7">
        <f t="shared" si="5"/>
        <v>5</v>
      </c>
      <c r="K7" t="s">
        <v>27</v>
      </c>
      <c r="L7" t="str">
        <f t="shared" si="1"/>
        <v>Enero</v>
      </c>
      <c r="M7" t="s">
        <v>28</v>
      </c>
      <c r="N7" t="str">
        <f t="shared" si="2"/>
        <v>{ nombre: "Tiempo Navidad, Semana 2 Lunes", archivo: "/salterios/src/evan/audios/tns02lunes.mp3", fecha: `${year}-01-5` },</v>
      </c>
    </row>
    <row r="8" spans="1:14" x14ac:dyDescent="0.25">
      <c r="A8" t="s">
        <v>0</v>
      </c>
      <c r="B8" t="s">
        <v>25</v>
      </c>
      <c r="C8" t="s">
        <v>2</v>
      </c>
      <c r="D8" s="2">
        <v>2</v>
      </c>
      <c r="E8" t="s">
        <v>4</v>
      </c>
      <c r="F8" t="s">
        <v>17</v>
      </c>
      <c r="G8" s="1" t="str">
        <f t="shared" si="0"/>
        <v>tes02martes</v>
      </c>
      <c r="H8" t="s">
        <v>15</v>
      </c>
      <c r="I8">
        <f t="shared" si="4"/>
        <v>1</v>
      </c>
      <c r="J8">
        <f t="shared" si="5"/>
        <v>6</v>
      </c>
      <c r="K8" t="s">
        <v>27</v>
      </c>
      <c r="L8" t="str">
        <f t="shared" si="1"/>
        <v>Enero</v>
      </c>
      <c r="M8" t="s">
        <v>28</v>
      </c>
      <c r="N8" t="str">
        <f t="shared" si="2"/>
        <v>{ nombre: "Tiempo Epifania, Semana 2 Martes", archivo: "/salterios/src/evan/audios/tes02martes.mp3", fecha: `${year}-01-6` },</v>
      </c>
    </row>
    <row r="9" spans="1:14" x14ac:dyDescent="0.25">
      <c r="A9" t="s">
        <v>0</v>
      </c>
      <c r="B9" t="s">
        <v>25</v>
      </c>
      <c r="C9" t="s">
        <v>2</v>
      </c>
      <c r="D9" s="2">
        <v>2</v>
      </c>
      <c r="E9" t="s">
        <v>5</v>
      </c>
      <c r="F9" t="s">
        <v>17</v>
      </c>
      <c r="G9" s="1" t="str">
        <f t="shared" si="0"/>
        <v>tes02miercoles</v>
      </c>
      <c r="H9" t="s">
        <v>15</v>
      </c>
      <c r="I9">
        <f t="shared" si="4"/>
        <v>1</v>
      </c>
      <c r="J9">
        <f t="shared" si="5"/>
        <v>7</v>
      </c>
      <c r="K9" t="s">
        <v>27</v>
      </c>
      <c r="L9" t="str">
        <f t="shared" si="1"/>
        <v>Enero</v>
      </c>
      <c r="M9" t="s">
        <v>28</v>
      </c>
      <c r="N9" t="str">
        <f t="shared" si="2"/>
        <v>{ nombre: "Tiempo Epifania, Semana 2 Miercoles", archivo: "/salterios/src/evan/audios/tes02miercoles.mp3", fecha: `${year}-01-7` },</v>
      </c>
    </row>
    <row r="10" spans="1:14" x14ac:dyDescent="0.25">
      <c r="A10" t="s">
        <v>0</v>
      </c>
      <c r="B10" t="s">
        <v>25</v>
      </c>
      <c r="C10" t="s">
        <v>2</v>
      </c>
      <c r="D10" s="2">
        <v>2</v>
      </c>
      <c r="E10" t="s">
        <v>6</v>
      </c>
      <c r="F10" t="s">
        <v>17</v>
      </c>
      <c r="G10" s="1" t="str">
        <f t="shared" si="0"/>
        <v>tes02jueves</v>
      </c>
      <c r="H10" t="s">
        <v>15</v>
      </c>
      <c r="I10">
        <f t="shared" si="4"/>
        <v>1</v>
      </c>
      <c r="J10">
        <f t="shared" si="5"/>
        <v>8</v>
      </c>
      <c r="K10" t="s">
        <v>27</v>
      </c>
      <c r="L10" t="str">
        <f t="shared" si="1"/>
        <v>Enero</v>
      </c>
      <c r="M10" t="s">
        <v>28</v>
      </c>
      <c r="N10" t="str">
        <f t="shared" si="2"/>
        <v>{ nombre: "Tiempo Epifania, Semana 2 Jueves", archivo: "/salterios/src/evan/audios/tes02jueves.mp3", fecha: `${year}-01-8` },</v>
      </c>
    </row>
    <row r="11" spans="1:14" x14ac:dyDescent="0.25">
      <c r="A11" t="s">
        <v>0</v>
      </c>
      <c r="B11" t="s">
        <v>25</v>
      </c>
      <c r="C11" t="s">
        <v>2</v>
      </c>
      <c r="D11" s="2">
        <v>2</v>
      </c>
      <c r="E11" t="s">
        <v>7</v>
      </c>
      <c r="F11" t="s">
        <v>17</v>
      </c>
      <c r="G11" s="1" t="str">
        <f t="shared" si="0"/>
        <v>tes02viernes</v>
      </c>
      <c r="H11" t="s">
        <v>15</v>
      </c>
      <c r="I11">
        <f t="shared" si="4"/>
        <v>1</v>
      </c>
      <c r="J11">
        <f t="shared" si="5"/>
        <v>9</v>
      </c>
      <c r="K11" t="s">
        <v>27</v>
      </c>
      <c r="L11" t="str">
        <f t="shared" si="1"/>
        <v>Enero</v>
      </c>
      <c r="M11" t="s">
        <v>28</v>
      </c>
      <c r="N11" t="str">
        <f t="shared" si="2"/>
        <v>{ nombre: "Tiempo Epifania, Semana 2 Viernes", archivo: "/salterios/src/evan/audios/tes02viernes.mp3", fecha: `${year}-01-9` },</v>
      </c>
    </row>
    <row r="12" spans="1:14" x14ac:dyDescent="0.25">
      <c r="A12" t="s">
        <v>0</v>
      </c>
      <c r="B12" t="s">
        <v>25</v>
      </c>
      <c r="C12" t="s">
        <v>2</v>
      </c>
      <c r="D12" s="2">
        <v>2</v>
      </c>
      <c r="E12" t="s">
        <v>8</v>
      </c>
      <c r="F12" t="s">
        <v>17</v>
      </c>
      <c r="G12" s="1" t="str">
        <f t="shared" si="0"/>
        <v>tes02sabado</v>
      </c>
      <c r="H12" t="s">
        <v>15</v>
      </c>
      <c r="I12">
        <f t="shared" si="4"/>
        <v>1</v>
      </c>
      <c r="J12">
        <f t="shared" si="5"/>
        <v>10</v>
      </c>
      <c r="K12" t="s">
        <v>27</v>
      </c>
      <c r="L12" t="str">
        <f t="shared" si="1"/>
        <v>Enero</v>
      </c>
      <c r="M12" t="s">
        <v>28</v>
      </c>
      <c r="N12" t="str">
        <f t="shared" si="2"/>
        <v>{ nombre: "Tiempo Epifania, Semana 2 Sabado", archivo: "/salterios/src/evan/audios/tes02sabado.mp3", fecha: `${year}-01-10` },</v>
      </c>
    </row>
    <row r="13" spans="1:14" x14ac:dyDescent="0.25">
      <c r="G13" t="s">
        <v>26</v>
      </c>
      <c r="H13" t="s">
        <v>15</v>
      </c>
      <c r="I13">
        <f t="shared" si="4"/>
        <v>1</v>
      </c>
      <c r="J13">
        <f t="shared" si="5"/>
        <v>11</v>
      </c>
      <c r="K13" t="s">
        <v>27</v>
      </c>
      <c r="M13" t="s">
        <v>28</v>
      </c>
    </row>
    <row r="14" spans="1:14" x14ac:dyDescent="0.25">
      <c r="A14" t="s">
        <v>0</v>
      </c>
      <c r="B14" t="s">
        <v>1</v>
      </c>
      <c r="C14" t="s">
        <v>2</v>
      </c>
      <c r="D14" s="2">
        <v>1</v>
      </c>
      <c r="E14" t="s">
        <v>9</v>
      </c>
      <c r="F14" t="s">
        <v>17</v>
      </c>
      <c r="G14" s="1" t="str">
        <f>_xlfn.CONCAT(LEFT(A14,1),LEFT(B14,1),LEFT(C14,1),"0",D14,E14)</f>
        <v>tos01domingo</v>
      </c>
      <c r="H14" t="s">
        <v>15</v>
      </c>
      <c r="I14">
        <f t="shared" si="4"/>
        <v>1</v>
      </c>
      <c r="J14">
        <f t="shared" si="5"/>
        <v>12</v>
      </c>
      <c r="K14" t="s">
        <v>27</v>
      </c>
      <c r="L14" t="str">
        <f t="shared" ref="L14:L45" si="6">IF(I14=1,"Enero",
IF(I14=2,"Febrero",
IF(I14=3,"Marzo",
IF(I14=4,"Abril",
IF(I14=5,"Mayo",
IF(I14=6,"Junio",
IF(I14=7,"Julio",
IF(I14=8,"Agosto",
IF(I14=9,"Septiembre",
IF(I14=10,"Octubre",
IF(I14=11,"Noviembre",
IF(I14=12,"Diciembre",""))))))))))))</f>
        <v>Enero</v>
      </c>
      <c r="M14" t="s">
        <v>28</v>
      </c>
      <c r="N14" t="str">
        <f>_xlfn.CONCAT("{ nombre: ",H14,PROPER(A14)," ",PROPER(B14),", ",PROPER(C14)," ",D14," ",PROPER(E14),""",",F14,G14,".mp3",H14,", fecha: `${year}-",0,I14,"-",J14,"` },")</f>
        <v>{ nombre: "Tiempo Ordinario, Semana 1 Domingo", archivo: "/salterios/src/evan/audios/tos01domingo.mp3", fecha: `${year}-01-12` },</v>
      </c>
    </row>
    <row r="15" spans="1:14" x14ac:dyDescent="0.25">
      <c r="A15" t="s">
        <v>0</v>
      </c>
      <c r="B15" t="str">
        <f t="shared" ref="B15:B35" si="7">B14</f>
        <v>ordinario</v>
      </c>
      <c r="C15" t="s">
        <v>2</v>
      </c>
      <c r="D15" s="2">
        <f>D14</f>
        <v>1</v>
      </c>
      <c r="E15" t="s">
        <v>3</v>
      </c>
      <c r="F15" t="s">
        <v>17</v>
      </c>
      <c r="G15" s="1" t="str">
        <f t="shared" ref="G15:G19" si="8">_xlfn.CONCAT(LEFT(A15,1),LEFT(B15,1),LEFT(C15,1),"0",D15,E15)</f>
        <v>tos01lunes</v>
      </c>
      <c r="H15" t="s">
        <v>15</v>
      </c>
      <c r="I15">
        <f t="shared" ref="I15:I78" si="9">I14</f>
        <v>1</v>
      </c>
      <c r="J15">
        <f>+J14+1</f>
        <v>13</v>
      </c>
      <c r="K15" t="s">
        <v>27</v>
      </c>
      <c r="L15" t="str">
        <f t="shared" si="6"/>
        <v>Enero</v>
      </c>
      <c r="M15" t="s">
        <v>28</v>
      </c>
      <c r="N15" t="str">
        <f>_xlfn.CONCAT("{ nombre: ",H15,PROPER(A15)," ",PROPER(B15),", ",PROPER(C15)," ",D15," ",PROPER(E15),""",",F15,G15,".mp3",H15,", fecha: `${year}-",0,I15,"-",J15,"` },")</f>
        <v>{ nombre: "Tiempo Ordinario, Semana 1 Lunes", archivo: "/salterios/src/evan/audios/tos01lunes.mp3", fecha: `${year}-01-13` },</v>
      </c>
    </row>
    <row r="16" spans="1:14" x14ac:dyDescent="0.25">
      <c r="A16" t="s">
        <v>0</v>
      </c>
      <c r="B16" t="str">
        <f t="shared" si="7"/>
        <v>ordinario</v>
      </c>
      <c r="C16" t="s">
        <v>2</v>
      </c>
      <c r="D16" s="2">
        <f t="shared" ref="D16:D19" si="10">D15</f>
        <v>1</v>
      </c>
      <c r="E16" t="s">
        <v>4</v>
      </c>
      <c r="F16" t="s">
        <v>17</v>
      </c>
      <c r="G16" s="1" t="str">
        <f t="shared" si="8"/>
        <v>tos01martes</v>
      </c>
      <c r="H16" t="s">
        <v>15</v>
      </c>
      <c r="I16">
        <f t="shared" si="9"/>
        <v>1</v>
      </c>
      <c r="J16">
        <f t="shared" ref="J16:J28" si="11">+J15+1</f>
        <v>14</v>
      </c>
      <c r="K16" t="s">
        <v>27</v>
      </c>
      <c r="L16" t="str">
        <f t="shared" si="6"/>
        <v>Enero</v>
      </c>
      <c r="M16" t="s">
        <v>28</v>
      </c>
      <c r="N16" t="str">
        <f t="shared" ref="N16:N79" si="12">_xlfn.CONCAT("{ nombre: ",H16,PROPER(A16)," ",PROPER(B16),", ",PROPER(C16)," ",D16," ",PROPER(E16),""",",F16,G16,".mp3",H16,", fecha: `${year}-",0,I16,"-",J16,"` },")</f>
        <v>{ nombre: "Tiempo Ordinario, Semana 1 Martes", archivo: "/salterios/src/evan/audios/tos01martes.mp3", fecha: `${year}-01-14` },</v>
      </c>
    </row>
    <row r="17" spans="1:14" x14ac:dyDescent="0.25">
      <c r="A17" t="s">
        <v>0</v>
      </c>
      <c r="B17" t="str">
        <f t="shared" si="7"/>
        <v>ordinario</v>
      </c>
      <c r="C17" t="s">
        <v>2</v>
      </c>
      <c r="D17" s="2">
        <f t="shared" si="10"/>
        <v>1</v>
      </c>
      <c r="E17" t="s">
        <v>5</v>
      </c>
      <c r="F17" t="s">
        <v>17</v>
      </c>
      <c r="G17" s="1" t="str">
        <f t="shared" si="8"/>
        <v>tos01miercoles</v>
      </c>
      <c r="H17" t="s">
        <v>15</v>
      </c>
      <c r="I17">
        <f t="shared" si="9"/>
        <v>1</v>
      </c>
      <c r="J17">
        <f t="shared" si="11"/>
        <v>15</v>
      </c>
      <c r="K17" t="s">
        <v>27</v>
      </c>
      <c r="L17" t="str">
        <f t="shared" si="6"/>
        <v>Enero</v>
      </c>
      <c r="M17" t="s">
        <v>28</v>
      </c>
      <c r="N17" t="str">
        <f t="shared" si="12"/>
        <v>{ nombre: "Tiempo Ordinario, Semana 1 Miercoles", archivo: "/salterios/src/evan/audios/tos01miercoles.mp3", fecha: `${year}-01-15` },</v>
      </c>
    </row>
    <row r="18" spans="1:14" x14ac:dyDescent="0.25">
      <c r="A18" t="s">
        <v>0</v>
      </c>
      <c r="B18" t="str">
        <f t="shared" si="7"/>
        <v>ordinario</v>
      </c>
      <c r="C18" t="s">
        <v>2</v>
      </c>
      <c r="D18" s="2">
        <f t="shared" si="10"/>
        <v>1</v>
      </c>
      <c r="E18" t="s">
        <v>6</v>
      </c>
      <c r="F18" t="s">
        <v>17</v>
      </c>
      <c r="G18" s="1" t="str">
        <f t="shared" si="8"/>
        <v>tos01jueves</v>
      </c>
      <c r="H18" t="s">
        <v>15</v>
      </c>
      <c r="I18">
        <f t="shared" si="9"/>
        <v>1</v>
      </c>
      <c r="J18">
        <f t="shared" si="11"/>
        <v>16</v>
      </c>
      <c r="K18" t="s">
        <v>27</v>
      </c>
      <c r="L18" t="str">
        <f t="shared" si="6"/>
        <v>Enero</v>
      </c>
      <c r="M18" t="s">
        <v>28</v>
      </c>
      <c r="N18" t="str">
        <f t="shared" si="12"/>
        <v>{ nombre: "Tiempo Ordinario, Semana 1 Jueves", archivo: "/salterios/src/evan/audios/tos01jueves.mp3", fecha: `${year}-01-16` },</v>
      </c>
    </row>
    <row r="19" spans="1:14" x14ac:dyDescent="0.25">
      <c r="A19" t="s">
        <v>0</v>
      </c>
      <c r="B19" t="str">
        <f t="shared" si="7"/>
        <v>ordinario</v>
      </c>
      <c r="C19" t="s">
        <v>2</v>
      </c>
      <c r="D19" s="2">
        <f t="shared" si="10"/>
        <v>1</v>
      </c>
      <c r="E19" t="s">
        <v>7</v>
      </c>
      <c r="F19" t="s">
        <v>17</v>
      </c>
      <c r="G19" s="1" t="str">
        <f t="shared" si="8"/>
        <v>tos01viernes</v>
      </c>
      <c r="H19" t="s">
        <v>15</v>
      </c>
      <c r="I19">
        <f t="shared" si="9"/>
        <v>1</v>
      </c>
      <c r="J19">
        <f t="shared" si="11"/>
        <v>17</v>
      </c>
      <c r="K19" t="s">
        <v>27</v>
      </c>
      <c r="L19" t="str">
        <f t="shared" si="6"/>
        <v>Enero</v>
      </c>
      <c r="M19" t="s">
        <v>28</v>
      </c>
      <c r="N19" t="str">
        <f t="shared" si="12"/>
        <v>{ nombre: "Tiempo Ordinario, Semana 1 Viernes", archivo: "/salterios/src/evan/audios/tos01viernes.mp3", fecha: `${year}-01-17` },</v>
      </c>
    </row>
    <row r="20" spans="1:14" x14ac:dyDescent="0.25">
      <c r="A20" t="s">
        <v>0</v>
      </c>
      <c r="B20" t="str">
        <f t="shared" si="7"/>
        <v>ordinario</v>
      </c>
      <c r="C20" t="s">
        <v>2</v>
      </c>
      <c r="D20" s="2">
        <f t="shared" ref="D20" si="13">D19</f>
        <v>1</v>
      </c>
      <c r="E20" t="s">
        <v>8</v>
      </c>
      <c r="F20" t="s">
        <v>17</v>
      </c>
      <c r="G20" s="1" t="str">
        <f t="shared" ref="G20" si="14">_xlfn.CONCAT(LEFT(A20,1),LEFT(B20,1),LEFT(C20,1),"0",D20,E20)</f>
        <v>tos01sabado</v>
      </c>
      <c r="H20" t="s">
        <v>15</v>
      </c>
      <c r="I20">
        <f t="shared" si="9"/>
        <v>1</v>
      </c>
      <c r="J20">
        <f t="shared" si="11"/>
        <v>18</v>
      </c>
      <c r="K20" t="s">
        <v>27</v>
      </c>
      <c r="L20" t="str">
        <f t="shared" si="6"/>
        <v>Enero</v>
      </c>
      <c r="M20" t="s">
        <v>28</v>
      </c>
      <c r="N20" t="str">
        <f t="shared" si="12"/>
        <v>{ nombre: "Tiempo Ordinario, Semana 1 Sabado", archivo: "/salterios/src/evan/audios/tos01sabado.mp3", fecha: `${year}-01-18` },</v>
      </c>
    </row>
    <row r="21" spans="1:14" x14ac:dyDescent="0.25">
      <c r="A21" t="s">
        <v>0</v>
      </c>
      <c r="B21" t="str">
        <f t="shared" si="7"/>
        <v>ordinario</v>
      </c>
      <c r="C21" t="s">
        <v>2</v>
      </c>
      <c r="D21" s="2">
        <f>+D20+1</f>
        <v>2</v>
      </c>
      <c r="E21" t="s">
        <v>9</v>
      </c>
      <c r="F21" t="s">
        <v>17</v>
      </c>
      <c r="G21" s="1" t="str">
        <f>_xlfn.CONCAT(LEFT(A21,1),LEFT(B21,1),LEFT(C21,1),"0",D21,E21)</f>
        <v>tos02domingo</v>
      </c>
      <c r="H21" t="s">
        <v>15</v>
      </c>
      <c r="I21">
        <f t="shared" si="9"/>
        <v>1</v>
      </c>
      <c r="J21">
        <f t="shared" si="11"/>
        <v>19</v>
      </c>
      <c r="K21" t="s">
        <v>27</v>
      </c>
      <c r="L21" t="str">
        <f t="shared" si="6"/>
        <v>Enero</v>
      </c>
      <c r="M21" t="s">
        <v>28</v>
      </c>
      <c r="N21" t="str">
        <f t="shared" si="12"/>
        <v>{ nombre: "Tiempo Ordinario, Semana 2 Domingo", archivo: "/salterios/src/evan/audios/tos02domingo.mp3", fecha: `${year}-01-19` },</v>
      </c>
    </row>
    <row r="22" spans="1:14" x14ac:dyDescent="0.25">
      <c r="A22" t="s">
        <v>0</v>
      </c>
      <c r="B22" t="str">
        <f t="shared" si="7"/>
        <v>ordinario</v>
      </c>
      <c r="C22" t="s">
        <v>2</v>
      </c>
      <c r="D22" s="2">
        <f>D21</f>
        <v>2</v>
      </c>
      <c r="E22" t="s">
        <v>3</v>
      </c>
      <c r="F22" t="s">
        <v>17</v>
      </c>
      <c r="G22" s="1" t="str">
        <f t="shared" ref="G22:G27" si="15">_xlfn.CONCAT(LEFT(A22,1),LEFT(B22,1),LEFT(C22,1),"0",D22,E22)</f>
        <v>tos02lunes</v>
      </c>
      <c r="H22" t="s">
        <v>15</v>
      </c>
      <c r="I22">
        <f t="shared" si="9"/>
        <v>1</v>
      </c>
      <c r="J22">
        <f t="shared" si="11"/>
        <v>20</v>
      </c>
      <c r="K22" t="s">
        <v>27</v>
      </c>
      <c r="L22" t="str">
        <f t="shared" si="6"/>
        <v>Enero</v>
      </c>
      <c r="M22" t="s">
        <v>28</v>
      </c>
      <c r="N22" t="str">
        <f t="shared" si="12"/>
        <v>{ nombre: "Tiempo Ordinario, Semana 2 Lunes", archivo: "/salterios/src/evan/audios/tos02lunes.mp3", fecha: `${year}-01-20` },</v>
      </c>
    </row>
    <row r="23" spans="1:14" x14ac:dyDescent="0.25">
      <c r="A23" t="s">
        <v>0</v>
      </c>
      <c r="B23" t="str">
        <f t="shared" si="7"/>
        <v>ordinario</v>
      </c>
      <c r="C23" t="s">
        <v>2</v>
      </c>
      <c r="D23" s="2">
        <f t="shared" ref="D23:D27" si="16">D22</f>
        <v>2</v>
      </c>
      <c r="E23" t="s">
        <v>4</v>
      </c>
      <c r="F23" t="s">
        <v>17</v>
      </c>
      <c r="G23" s="1" t="str">
        <f t="shared" si="15"/>
        <v>tos02martes</v>
      </c>
      <c r="H23" t="s">
        <v>15</v>
      </c>
      <c r="I23">
        <f t="shared" si="9"/>
        <v>1</v>
      </c>
      <c r="J23">
        <f t="shared" si="11"/>
        <v>21</v>
      </c>
      <c r="K23" t="s">
        <v>27</v>
      </c>
      <c r="L23" t="str">
        <f t="shared" si="6"/>
        <v>Enero</v>
      </c>
      <c r="M23" t="s">
        <v>28</v>
      </c>
      <c r="N23" t="str">
        <f t="shared" si="12"/>
        <v>{ nombre: "Tiempo Ordinario, Semana 2 Martes", archivo: "/salterios/src/evan/audios/tos02martes.mp3", fecha: `${year}-01-21` },</v>
      </c>
    </row>
    <row r="24" spans="1:14" x14ac:dyDescent="0.25">
      <c r="A24" t="s">
        <v>0</v>
      </c>
      <c r="B24" t="str">
        <f t="shared" si="7"/>
        <v>ordinario</v>
      </c>
      <c r="C24" t="s">
        <v>2</v>
      </c>
      <c r="D24" s="2">
        <f t="shared" si="16"/>
        <v>2</v>
      </c>
      <c r="E24" t="s">
        <v>5</v>
      </c>
      <c r="F24" t="s">
        <v>17</v>
      </c>
      <c r="G24" s="1" t="str">
        <f t="shared" si="15"/>
        <v>tos02miercoles</v>
      </c>
      <c r="H24" t="s">
        <v>15</v>
      </c>
      <c r="I24">
        <f t="shared" si="9"/>
        <v>1</v>
      </c>
      <c r="J24">
        <f t="shared" si="11"/>
        <v>22</v>
      </c>
      <c r="K24" t="s">
        <v>27</v>
      </c>
      <c r="L24" t="str">
        <f t="shared" si="6"/>
        <v>Enero</v>
      </c>
      <c r="M24" t="s">
        <v>28</v>
      </c>
      <c r="N24" t="str">
        <f t="shared" si="12"/>
        <v>{ nombre: "Tiempo Ordinario, Semana 2 Miercoles", archivo: "/salterios/src/evan/audios/tos02miercoles.mp3", fecha: `${year}-01-22` },</v>
      </c>
    </row>
    <row r="25" spans="1:14" x14ac:dyDescent="0.25">
      <c r="A25" t="s">
        <v>0</v>
      </c>
      <c r="B25" t="str">
        <f t="shared" si="7"/>
        <v>ordinario</v>
      </c>
      <c r="C25" t="s">
        <v>2</v>
      </c>
      <c r="D25" s="2">
        <f t="shared" si="16"/>
        <v>2</v>
      </c>
      <c r="E25" t="s">
        <v>6</v>
      </c>
      <c r="F25" t="s">
        <v>17</v>
      </c>
      <c r="G25" s="1" t="str">
        <f t="shared" si="15"/>
        <v>tos02jueves</v>
      </c>
      <c r="H25" t="s">
        <v>15</v>
      </c>
      <c r="I25">
        <f t="shared" si="9"/>
        <v>1</v>
      </c>
      <c r="J25">
        <f t="shared" si="11"/>
        <v>23</v>
      </c>
      <c r="K25" t="s">
        <v>27</v>
      </c>
      <c r="L25" t="str">
        <f t="shared" si="6"/>
        <v>Enero</v>
      </c>
      <c r="M25" t="s">
        <v>28</v>
      </c>
      <c r="N25" t="str">
        <f t="shared" si="12"/>
        <v>{ nombre: "Tiempo Ordinario, Semana 2 Jueves", archivo: "/salterios/src/evan/audios/tos02jueves.mp3", fecha: `${year}-01-23` },</v>
      </c>
    </row>
    <row r="26" spans="1:14" x14ac:dyDescent="0.25">
      <c r="A26" t="s">
        <v>0</v>
      </c>
      <c r="B26" t="str">
        <f t="shared" si="7"/>
        <v>ordinario</v>
      </c>
      <c r="C26" t="s">
        <v>2</v>
      </c>
      <c r="D26" s="2">
        <f t="shared" si="16"/>
        <v>2</v>
      </c>
      <c r="E26" t="s">
        <v>7</v>
      </c>
      <c r="F26" t="s">
        <v>17</v>
      </c>
      <c r="G26" s="1" t="str">
        <f t="shared" si="15"/>
        <v>tos02viernes</v>
      </c>
      <c r="H26" t="s">
        <v>15</v>
      </c>
      <c r="I26">
        <f t="shared" si="9"/>
        <v>1</v>
      </c>
      <c r="J26">
        <f t="shared" si="11"/>
        <v>24</v>
      </c>
      <c r="K26" t="s">
        <v>27</v>
      </c>
      <c r="L26" t="str">
        <f t="shared" si="6"/>
        <v>Enero</v>
      </c>
      <c r="M26" t="s">
        <v>28</v>
      </c>
      <c r="N26" t="str">
        <f t="shared" si="12"/>
        <v>{ nombre: "Tiempo Ordinario, Semana 2 Viernes", archivo: "/salterios/src/evan/audios/tos02viernes.mp3", fecha: `${year}-01-24` },</v>
      </c>
    </row>
    <row r="27" spans="1:14" x14ac:dyDescent="0.25">
      <c r="A27" t="s">
        <v>0</v>
      </c>
      <c r="B27" t="str">
        <f t="shared" si="7"/>
        <v>ordinario</v>
      </c>
      <c r="C27" t="s">
        <v>2</v>
      </c>
      <c r="D27" s="2">
        <f t="shared" si="16"/>
        <v>2</v>
      </c>
      <c r="E27" t="s">
        <v>8</v>
      </c>
      <c r="F27" t="s">
        <v>17</v>
      </c>
      <c r="G27" s="1" t="str">
        <f t="shared" si="15"/>
        <v>tos02sabado</v>
      </c>
      <c r="H27" t="s">
        <v>15</v>
      </c>
      <c r="I27">
        <f t="shared" si="9"/>
        <v>1</v>
      </c>
      <c r="J27">
        <f t="shared" si="11"/>
        <v>25</v>
      </c>
      <c r="K27" t="s">
        <v>27</v>
      </c>
      <c r="L27" t="str">
        <f t="shared" si="6"/>
        <v>Enero</v>
      </c>
      <c r="M27" t="s">
        <v>28</v>
      </c>
      <c r="N27" t="str">
        <f t="shared" si="12"/>
        <v>{ nombre: "Tiempo Ordinario, Semana 2 Sabado", archivo: "/salterios/src/evan/audios/tos02sabado.mp3", fecha: `${year}-01-25` },</v>
      </c>
    </row>
    <row r="28" spans="1:14" x14ac:dyDescent="0.25">
      <c r="A28" t="s">
        <v>0</v>
      </c>
      <c r="B28" t="str">
        <f t="shared" si="7"/>
        <v>ordinario</v>
      </c>
      <c r="C28" t="s">
        <v>2</v>
      </c>
      <c r="D28" s="2">
        <f>+D27+1</f>
        <v>3</v>
      </c>
      <c r="E28" t="s">
        <v>9</v>
      </c>
      <c r="F28" t="s">
        <v>17</v>
      </c>
      <c r="G28" s="1" t="str">
        <f>_xlfn.CONCAT(LEFT(A28,1),LEFT(B28,1),LEFT(C28,1),"0",D28,E28)</f>
        <v>tos03domingo</v>
      </c>
      <c r="H28" t="s">
        <v>15</v>
      </c>
      <c r="I28">
        <f t="shared" si="9"/>
        <v>1</v>
      </c>
      <c r="J28">
        <f t="shared" si="11"/>
        <v>26</v>
      </c>
      <c r="K28" t="s">
        <v>27</v>
      </c>
      <c r="L28" t="str">
        <f t="shared" si="6"/>
        <v>Enero</v>
      </c>
      <c r="M28" t="s">
        <v>28</v>
      </c>
      <c r="N28" t="str">
        <f t="shared" si="12"/>
        <v>{ nombre: "Tiempo Ordinario, Semana 3 Domingo", archivo: "/salterios/src/evan/audios/tos03domingo.mp3", fecha: `${year}-01-26` },</v>
      </c>
    </row>
    <row r="29" spans="1:14" x14ac:dyDescent="0.25">
      <c r="A29" t="s">
        <v>0</v>
      </c>
      <c r="B29" t="str">
        <f t="shared" si="7"/>
        <v>ordinario</v>
      </c>
      <c r="C29" t="s">
        <v>2</v>
      </c>
      <c r="D29" s="2">
        <f>D28</f>
        <v>3</v>
      </c>
      <c r="E29" t="s">
        <v>3</v>
      </c>
      <c r="F29" t="s">
        <v>17</v>
      </c>
      <c r="G29" s="1" t="str">
        <f t="shared" ref="G29:G34" si="17">_xlfn.CONCAT(LEFT(A29,1),LEFT(B29,1),LEFT(C29,1),"0",D29,E29)</f>
        <v>tos03lunes</v>
      </c>
      <c r="H29" t="s">
        <v>15</v>
      </c>
      <c r="I29">
        <f t="shared" si="9"/>
        <v>1</v>
      </c>
      <c r="J29">
        <f t="shared" ref="J29:J35" si="18">+J28+1</f>
        <v>27</v>
      </c>
      <c r="K29" t="s">
        <v>27</v>
      </c>
      <c r="L29" t="str">
        <f t="shared" si="6"/>
        <v>Enero</v>
      </c>
      <c r="M29" t="s">
        <v>28</v>
      </c>
      <c r="N29" t="str">
        <f t="shared" si="12"/>
        <v>{ nombre: "Tiempo Ordinario, Semana 3 Lunes", archivo: "/salterios/src/evan/audios/tos03lunes.mp3", fecha: `${year}-01-27` },</v>
      </c>
    </row>
    <row r="30" spans="1:14" x14ac:dyDescent="0.25">
      <c r="A30" t="s">
        <v>0</v>
      </c>
      <c r="B30" t="str">
        <f t="shared" si="7"/>
        <v>ordinario</v>
      </c>
      <c r="C30" t="s">
        <v>2</v>
      </c>
      <c r="D30" s="2">
        <f t="shared" ref="D30:D34" si="19">D29</f>
        <v>3</v>
      </c>
      <c r="E30" t="s">
        <v>4</v>
      </c>
      <c r="F30" t="s">
        <v>17</v>
      </c>
      <c r="G30" s="1" t="str">
        <f t="shared" si="17"/>
        <v>tos03martes</v>
      </c>
      <c r="H30" t="s">
        <v>15</v>
      </c>
      <c r="I30">
        <f t="shared" si="9"/>
        <v>1</v>
      </c>
      <c r="J30">
        <f t="shared" si="18"/>
        <v>28</v>
      </c>
      <c r="K30" t="s">
        <v>27</v>
      </c>
      <c r="L30" t="str">
        <f t="shared" si="6"/>
        <v>Enero</v>
      </c>
      <c r="M30" t="s">
        <v>28</v>
      </c>
      <c r="N30" t="str">
        <f t="shared" si="12"/>
        <v>{ nombre: "Tiempo Ordinario, Semana 3 Martes", archivo: "/salterios/src/evan/audios/tos03martes.mp3", fecha: `${year}-01-28` },</v>
      </c>
    </row>
    <row r="31" spans="1:14" x14ac:dyDescent="0.25">
      <c r="A31" t="s">
        <v>0</v>
      </c>
      <c r="B31" t="str">
        <f t="shared" si="7"/>
        <v>ordinario</v>
      </c>
      <c r="C31" t="s">
        <v>2</v>
      </c>
      <c r="D31" s="2">
        <f t="shared" si="19"/>
        <v>3</v>
      </c>
      <c r="E31" t="s">
        <v>5</v>
      </c>
      <c r="F31" t="s">
        <v>17</v>
      </c>
      <c r="G31" s="1" t="str">
        <f t="shared" si="17"/>
        <v>tos03miercoles</v>
      </c>
      <c r="H31" t="s">
        <v>15</v>
      </c>
      <c r="I31">
        <f t="shared" si="9"/>
        <v>1</v>
      </c>
      <c r="J31">
        <f t="shared" si="18"/>
        <v>29</v>
      </c>
      <c r="K31" t="s">
        <v>27</v>
      </c>
      <c r="L31" t="str">
        <f t="shared" si="6"/>
        <v>Enero</v>
      </c>
      <c r="M31" t="s">
        <v>28</v>
      </c>
      <c r="N31" t="str">
        <f t="shared" si="12"/>
        <v>{ nombre: "Tiempo Ordinario, Semana 3 Miercoles", archivo: "/salterios/src/evan/audios/tos03miercoles.mp3", fecha: `${year}-01-29` },</v>
      </c>
    </row>
    <row r="32" spans="1:14" x14ac:dyDescent="0.25">
      <c r="A32" t="s">
        <v>0</v>
      </c>
      <c r="B32" t="str">
        <f t="shared" si="7"/>
        <v>ordinario</v>
      </c>
      <c r="C32" t="s">
        <v>2</v>
      </c>
      <c r="D32" s="2">
        <f t="shared" si="19"/>
        <v>3</v>
      </c>
      <c r="E32" t="s">
        <v>6</v>
      </c>
      <c r="F32" t="s">
        <v>17</v>
      </c>
      <c r="G32" s="1" t="str">
        <f t="shared" si="17"/>
        <v>tos03jueves</v>
      </c>
      <c r="H32" t="s">
        <v>15</v>
      </c>
      <c r="I32">
        <f t="shared" si="9"/>
        <v>1</v>
      </c>
      <c r="J32">
        <f t="shared" si="18"/>
        <v>30</v>
      </c>
      <c r="K32" t="s">
        <v>27</v>
      </c>
      <c r="L32" t="str">
        <f t="shared" si="6"/>
        <v>Enero</v>
      </c>
      <c r="M32" t="s">
        <v>28</v>
      </c>
      <c r="N32" t="str">
        <f t="shared" si="12"/>
        <v>{ nombre: "Tiempo Ordinario, Semana 3 Jueves", archivo: "/salterios/src/evan/audios/tos03jueves.mp3", fecha: `${year}-01-30` },</v>
      </c>
    </row>
    <row r="33" spans="1:14" x14ac:dyDescent="0.25">
      <c r="A33" t="s">
        <v>0</v>
      </c>
      <c r="B33" t="str">
        <f t="shared" si="7"/>
        <v>ordinario</v>
      </c>
      <c r="C33" t="s">
        <v>2</v>
      </c>
      <c r="D33" s="2">
        <f t="shared" si="19"/>
        <v>3</v>
      </c>
      <c r="E33" t="s">
        <v>7</v>
      </c>
      <c r="F33" t="s">
        <v>17</v>
      </c>
      <c r="G33" s="1" t="str">
        <f t="shared" si="17"/>
        <v>tos03viernes</v>
      </c>
      <c r="H33" t="s">
        <v>15</v>
      </c>
      <c r="I33">
        <f t="shared" si="9"/>
        <v>1</v>
      </c>
      <c r="J33">
        <f t="shared" si="18"/>
        <v>31</v>
      </c>
      <c r="K33" t="s">
        <v>27</v>
      </c>
      <c r="L33" t="str">
        <f t="shared" si="6"/>
        <v>Enero</v>
      </c>
      <c r="M33" t="s">
        <v>28</v>
      </c>
      <c r="N33" t="str">
        <f t="shared" si="12"/>
        <v>{ nombre: "Tiempo Ordinario, Semana 3 Viernes", archivo: "/salterios/src/evan/audios/tos03viernes.mp3", fecha: `${year}-01-31` },</v>
      </c>
    </row>
    <row r="34" spans="1:14" x14ac:dyDescent="0.25">
      <c r="A34" t="s">
        <v>0</v>
      </c>
      <c r="B34" t="str">
        <f t="shared" si="7"/>
        <v>ordinario</v>
      </c>
      <c r="C34" t="s">
        <v>2</v>
      </c>
      <c r="D34" s="2">
        <f t="shared" si="19"/>
        <v>3</v>
      </c>
      <c r="E34" t="s">
        <v>8</v>
      </c>
      <c r="F34" t="s">
        <v>17</v>
      </c>
      <c r="G34" s="1" t="str">
        <f t="shared" si="17"/>
        <v>tos03sabado</v>
      </c>
      <c r="H34" t="s">
        <v>15</v>
      </c>
      <c r="I34">
        <v>2</v>
      </c>
      <c r="J34">
        <v>1</v>
      </c>
      <c r="K34" t="s">
        <v>27</v>
      </c>
      <c r="L34" t="str">
        <f t="shared" si="6"/>
        <v>Febrero</v>
      </c>
      <c r="M34" t="s">
        <v>28</v>
      </c>
      <c r="N34" t="str">
        <f t="shared" si="12"/>
        <v>{ nombre: "Tiempo Ordinario, Semana 3 Sabado", archivo: "/salterios/src/evan/audios/tos03sabado.mp3", fecha: `${year}-02-1` },</v>
      </c>
    </row>
    <row r="35" spans="1:14" x14ac:dyDescent="0.25">
      <c r="A35" t="s">
        <v>0</v>
      </c>
      <c r="B35" t="str">
        <f t="shared" si="7"/>
        <v>ordinario</v>
      </c>
      <c r="C35" t="s">
        <v>2</v>
      </c>
      <c r="D35" s="2">
        <f>+D34+1</f>
        <v>4</v>
      </c>
      <c r="E35" t="s">
        <v>9</v>
      </c>
      <c r="F35" t="s">
        <v>17</v>
      </c>
      <c r="G35" s="1" t="str">
        <f>_xlfn.CONCAT(LEFT(A35,1),LEFT(B35,1),LEFT(C35,1),"0",D35,E35)</f>
        <v>tos04domingo</v>
      </c>
      <c r="H35" t="s">
        <v>15</v>
      </c>
      <c r="I35">
        <f t="shared" si="9"/>
        <v>2</v>
      </c>
      <c r="J35">
        <f t="shared" si="18"/>
        <v>2</v>
      </c>
      <c r="K35" t="s">
        <v>27</v>
      </c>
      <c r="L35" t="str">
        <f t="shared" si="6"/>
        <v>Febrero</v>
      </c>
      <c r="M35" t="s">
        <v>28</v>
      </c>
      <c r="N35" t="str">
        <f t="shared" si="12"/>
        <v>{ nombre: "Tiempo Ordinario, Semana 4 Domingo", archivo: "/salterios/src/evan/audios/tos04domingo.mp3", fecha: `${year}-02-2` },</v>
      </c>
    </row>
    <row r="36" spans="1:14" x14ac:dyDescent="0.25">
      <c r="A36" t="s">
        <v>0</v>
      </c>
      <c r="B36" t="str">
        <f>B35</f>
        <v>ordinario</v>
      </c>
      <c r="C36" t="s">
        <v>2</v>
      </c>
      <c r="D36" s="2">
        <f>D35</f>
        <v>4</v>
      </c>
      <c r="E36" t="s">
        <v>3</v>
      </c>
      <c r="F36" t="s">
        <v>17</v>
      </c>
      <c r="G36" s="1" t="str">
        <f t="shared" ref="G36:G41" si="20">_xlfn.CONCAT(LEFT(A36,1),LEFT(B36,1),LEFT(C36,1),"0",D36,E36)</f>
        <v>tos04lunes</v>
      </c>
      <c r="H36" t="s">
        <v>15</v>
      </c>
      <c r="I36">
        <f t="shared" si="9"/>
        <v>2</v>
      </c>
      <c r="J36">
        <f t="shared" ref="J36:J61" si="21">+J35+1</f>
        <v>3</v>
      </c>
      <c r="K36" t="s">
        <v>27</v>
      </c>
      <c r="L36" t="str">
        <f t="shared" si="6"/>
        <v>Febrero</v>
      </c>
      <c r="M36" t="s">
        <v>28</v>
      </c>
      <c r="N36" t="str">
        <f t="shared" si="12"/>
        <v>{ nombre: "Tiempo Ordinario, Semana 4 Lunes", archivo: "/salterios/src/evan/audios/tos04lunes.mp3", fecha: `${year}-02-3` },</v>
      </c>
    </row>
    <row r="37" spans="1:14" x14ac:dyDescent="0.25">
      <c r="A37" t="s">
        <v>0</v>
      </c>
      <c r="B37" t="str">
        <f t="shared" ref="B37:B100" si="22">B36</f>
        <v>ordinario</v>
      </c>
      <c r="C37" t="s">
        <v>2</v>
      </c>
      <c r="D37" s="2">
        <f t="shared" ref="D37:D41" si="23">D36</f>
        <v>4</v>
      </c>
      <c r="E37" t="s">
        <v>4</v>
      </c>
      <c r="F37" t="s">
        <v>17</v>
      </c>
      <c r="G37" s="1" t="str">
        <f t="shared" si="20"/>
        <v>tos04martes</v>
      </c>
      <c r="H37" t="s">
        <v>15</v>
      </c>
      <c r="I37">
        <f t="shared" si="9"/>
        <v>2</v>
      </c>
      <c r="J37">
        <f t="shared" si="21"/>
        <v>4</v>
      </c>
      <c r="K37" t="s">
        <v>27</v>
      </c>
      <c r="L37" t="str">
        <f t="shared" si="6"/>
        <v>Febrero</v>
      </c>
      <c r="M37" t="s">
        <v>28</v>
      </c>
      <c r="N37" t="str">
        <f t="shared" si="12"/>
        <v>{ nombre: "Tiempo Ordinario, Semana 4 Martes", archivo: "/salterios/src/evan/audios/tos04martes.mp3", fecha: `${year}-02-4` },</v>
      </c>
    </row>
    <row r="38" spans="1:14" x14ac:dyDescent="0.25">
      <c r="A38" t="s">
        <v>0</v>
      </c>
      <c r="B38" t="str">
        <f t="shared" si="22"/>
        <v>ordinario</v>
      </c>
      <c r="C38" t="s">
        <v>2</v>
      </c>
      <c r="D38" s="2">
        <f t="shared" si="23"/>
        <v>4</v>
      </c>
      <c r="E38" t="s">
        <v>5</v>
      </c>
      <c r="F38" t="s">
        <v>17</v>
      </c>
      <c r="G38" s="1" t="str">
        <f t="shared" si="20"/>
        <v>tos04miercoles</v>
      </c>
      <c r="H38" t="s">
        <v>15</v>
      </c>
      <c r="I38">
        <f t="shared" si="9"/>
        <v>2</v>
      </c>
      <c r="J38">
        <f t="shared" si="21"/>
        <v>5</v>
      </c>
      <c r="K38" t="s">
        <v>27</v>
      </c>
      <c r="L38" t="str">
        <f t="shared" si="6"/>
        <v>Febrero</v>
      </c>
      <c r="M38" t="s">
        <v>28</v>
      </c>
      <c r="N38" t="str">
        <f t="shared" si="12"/>
        <v>{ nombre: "Tiempo Ordinario, Semana 4 Miercoles", archivo: "/salterios/src/evan/audios/tos04miercoles.mp3", fecha: `${year}-02-5` },</v>
      </c>
    </row>
    <row r="39" spans="1:14" x14ac:dyDescent="0.25">
      <c r="A39" t="s">
        <v>0</v>
      </c>
      <c r="B39" t="str">
        <f t="shared" si="22"/>
        <v>ordinario</v>
      </c>
      <c r="C39" t="s">
        <v>2</v>
      </c>
      <c r="D39" s="2">
        <f t="shared" si="23"/>
        <v>4</v>
      </c>
      <c r="E39" t="s">
        <v>6</v>
      </c>
      <c r="F39" t="s">
        <v>17</v>
      </c>
      <c r="G39" s="1" t="str">
        <f t="shared" si="20"/>
        <v>tos04jueves</v>
      </c>
      <c r="H39" t="s">
        <v>15</v>
      </c>
      <c r="I39">
        <f t="shared" si="9"/>
        <v>2</v>
      </c>
      <c r="J39">
        <f t="shared" si="21"/>
        <v>6</v>
      </c>
      <c r="K39" t="s">
        <v>27</v>
      </c>
      <c r="L39" t="str">
        <f t="shared" si="6"/>
        <v>Febrero</v>
      </c>
      <c r="M39" t="s">
        <v>28</v>
      </c>
      <c r="N39" t="str">
        <f t="shared" si="12"/>
        <v>{ nombre: "Tiempo Ordinario, Semana 4 Jueves", archivo: "/salterios/src/evan/audios/tos04jueves.mp3", fecha: `${year}-02-6` },</v>
      </c>
    </row>
    <row r="40" spans="1:14" x14ac:dyDescent="0.25">
      <c r="A40" t="s">
        <v>0</v>
      </c>
      <c r="B40" t="str">
        <f t="shared" si="22"/>
        <v>ordinario</v>
      </c>
      <c r="C40" t="s">
        <v>2</v>
      </c>
      <c r="D40" s="2">
        <f t="shared" si="23"/>
        <v>4</v>
      </c>
      <c r="E40" t="s">
        <v>7</v>
      </c>
      <c r="F40" t="s">
        <v>17</v>
      </c>
      <c r="G40" s="1" t="str">
        <f t="shared" si="20"/>
        <v>tos04viernes</v>
      </c>
      <c r="H40" t="s">
        <v>15</v>
      </c>
      <c r="I40">
        <f t="shared" si="9"/>
        <v>2</v>
      </c>
      <c r="J40">
        <f t="shared" si="21"/>
        <v>7</v>
      </c>
      <c r="K40" t="s">
        <v>27</v>
      </c>
      <c r="L40" t="str">
        <f t="shared" si="6"/>
        <v>Febrero</v>
      </c>
      <c r="M40" t="s">
        <v>28</v>
      </c>
      <c r="N40" t="str">
        <f t="shared" si="12"/>
        <v>{ nombre: "Tiempo Ordinario, Semana 4 Viernes", archivo: "/salterios/src/evan/audios/tos04viernes.mp3", fecha: `${year}-02-7` },</v>
      </c>
    </row>
    <row r="41" spans="1:14" x14ac:dyDescent="0.25">
      <c r="A41" t="s">
        <v>0</v>
      </c>
      <c r="B41" t="str">
        <f t="shared" si="22"/>
        <v>ordinario</v>
      </c>
      <c r="C41" t="s">
        <v>2</v>
      </c>
      <c r="D41" s="2">
        <f t="shared" si="23"/>
        <v>4</v>
      </c>
      <c r="E41" t="s">
        <v>8</v>
      </c>
      <c r="F41" t="s">
        <v>17</v>
      </c>
      <c r="G41" s="1" t="str">
        <f t="shared" si="20"/>
        <v>tos04sabado</v>
      </c>
      <c r="H41" t="s">
        <v>15</v>
      </c>
      <c r="I41">
        <f t="shared" si="9"/>
        <v>2</v>
      </c>
      <c r="J41">
        <f t="shared" si="21"/>
        <v>8</v>
      </c>
      <c r="K41" t="s">
        <v>27</v>
      </c>
      <c r="L41" t="str">
        <f t="shared" si="6"/>
        <v>Febrero</v>
      </c>
      <c r="M41" t="s">
        <v>28</v>
      </c>
      <c r="N41" t="str">
        <f t="shared" si="12"/>
        <v>{ nombre: "Tiempo Ordinario, Semana 4 Sabado", archivo: "/salterios/src/evan/audios/tos04sabado.mp3", fecha: `${year}-02-8` },</v>
      </c>
    </row>
    <row r="42" spans="1:14" x14ac:dyDescent="0.25">
      <c r="A42" t="s">
        <v>0</v>
      </c>
      <c r="B42" t="str">
        <f t="shared" si="22"/>
        <v>ordinario</v>
      </c>
      <c r="C42" t="s">
        <v>2</v>
      </c>
      <c r="D42" s="2">
        <f>+D41+1</f>
        <v>5</v>
      </c>
      <c r="E42" t="s">
        <v>9</v>
      </c>
      <c r="F42" t="s">
        <v>17</v>
      </c>
      <c r="G42" s="1" t="str">
        <f>_xlfn.CONCAT(LEFT(A42,1),LEFT(B42,1),LEFT(C42,1),"0",D42,E42)</f>
        <v>tos05domingo</v>
      </c>
      <c r="H42" t="s">
        <v>15</v>
      </c>
      <c r="I42">
        <f t="shared" si="9"/>
        <v>2</v>
      </c>
      <c r="J42">
        <f t="shared" si="21"/>
        <v>9</v>
      </c>
      <c r="K42" t="s">
        <v>27</v>
      </c>
      <c r="L42" t="str">
        <f t="shared" si="6"/>
        <v>Febrero</v>
      </c>
      <c r="M42" t="s">
        <v>28</v>
      </c>
      <c r="N42" t="str">
        <f t="shared" si="12"/>
        <v>{ nombre: "Tiempo Ordinario, Semana 5 Domingo", archivo: "/salterios/src/evan/audios/tos05domingo.mp3", fecha: `${year}-02-9` },</v>
      </c>
    </row>
    <row r="43" spans="1:14" x14ac:dyDescent="0.25">
      <c r="A43" t="s">
        <v>0</v>
      </c>
      <c r="B43" t="str">
        <f t="shared" si="22"/>
        <v>ordinario</v>
      </c>
      <c r="C43" t="s">
        <v>2</v>
      </c>
      <c r="D43" s="2">
        <f>D42</f>
        <v>5</v>
      </c>
      <c r="E43" t="s">
        <v>3</v>
      </c>
      <c r="F43" t="s">
        <v>17</v>
      </c>
      <c r="G43" s="1" t="str">
        <f t="shared" ref="G43:G48" si="24">_xlfn.CONCAT(LEFT(A43,1),LEFT(B43,1),LEFT(C43,1),"0",D43,E43)</f>
        <v>tos05lunes</v>
      </c>
      <c r="H43" t="s">
        <v>15</v>
      </c>
      <c r="I43">
        <f t="shared" si="9"/>
        <v>2</v>
      </c>
      <c r="J43">
        <f t="shared" si="21"/>
        <v>10</v>
      </c>
      <c r="K43" t="s">
        <v>27</v>
      </c>
      <c r="L43" t="str">
        <f t="shared" si="6"/>
        <v>Febrero</v>
      </c>
      <c r="M43" t="s">
        <v>28</v>
      </c>
      <c r="N43" t="str">
        <f t="shared" si="12"/>
        <v>{ nombre: "Tiempo Ordinario, Semana 5 Lunes", archivo: "/salterios/src/evan/audios/tos05lunes.mp3", fecha: `${year}-02-10` },</v>
      </c>
    </row>
    <row r="44" spans="1:14" x14ac:dyDescent="0.25">
      <c r="A44" t="s">
        <v>0</v>
      </c>
      <c r="B44" t="str">
        <f t="shared" si="22"/>
        <v>ordinario</v>
      </c>
      <c r="C44" t="s">
        <v>2</v>
      </c>
      <c r="D44" s="2">
        <f t="shared" ref="D44:D48" si="25">D43</f>
        <v>5</v>
      </c>
      <c r="E44" t="s">
        <v>4</v>
      </c>
      <c r="F44" t="s">
        <v>17</v>
      </c>
      <c r="G44" s="1" t="str">
        <f t="shared" si="24"/>
        <v>tos05martes</v>
      </c>
      <c r="H44" t="s">
        <v>15</v>
      </c>
      <c r="I44">
        <f t="shared" si="9"/>
        <v>2</v>
      </c>
      <c r="J44">
        <f t="shared" si="21"/>
        <v>11</v>
      </c>
      <c r="K44" t="s">
        <v>27</v>
      </c>
      <c r="L44" t="str">
        <f t="shared" si="6"/>
        <v>Febrero</v>
      </c>
      <c r="M44" t="s">
        <v>28</v>
      </c>
      <c r="N44" t="str">
        <f t="shared" si="12"/>
        <v>{ nombre: "Tiempo Ordinario, Semana 5 Martes", archivo: "/salterios/src/evan/audios/tos05martes.mp3", fecha: `${year}-02-11` },</v>
      </c>
    </row>
    <row r="45" spans="1:14" x14ac:dyDescent="0.25">
      <c r="A45" t="s">
        <v>0</v>
      </c>
      <c r="B45" t="str">
        <f t="shared" si="22"/>
        <v>ordinario</v>
      </c>
      <c r="C45" t="s">
        <v>2</v>
      </c>
      <c r="D45" s="2">
        <f t="shared" si="25"/>
        <v>5</v>
      </c>
      <c r="E45" t="s">
        <v>5</v>
      </c>
      <c r="F45" t="s">
        <v>17</v>
      </c>
      <c r="G45" s="1" t="str">
        <f t="shared" si="24"/>
        <v>tos05miercoles</v>
      </c>
      <c r="H45" t="s">
        <v>15</v>
      </c>
      <c r="I45">
        <f t="shared" si="9"/>
        <v>2</v>
      </c>
      <c r="J45">
        <f t="shared" si="21"/>
        <v>12</v>
      </c>
      <c r="K45" t="s">
        <v>27</v>
      </c>
      <c r="L45" t="str">
        <f t="shared" si="6"/>
        <v>Febrero</v>
      </c>
      <c r="M45" t="s">
        <v>28</v>
      </c>
      <c r="N45" t="str">
        <f t="shared" si="12"/>
        <v>{ nombre: "Tiempo Ordinario, Semana 5 Miercoles", archivo: "/salterios/src/evan/audios/tos05miercoles.mp3", fecha: `${year}-02-12` },</v>
      </c>
    </row>
    <row r="46" spans="1:14" x14ac:dyDescent="0.25">
      <c r="A46" t="s">
        <v>0</v>
      </c>
      <c r="B46" t="str">
        <f t="shared" si="22"/>
        <v>ordinario</v>
      </c>
      <c r="C46" t="s">
        <v>2</v>
      </c>
      <c r="D46" s="2">
        <f t="shared" si="25"/>
        <v>5</v>
      </c>
      <c r="E46" t="s">
        <v>6</v>
      </c>
      <c r="F46" t="s">
        <v>17</v>
      </c>
      <c r="G46" s="1" t="str">
        <f t="shared" si="24"/>
        <v>tos05jueves</v>
      </c>
      <c r="H46" t="s">
        <v>15</v>
      </c>
      <c r="I46">
        <f t="shared" si="9"/>
        <v>2</v>
      </c>
      <c r="J46">
        <f t="shared" si="21"/>
        <v>13</v>
      </c>
      <c r="K46" t="s">
        <v>27</v>
      </c>
      <c r="L46" t="str">
        <f t="shared" ref="L46:L77" si="26">IF(I46=1,"Enero",
IF(I46=2,"Febrero",
IF(I46=3,"Marzo",
IF(I46=4,"Abril",
IF(I46=5,"Mayo",
IF(I46=6,"Junio",
IF(I46=7,"Julio",
IF(I46=8,"Agosto",
IF(I46=9,"Septiembre",
IF(I46=10,"Octubre",
IF(I46=11,"Noviembre",
IF(I46=12,"Diciembre",""))))))))))))</f>
        <v>Febrero</v>
      </c>
      <c r="M46" t="s">
        <v>28</v>
      </c>
      <c r="N46" t="str">
        <f t="shared" si="12"/>
        <v>{ nombre: "Tiempo Ordinario, Semana 5 Jueves", archivo: "/salterios/src/evan/audios/tos05jueves.mp3", fecha: `${year}-02-13` },</v>
      </c>
    </row>
    <row r="47" spans="1:14" x14ac:dyDescent="0.25">
      <c r="A47" t="s">
        <v>0</v>
      </c>
      <c r="B47" t="str">
        <f t="shared" si="22"/>
        <v>ordinario</v>
      </c>
      <c r="C47" t="s">
        <v>2</v>
      </c>
      <c r="D47" s="2">
        <f t="shared" si="25"/>
        <v>5</v>
      </c>
      <c r="E47" t="s">
        <v>7</v>
      </c>
      <c r="F47" t="s">
        <v>17</v>
      </c>
      <c r="G47" s="1" t="str">
        <f t="shared" si="24"/>
        <v>tos05viernes</v>
      </c>
      <c r="H47" t="s">
        <v>15</v>
      </c>
      <c r="I47">
        <f t="shared" si="9"/>
        <v>2</v>
      </c>
      <c r="J47">
        <f t="shared" si="21"/>
        <v>14</v>
      </c>
      <c r="K47" t="s">
        <v>27</v>
      </c>
      <c r="L47" t="str">
        <f t="shared" si="26"/>
        <v>Febrero</v>
      </c>
      <c r="M47" t="s">
        <v>28</v>
      </c>
      <c r="N47" t="str">
        <f t="shared" si="12"/>
        <v>{ nombre: "Tiempo Ordinario, Semana 5 Viernes", archivo: "/salterios/src/evan/audios/tos05viernes.mp3", fecha: `${year}-02-14` },</v>
      </c>
    </row>
    <row r="48" spans="1:14" x14ac:dyDescent="0.25">
      <c r="A48" t="s">
        <v>0</v>
      </c>
      <c r="B48" t="str">
        <f t="shared" si="22"/>
        <v>ordinario</v>
      </c>
      <c r="C48" t="s">
        <v>2</v>
      </c>
      <c r="D48" s="2">
        <f t="shared" si="25"/>
        <v>5</v>
      </c>
      <c r="E48" t="s">
        <v>8</v>
      </c>
      <c r="F48" t="s">
        <v>17</v>
      </c>
      <c r="G48" s="1" t="str">
        <f t="shared" si="24"/>
        <v>tos05sabado</v>
      </c>
      <c r="H48" t="s">
        <v>15</v>
      </c>
      <c r="I48">
        <f t="shared" si="9"/>
        <v>2</v>
      </c>
      <c r="J48">
        <f t="shared" si="21"/>
        <v>15</v>
      </c>
      <c r="K48" t="s">
        <v>27</v>
      </c>
      <c r="L48" t="str">
        <f t="shared" si="26"/>
        <v>Febrero</v>
      </c>
      <c r="M48" t="s">
        <v>28</v>
      </c>
      <c r="N48" t="str">
        <f t="shared" si="12"/>
        <v>{ nombre: "Tiempo Ordinario, Semana 5 Sabado", archivo: "/salterios/src/evan/audios/tos05sabado.mp3", fecha: `${year}-02-15` },</v>
      </c>
    </row>
    <row r="49" spans="1:14" x14ac:dyDescent="0.25">
      <c r="A49" t="s">
        <v>0</v>
      </c>
      <c r="B49" t="str">
        <f t="shared" si="22"/>
        <v>ordinario</v>
      </c>
      <c r="C49" t="s">
        <v>2</v>
      </c>
      <c r="D49" s="2">
        <f>+D48+1</f>
        <v>6</v>
      </c>
      <c r="E49" t="s">
        <v>9</v>
      </c>
      <c r="F49" t="s">
        <v>17</v>
      </c>
      <c r="G49" s="1" t="str">
        <f>_xlfn.CONCAT(LEFT(A49,1),LEFT(B49,1),LEFT(C49,1),"0",D49,E49)</f>
        <v>tos06domingo</v>
      </c>
      <c r="H49" t="s">
        <v>15</v>
      </c>
      <c r="I49">
        <f t="shared" si="9"/>
        <v>2</v>
      </c>
      <c r="J49">
        <f t="shared" si="21"/>
        <v>16</v>
      </c>
      <c r="K49" t="s">
        <v>27</v>
      </c>
      <c r="L49" t="str">
        <f t="shared" si="26"/>
        <v>Febrero</v>
      </c>
      <c r="M49" t="s">
        <v>28</v>
      </c>
      <c r="N49" t="str">
        <f t="shared" si="12"/>
        <v>{ nombre: "Tiempo Ordinario, Semana 6 Domingo", archivo: "/salterios/src/evan/audios/tos06domingo.mp3", fecha: `${year}-02-16` },</v>
      </c>
    </row>
    <row r="50" spans="1:14" x14ac:dyDescent="0.25">
      <c r="A50" t="s">
        <v>0</v>
      </c>
      <c r="B50" t="str">
        <f t="shared" si="22"/>
        <v>ordinario</v>
      </c>
      <c r="C50" t="s">
        <v>2</v>
      </c>
      <c r="D50" s="2">
        <f>D49</f>
        <v>6</v>
      </c>
      <c r="E50" t="s">
        <v>3</v>
      </c>
      <c r="F50" t="s">
        <v>17</v>
      </c>
      <c r="G50" s="1" t="str">
        <f t="shared" ref="G50:G55" si="27">_xlfn.CONCAT(LEFT(A50,1),LEFT(B50,1),LEFT(C50,1),"0",D50,E50)</f>
        <v>tos06lunes</v>
      </c>
      <c r="H50" t="s">
        <v>15</v>
      </c>
      <c r="I50">
        <f t="shared" si="9"/>
        <v>2</v>
      </c>
      <c r="J50">
        <f t="shared" si="21"/>
        <v>17</v>
      </c>
      <c r="K50" t="s">
        <v>27</v>
      </c>
      <c r="L50" t="str">
        <f t="shared" si="26"/>
        <v>Febrero</v>
      </c>
      <c r="M50" t="s">
        <v>28</v>
      </c>
      <c r="N50" t="str">
        <f t="shared" si="12"/>
        <v>{ nombre: "Tiempo Ordinario, Semana 6 Lunes", archivo: "/salterios/src/evan/audios/tos06lunes.mp3", fecha: `${year}-02-17` },</v>
      </c>
    </row>
    <row r="51" spans="1:14" x14ac:dyDescent="0.25">
      <c r="A51" t="s">
        <v>0</v>
      </c>
      <c r="B51" t="str">
        <f t="shared" si="22"/>
        <v>ordinario</v>
      </c>
      <c r="C51" t="s">
        <v>2</v>
      </c>
      <c r="D51" s="2">
        <f t="shared" ref="D51:D55" si="28">D50</f>
        <v>6</v>
      </c>
      <c r="E51" t="s">
        <v>4</v>
      </c>
      <c r="F51" t="s">
        <v>17</v>
      </c>
      <c r="G51" s="1" t="str">
        <f t="shared" si="27"/>
        <v>tos06martes</v>
      </c>
      <c r="H51" t="s">
        <v>15</v>
      </c>
      <c r="I51">
        <f t="shared" si="9"/>
        <v>2</v>
      </c>
      <c r="J51">
        <f t="shared" si="21"/>
        <v>18</v>
      </c>
      <c r="K51" t="s">
        <v>27</v>
      </c>
      <c r="L51" t="str">
        <f t="shared" si="26"/>
        <v>Febrero</v>
      </c>
      <c r="M51" t="s">
        <v>28</v>
      </c>
      <c r="N51" t="str">
        <f t="shared" si="12"/>
        <v>{ nombre: "Tiempo Ordinario, Semana 6 Martes", archivo: "/salterios/src/evan/audios/tos06martes.mp3", fecha: `${year}-02-18` },</v>
      </c>
    </row>
    <row r="52" spans="1:14" x14ac:dyDescent="0.25">
      <c r="A52" t="s">
        <v>0</v>
      </c>
      <c r="B52" t="str">
        <f t="shared" si="22"/>
        <v>ordinario</v>
      </c>
      <c r="C52" t="s">
        <v>2</v>
      </c>
      <c r="D52" s="2">
        <f t="shared" si="28"/>
        <v>6</v>
      </c>
      <c r="E52" t="s">
        <v>5</v>
      </c>
      <c r="F52" t="s">
        <v>17</v>
      </c>
      <c r="G52" s="1" t="str">
        <f t="shared" si="27"/>
        <v>tos06miercoles</v>
      </c>
      <c r="H52" t="s">
        <v>15</v>
      </c>
      <c r="I52">
        <f t="shared" si="9"/>
        <v>2</v>
      </c>
      <c r="J52">
        <f t="shared" si="21"/>
        <v>19</v>
      </c>
      <c r="K52" t="s">
        <v>27</v>
      </c>
      <c r="L52" t="str">
        <f t="shared" si="26"/>
        <v>Febrero</v>
      </c>
      <c r="M52" t="s">
        <v>28</v>
      </c>
      <c r="N52" t="str">
        <f t="shared" si="12"/>
        <v>{ nombre: "Tiempo Ordinario, Semana 6 Miercoles", archivo: "/salterios/src/evan/audios/tos06miercoles.mp3", fecha: `${year}-02-19` },</v>
      </c>
    </row>
    <row r="53" spans="1:14" x14ac:dyDescent="0.25">
      <c r="A53" t="s">
        <v>0</v>
      </c>
      <c r="B53" t="str">
        <f t="shared" si="22"/>
        <v>ordinario</v>
      </c>
      <c r="C53" t="s">
        <v>2</v>
      </c>
      <c r="D53" s="2">
        <f t="shared" si="28"/>
        <v>6</v>
      </c>
      <c r="E53" t="s">
        <v>6</v>
      </c>
      <c r="F53" t="s">
        <v>17</v>
      </c>
      <c r="G53" s="1" t="str">
        <f t="shared" si="27"/>
        <v>tos06jueves</v>
      </c>
      <c r="H53" t="s">
        <v>15</v>
      </c>
      <c r="I53">
        <f t="shared" si="9"/>
        <v>2</v>
      </c>
      <c r="J53">
        <f t="shared" si="21"/>
        <v>20</v>
      </c>
      <c r="K53" t="s">
        <v>27</v>
      </c>
      <c r="L53" t="str">
        <f t="shared" si="26"/>
        <v>Febrero</v>
      </c>
      <c r="M53" t="s">
        <v>28</v>
      </c>
      <c r="N53" t="str">
        <f t="shared" si="12"/>
        <v>{ nombre: "Tiempo Ordinario, Semana 6 Jueves", archivo: "/salterios/src/evan/audios/tos06jueves.mp3", fecha: `${year}-02-20` },</v>
      </c>
    </row>
    <row r="54" spans="1:14" x14ac:dyDescent="0.25">
      <c r="A54" t="s">
        <v>0</v>
      </c>
      <c r="B54" t="str">
        <f t="shared" si="22"/>
        <v>ordinario</v>
      </c>
      <c r="C54" t="s">
        <v>2</v>
      </c>
      <c r="D54" s="2">
        <f t="shared" si="28"/>
        <v>6</v>
      </c>
      <c r="E54" t="s">
        <v>7</v>
      </c>
      <c r="F54" t="s">
        <v>17</v>
      </c>
      <c r="G54" s="1" t="str">
        <f t="shared" si="27"/>
        <v>tos06viernes</v>
      </c>
      <c r="H54" t="s">
        <v>15</v>
      </c>
      <c r="I54">
        <f t="shared" si="9"/>
        <v>2</v>
      </c>
      <c r="J54">
        <f t="shared" si="21"/>
        <v>21</v>
      </c>
      <c r="K54" t="s">
        <v>27</v>
      </c>
      <c r="L54" t="str">
        <f t="shared" si="26"/>
        <v>Febrero</v>
      </c>
      <c r="M54" t="s">
        <v>28</v>
      </c>
      <c r="N54" t="str">
        <f t="shared" si="12"/>
        <v>{ nombre: "Tiempo Ordinario, Semana 6 Viernes", archivo: "/salterios/src/evan/audios/tos06viernes.mp3", fecha: `${year}-02-21` },</v>
      </c>
    </row>
    <row r="55" spans="1:14" x14ac:dyDescent="0.25">
      <c r="A55" t="s">
        <v>0</v>
      </c>
      <c r="B55" t="str">
        <f t="shared" si="22"/>
        <v>ordinario</v>
      </c>
      <c r="C55" t="s">
        <v>2</v>
      </c>
      <c r="D55" s="2">
        <f t="shared" si="28"/>
        <v>6</v>
      </c>
      <c r="E55" t="s">
        <v>8</v>
      </c>
      <c r="F55" t="s">
        <v>17</v>
      </c>
      <c r="G55" s="1" t="str">
        <f t="shared" si="27"/>
        <v>tos06sabado</v>
      </c>
      <c r="H55" t="s">
        <v>15</v>
      </c>
      <c r="I55">
        <f t="shared" si="9"/>
        <v>2</v>
      </c>
      <c r="J55">
        <f t="shared" si="21"/>
        <v>22</v>
      </c>
      <c r="K55" t="s">
        <v>27</v>
      </c>
      <c r="L55" t="str">
        <f t="shared" si="26"/>
        <v>Febrero</v>
      </c>
      <c r="M55" t="s">
        <v>28</v>
      </c>
      <c r="N55" t="str">
        <f t="shared" si="12"/>
        <v>{ nombre: "Tiempo Ordinario, Semana 6 Sabado", archivo: "/salterios/src/evan/audios/tos06sabado.mp3", fecha: `${year}-02-22` },</v>
      </c>
    </row>
    <row r="56" spans="1:14" x14ac:dyDescent="0.25">
      <c r="A56" t="s">
        <v>0</v>
      </c>
      <c r="B56" t="str">
        <f t="shared" si="22"/>
        <v>ordinario</v>
      </c>
      <c r="C56" t="s">
        <v>2</v>
      </c>
      <c r="D56" s="2">
        <f>+D55+1</f>
        <v>7</v>
      </c>
      <c r="E56" t="s">
        <v>9</v>
      </c>
      <c r="F56" t="s">
        <v>17</v>
      </c>
      <c r="G56" s="1" t="str">
        <f>_xlfn.CONCAT(LEFT(A56,1),LEFT(B56,1),LEFT(C56,1),"0",D56,E56)</f>
        <v>tos07domingo</v>
      </c>
      <c r="H56" t="s">
        <v>15</v>
      </c>
      <c r="I56">
        <f t="shared" si="9"/>
        <v>2</v>
      </c>
      <c r="J56">
        <f t="shared" si="21"/>
        <v>23</v>
      </c>
      <c r="K56" t="s">
        <v>27</v>
      </c>
      <c r="L56" t="str">
        <f t="shared" si="26"/>
        <v>Febrero</v>
      </c>
      <c r="M56" t="s">
        <v>28</v>
      </c>
      <c r="N56" t="str">
        <f t="shared" si="12"/>
        <v>{ nombre: "Tiempo Ordinario, Semana 7 Domingo", archivo: "/salterios/src/evan/audios/tos07domingo.mp3", fecha: `${year}-02-23` },</v>
      </c>
    </row>
    <row r="57" spans="1:14" x14ac:dyDescent="0.25">
      <c r="A57" t="s">
        <v>0</v>
      </c>
      <c r="B57" t="str">
        <f t="shared" si="22"/>
        <v>ordinario</v>
      </c>
      <c r="C57" t="s">
        <v>2</v>
      </c>
      <c r="D57" s="2">
        <f>D56</f>
        <v>7</v>
      </c>
      <c r="E57" t="s">
        <v>3</v>
      </c>
      <c r="F57" t="s">
        <v>17</v>
      </c>
      <c r="G57" s="1" t="str">
        <f t="shared" ref="G57:G62" si="29">_xlfn.CONCAT(LEFT(A57,1),LEFT(B57,1),LEFT(C57,1),"0",D57,E57)</f>
        <v>tos07lunes</v>
      </c>
      <c r="H57" t="s">
        <v>15</v>
      </c>
      <c r="I57">
        <f t="shared" si="9"/>
        <v>2</v>
      </c>
      <c r="J57">
        <f t="shared" si="21"/>
        <v>24</v>
      </c>
      <c r="K57" t="s">
        <v>27</v>
      </c>
      <c r="L57" t="str">
        <f t="shared" si="26"/>
        <v>Febrero</v>
      </c>
      <c r="M57" t="s">
        <v>28</v>
      </c>
      <c r="N57" t="str">
        <f t="shared" si="12"/>
        <v>{ nombre: "Tiempo Ordinario, Semana 7 Lunes", archivo: "/salterios/src/evan/audios/tos07lunes.mp3", fecha: `${year}-02-24` },</v>
      </c>
    </row>
    <row r="58" spans="1:14" x14ac:dyDescent="0.25">
      <c r="A58" t="s">
        <v>0</v>
      </c>
      <c r="B58" t="str">
        <f t="shared" si="22"/>
        <v>ordinario</v>
      </c>
      <c r="C58" t="s">
        <v>2</v>
      </c>
      <c r="D58" s="2">
        <f t="shared" ref="D58:D62" si="30">D57</f>
        <v>7</v>
      </c>
      <c r="E58" t="s">
        <v>4</v>
      </c>
      <c r="F58" t="s">
        <v>17</v>
      </c>
      <c r="G58" s="1" t="str">
        <f t="shared" si="29"/>
        <v>tos07martes</v>
      </c>
      <c r="H58" t="s">
        <v>15</v>
      </c>
      <c r="I58">
        <f t="shared" si="9"/>
        <v>2</v>
      </c>
      <c r="J58">
        <f t="shared" si="21"/>
        <v>25</v>
      </c>
      <c r="K58" t="s">
        <v>27</v>
      </c>
      <c r="L58" t="str">
        <f t="shared" si="26"/>
        <v>Febrero</v>
      </c>
      <c r="M58" t="s">
        <v>28</v>
      </c>
      <c r="N58" t="str">
        <f t="shared" si="12"/>
        <v>{ nombre: "Tiempo Ordinario, Semana 7 Martes", archivo: "/salterios/src/evan/audios/tos07martes.mp3", fecha: `${year}-02-25` },</v>
      </c>
    </row>
    <row r="59" spans="1:14" x14ac:dyDescent="0.25">
      <c r="A59" t="s">
        <v>0</v>
      </c>
      <c r="B59" t="str">
        <f t="shared" si="22"/>
        <v>ordinario</v>
      </c>
      <c r="C59" t="s">
        <v>2</v>
      </c>
      <c r="D59" s="2">
        <f t="shared" si="30"/>
        <v>7</v>
      </c>
      <c r="E59" t="s">
        <v>5</v>
      </c>
      <c r="F59" t="s">
        <v>17</v>
      </c>
      <c r="G59" s="1" t="str">
        <f t="shared" si="29"/>
        <v>tos07miercoles</v>
      </c>
      <c r="H59" t="s">
        <v>15</v>
      </c>
      <c r="I59">
        <f t="shared" si="9"/>
        <v>2</v>
      </c>
      <c r="J59">
        <f t="shared" si="21"/>
        <v>26</v>
      </c>
      <c r="K59" t="s">
        <v>27</v>
      </c>
      <c r="L59" t="str">
        <f t="shared" si="26"/>
        <v>Febrero</v>
      </c>
      <c r="M59" t="s">
        <v>28</v>
      </c>
      <c r="N59" t="str">
        <f t="shared" si="12"/>
        <v>{ nombre: "Tiempo Ordinario, Semana 7 Miercoles", archivo: "/salterios/src/evan/audios/tos07miercoles.mp3", fecha: `${year}-02-26` },</v>
      </c>
    </row>
    <row r="60" spans="1:14" x14ac:dyDescent="0.25">
      <c r="A60" t="s">
        <v>0</v>
      </c>
      <c r="B60" t="str">
        <f t="shared" si="22"/>
        <v>ordinario</v>
      </c>
      <c r="C60" t="s">
        <v>2</v>
      </c>
      <c r="D60" s="2">
        <f t="shared" si="30"/>
        <v>7</v>
      </c>
      <c r="E60" t="s">
        <v>6</v>
      </c>
      <c r="F60" t="s">
        <v>17</v>
      </c>
      <c r="G60" s="1" t="str">
        <f t="shared" si="29"/>
        <v>tos07jueves</v>
      </c>
      <c r="H60" t="s">
        <v>15</v>
      </c>
      <c r="I60">
        <f t="shared" si="9"/>
        <v>2</v>
      </c>
      <c r="J60">
        <f t="shared" si="21"/>
        <v>27</v>
      </c>
      <c r="K60" t="s">
        <v>27</v>
      </c>
      <c r="L60" t="str">
        <f t="shared" si="26"/>
        <v>Febrero</v>
      </c>
      <c r="M60" t="s">
        <v>28</v>
      </c>
      <c r="N60" t="str">
        <f t="shared" si="12"/>
        <v>{ nombre: "Tiempo Ordinario, Semana 7 Jueves", archivo: "/salterios/src/evan/audios/tos07jueves.mp3", fecha: `${year}-02-27` },</v>
      </c>
    </row>
    <row r="61" spans="1:14" x14ac:dyDescent="0.25">
      <c r="A61" t="s">
        <v>0</v>
      </c>
      <c r="B61" t="str">
        <f t="shared" si="22"/>
        <v>ordinario</v>
      </c>
      <c r="C61" t="s">
        <v>2</v>
      </c>
      <c r="D61" s="2">
        <f t="shared" si="30"/>
        <v>7</v>
      </c>
      <c r="E61" t="s">
        <v>7</v>
      </c>
      <c r="F61" t="s">
        <v>17</v>
      </c>
      <c r="G61" s="1" t="str">
        <f t="shared" si="29"/>
        <v>tos07viernes</v>
      </c>
      <c r="H61" t="s">
        <v>15</v>
      </c>
      <c r="I61">
        <f t="shared" si="9"/>
        <v>2</v>
      </c>
      <c r="J61">
        <f t="shared" si="21"/>
        <v>28</v>
      </c>
      <c r="K61" t="s">
        <v>27</v>
      </c>
      <c r="L61" t="str">
        <f t="shared" si="26"/>
        <v>Febrero</v>
      </c>
      <c r="M61" t="s">
        <v>28</v>
      </c>
      <c r="N61" t="str">
        <f t="shared" si="12"/>
        <v>{ nombre: "Tiempo Ordinario, Semana 7 Viernes", archivo: "/salterios/src/evan/audios/tos07viernes.mp3", fecha: `${year}-02-28` },</v>
      </c>
    </row>
    <row r="62" spans="1:14" x14ac:dyDescent="0.25">
      <c r="A62" t="s">
        <v>0</v>
      </c>
      <c r="B62" t="str">
        <f t="shared" si="22"/>
        <v>ordinario</v>
      </c>
      <c r="C62" t="s">
        <v>2</v>
      </c>
      <c r="D62" s="2">
        <f t="shared" si="30"/>
        <v>7</v>
      </c>
      <c r="E62" t="s">
        <v>8</v>
      </c>
      <c r="F62" t="s">
        <v>17</v>
      </c>
      <c r="G62" s="1" t="str">
        <f t="shared" si="29"/>
        <v>tos07sabado</v>
      </c>
      <c r="H62" t="s">
        <v>15</v>
      </c>
      <c r="I62">
        <v>3</v>
      </c>
      <c r="J62">
        <v>1</v>
      </c>
      <c r="K62" t="s">
        <v>27</v>
      </c>
      <c r="L62" t="str">
        <f t="shared" si="26"/>
        <v>Marzo</v>
      </c>
      <c r="M62" t="s">
        <v>28</v>
      </c>
      <c r="N62" t="str">
        <f t="shared" si="12"/>
        <v>{ nombre: "Tiempo Ordinario, Semana 7 Sabado", archivo: "/salterios/src/evan/audios/tos07sabado.mp3", fecha: `${year}-03-1` },</v>
      </c>
    </row>
    <row r="63" spans="1:14" x14ac:dyDescent="0.25">
      <c r="A63" t="s">
        <v>0</v>
      </c>
      <c r="B63" t="str">
        <f t="shared" si="22"/>
        <v>ordinario</v>
      </c>
      <c r="C63" t="s">
        <v>2</v>
      </c>
      <c r="D63" s="2">
        <f>+D62+1</f>
        <v>8</v>
      </c>
      <c r="E63" t="s">
        <v>9</v>
      </c>
      <c r="F63" t="s">
        <v>17</v>
      </c>
      <c r="G63" s="1" t="str">
        <f>_xlfn.CONCAT(LEFT(A63,1),LEFT(B63,1),LEFT(C63,1),"0",D63,E63)</f>
        <v>tos08domingo</v>
      </c>
      <c r="H63" t="s">
        <v>15</v>
      </c>
      <c r="I63">
        <f t="shared" si="9"/>
        <v>3</v>
      </c>
      <c r="J63">
        <f t="shared" ref="J63" si="31">+J62+1</f>
        <v>2</v>
      </c>
      <c r="K63" t="s">
        <v>27</v>
      </c>
      <c r="L63" t="str">
        <f t="shared" si="26"/>
        <v>Marzo</v>
      </c>
      <c r="M63" t="s">
        <v>28</v>
      </c>
      <c r="N63" t="str">
        <f t="shared" si="12"/>
        <v>{ nombre: "Tiempo Ordinario, Semana 8 Domingo", archivo: "/salterios/src/evan/audios/tos08domingo.mp3", fecha: `${year}-03-2` },</v>
      </c>
    </row>
    <row r="64" spans="1:14" x14ac:dyDescent="0.25">
      <c r="A64" t="s">
        <v>0</v>
      </c>
      <c r="B64" t="str">
        <f t="shared" si="22"/>
        <v>ordinario</v>
      </c>
      <c r="C64" t="s">
        <v>2</v>
      </c>
      <c r="D64" s="2">
        <f>D63</f>
        <v>8</v>
      </c>
      <c r="E64" t="s">
        <v>3</v>
      </c>
      <c r="F64" t="s">
        <v>17</v>
      </c>
      <c r="G64" s="1" t="str">
        <f t="shared" ref="G64:G69" si="32">_xlfn.CONCAT(LEFT(A64,1),LEFT(B64,1),LEFT(C64,1),"0",D64,E64)</f>
        <v>tos08lunes</v>
      </c>
      <c r="H64" t="s">
        <v>15</v>
      </c>
      <c r="I64">
        <f t="shared" si="9"/>
        <v>3</v>
      </c>
      <c r="J64">
        <f t="shared" ref="J64:J89" si="33">+J63+1</f>
        <v>3</v>
      </c>
      <c r="K64" t="s">
        <v>27</v>
      </c>
      <c r="L64" t="str">
        <f t="shared" si="26"/>
        <v>Marzo</v>
      </c>
      <c r="M64" t="s">
        <v>28</v>
      </c>
      <c r="N64" t="str">
        <f t="shared" si="12"/>
        <v>{ nombre: "Tiempo Ordinario, Semana 8 Lunes", archivo: "/salterios/src/evan/audios/tos08lunes.mp3", fecha: `${year}-03-3` },</v>
      </c>
    </row>
    <row r="65" spans="1:14" x14ac:dyDescent="0.25">
      <c r="A65" t="s">
        <v>0</v>
      </c>
      <c r="B65" t="str">
        <f t="shared" si="22"/>
        <v>ordinario</v>
      </c>
      <c r="C65" t="s">
        <v>2</v>
      </c>
      <c r="D65" s="2">
        <f t="shared" ref="D65:D69" si="34">D64</f>
        <v>8</v>
      </c>
      <c r="E65" t="s">
        <v>4</v>
      </c>
      <c r="F65" t="s">
        <v>17</v>
      </c>
      <c r="G65" s="1" t="str">
        <f t="shared" si="32"/>
        <v>tos08martes</v>
      </c>
      <c r="H65" t="s">
        <v>15</v>
      </c>
      <c r="I65">
        <f t="shared" si="9"/>
        <v>3</v>
      </c>
      <c r="J65">
        <f t="shared" si="33"/>
        <v>4</v>
      </c>
      <c r="K65" t="s">
        <v>27</v>
      </c>
      <c r="L65" t="str">
        <f t="shared" si="26"/>
        <v>Marzo</v>
      </c>
      <c r="M65" t="s">
        <v>28</v>
      </c>
      <c r="N65" t="str">
        <f t="shared" si="12"/>
        <v>{ nombre: "Tiempo Ordinario, Semana 8 Martes", archivo: "/salterios/src/evan/audios/tos08martes.mp3", fecha: `${year}-03-4` },</v>
      </c>
    </row>
    <row r="66" spans="1:14" x14ac:dyDescent="0.25">
      <c r="A66" t="s">
        <v>0</v>
      </c>
      <c r="B66" t="s">
        <v>12</v>
      </c>
      <c r="C66" t="s">
        <v>2</v>
      </c>
      <c r="D66" s="2" t="s">
        <v>20</v>
      </c>
      <c r="E66" t="s">
        <v>19</v>
      </c>
      <c r="F66" t="s">
        <v>17</v>
      </c>
      <c r="G66" s="1" t="str">
        <f t="shared" si="32"/>
        <v>tcs0demiercoles Ceniza</v>
      </c>
      <c r="H66" t="s">
        <v>15</v>
      </c>
      <c r="I66">
        <f t="shared" si="9"/>
        <v>3</v>
      </c>
      <c r="J66">
        <f t="shared" si="33"/>
        <v>5</v>
      </c>
      <c r="K66" t="s">
        <v>27</v>
      </c>
      <c r="L66" t="str">
        <f t="shared" si="26"/>
        <v>Marzo</v>
      </c>
      <c r="M66" t="s">
        <v>28</v>
      </c>
      <c r="N66" t="str">
        <f t="shared" si="12"/>
        <v>{ nombre: "Tiempo Cuaresma, Semana de Miercoles Ceniza", archivo: "/salterios/src/evan/audios/tcs0demiercoles Ceniza.mp3", fecha: `${year}-03-5` },</v>
      </c>
    </row>
    <row r="67" spans="1:14" x14ac:dyDescent="0.25">
      <c r="A67" t="s">
        <v>0</v>
      </c>
      <c r="B67" t="str">
        <f t="shared" si="22"/>
        <v>cuaresma</v>
      </c>
      <c r="C67" t="s">
        <v>2</v>
      </c>
      <c r="D67" s="2" t="str">
        <f t="shared" si="34"/>
        <v>de</v>
      </c>
      <c r="E67" t="s">
        <v>6</v>
      </c>
      <c r="F67" t="s">
        <v>17</v>
      </c>
      <c r="G67" s="1" t="str">
        <f t="shared" si="32"/>
        <v>tcs0dejueves</v>
      </c>
      <c r="H67" t="s">
        <v>15</v>
      </c>
      <c r="I67">
        <f t="shared" si="9"/>
        <v>3</v>
      </c>
      <c r="J67">
        <f t="shared" si="33"/>
        <v>6</v>
      </c>
      <c r="K67" t="s">
        <v>27</v>
      </c>
      <c r="L67" t="str">
        <f t="shared" si="26"/>
        <v>Marzo</v>
      </c>
      <c r="M67" t="s">
        <v>28</v>
      </c>
      <c r="N67" t="str">
        <f t="shared" si="12"/>
        <v>{ nombre: "Tiempo Cuaresma, Semana de Jueves", archivo: "/salterios/src/evan/audios/tcs0dejueves.mp3", fecha: `${year}-03-6` },</v>
      </c>
    </row>
    <row r="68" spans="1:14" x14ac:dyDescent="0.25">
      <c r="A68" t="s">
        <v>0</v>
      </c>
      <c r="B68" t="str">
        <f t="shared" si="22"/>
        <v>cuaresma</v>
      </c>
      <c r="C68" t="s">
        <v>2</v>
      </c>
      <c r="D68" s="2" t="str">
        <f t="shared" si="34"/>
        <v>de</v>
      </c>
      <c r="E68" t="s">
        <v>7</v>
      </c>
      <c r="F68" t="s">
        <v>17</v>
      </c>
      <c r="G68" s="1" t="str">
        <f t="shared" si="32"/>
        <v>tcs0deviernes</v>
      </c>
      <c r="H68" t="s">
        <v>15</v>
      </c>
      <c r="I68">
        <f t="shared" si="9"/>
        <v>3</v>
      </c>
      <c r="J68">
        <f t="shared" si="33"/>
        <v>7</v>
      </c>
      <c r="K68" t="s">
        <v>27</v>
      </c>
      <c r="L68" t="str">
        <f t="shared" si="26"/>
        <v>Marzo</v>
      </c>
      <c r="M68" t="s">
        <v>28</v>
      </c>
      <c r="N68" t="str">
        <f t="shared" si="12"/>
        <v>{ nombre: "Tiempo Cuaresma, Semana de Viernes", archivo: "/salterios/src/evan/audios/tcs0deviernes.mp3", fecha: `${year}-03-7` },</v>
      </c>
    </row>
    <row r="69" spans="1:14" x14ac:dyDescent="0.25">
      <c r="A69" t="s">
        <v>0</v>
      </c>
      <c r="B69" t="str">
        <f t="shared" si="22"/>
        <v>cuaresma</v>
      </c>
      <c r="C69" t="s">
        <v>2</v>
      </c>
      <c r="D69" s="2" t="str">
        <f t="shared" si="34"/>
        <v>de</v>
      </c>
      <c r="E69" t="s">
        <v>8</v>
      </c>
      <c r="F69" t="s">
        <v>17</v>
      </c>
      <c r="G69" s="1" t="str">
        <f t="shared" si="32"/>
        <v>tcs0desabado</v>
      </c>
      <c r="H69" t="s">
        <v>15</v>
      </c>
      <c r="I69">
        <f t="shared" si="9"/>
        <v>3</v>
      </c>
      <c r="J69">
        <f t="shared" si="33"/>
        <v>8</v>
      </c>
      <c r="K69" t="s">
        <v>27</v>
      </c>
      <c r="L69" t="str">
        <f t="shared" si="26"/>
        <v>Marzo</v>
      </c>
      <c r="M69" t="s">
        <v>28</v>
      </c>
      <c r="N69" t="str">
        <f t="shared" si="12"/>
        <v>{ nombre: "Tiempo Cuaresma, Semana de Sabado", archivo: "/salterios/src/evan/audios/tcs0desabado.mp3", fecha: `${year}-03-8` },</v>
      </c>
    </row>
    <row r="70" spans="1:14" x14ac:dyDescent="0.25">
      <c r="A70" t="s">
        <v>0</v>
      </c>
      <c r="B70" t="str">
        <f t="shared" si="22"/>
        <v>cuaresma</v>
      </c>
      <c r="C70" t="s">
        <v>2</v>
      </c>
      <c r="D70" s="2">
        <v>1</v>
      </c>
      <c r="E70" t="s">
        <v>9</v>
      </c>
      <c r="F70" t="s">
        <v>17</v>
      </c>
      <c r="G70" s="1" t="str">
        <f>_xlfn.CONCAT(LEFT(A70,1),LEFT(B70,1),LEFT(C70,1),"0",D70,E70)</f>
        <v>tcs01domingo</v>
      </c>
      <c r="H70" t="s">
        <v>15</v>
      </c>
      <c r="I70">
        <f t="shared" si="9"/>
        <v>3</v>
      </c>
      <c r="J70">
        <f t="shared" si="33"/>
        <v>9</v>
      </c>
      <c r="K70" t="s">
        <v>27</v>
      </c>
      <c r="L70" t="str">
        <f t="shared" si="26"/>
        <v>Marzo</v>
      </c>
      <c r="M70" t="s">
        <v>28</v>
      </c>
      <c r="N70" t="str">
        <f t="shared" si="12"/>
        <v>{ nombre: "Tiempo Cuaresma, Semana 1 Domingo", archivo: "/salterios/src/evan/audios/tcs01domingo.mp3", fecha: `${year}-03-9` },</v>
      </c>
    </row>
    <row r="71" spans="1:14" x14ac:dyDescent="0.25">
      <c r="A71" t="s">
        <v>0</v>
      </c>
      <c r="B71" t="str">
        <f t="shared" si="22"/>
        <v>cuaresma</v>
      </c>
      <c r="C71" t="s">
        <v>2</v>
      </c>
      <c r="D71" s="2">
        <f>D70</f>
        <v>1</v>
      </c>
      <c r="E71" t="s">
        <v>3</v>
      </c>
      <c r="F71" t="s">
        <v>17</v>
      </c>
      <c r="G71" s="1" t="str">
        <f t="shared" ref="G71:G76" si="35">_xlfn.CONCAT(LEFT(A71,1),LEFT(B71,1),LEFT(C71,1),"0",D71,E71)</f>
        <v>tcs01lunes</v>
      </c>
      <c r="H71" t="s">
        <v>15</v>
      </c>
      <c r="I71">
        <f t="shared" si="9"/>
        <v>3</v>
      </c>
      <c r="J71">
        <f t="shared" si="33"/>
        <v>10</v>
      </c>
      <c r="K71" t="s">
        <v>27</v>
      </c>
      <c r="L71" t="str">
        <f t="shared" si="26"/>
        <v>Marzo</v>
      </c>
      <c r="M71" t="s">
        <v>28</v>
      </c>
      <c r="N71" t="str">
        <f t="shared" si="12"/>
        <v>{ nombre: "Tiempo Cuaresma, Semana 1 Lunes", archivo: "/salterios/src/evan/audios/tcs01lunes.mp3", fecha: `${year}-03-10` },</v>
      </c>
    </row>
    <row r="72" spans="1:14" x14ac:dyDescent="0.25">
      <c r="A72" t="s">
        <v>0</v>
      </c>
      <c r="B72" t="str">
        <f t="shared" si="22"/>
        <v>cuaresma</v>
      </c>
      <c r="C72" t="s">
        <v>2</v>
      </c>
      <c r="D72" s="2">
        <f t="shared" ref="D72:D76" si="36">D71</f>
        <v>1</v>
      </c>
      <c r="E72" t="s">
        <v>4</v>
      </c>
      <c r="F72" t="s">
        <v>17</v>
      </c>
      <c r="G72" s="1" t="str">
        <f t="shared" si="35"/>
        <v>tcs01martes</v>
      </c>
      <c r="H72" t="s">
        <v>15</v>
      </c>
      <c r="I72">
        <f t="shared" si="9"/>
        <v>3</v>
      </c>
      <c r="J72">
        <f t="shared" si="33"/>
        <v>11</v>
      </c>
      <c r="K72" t="s">
        <v>27</v>
      </c>
      <c r="L72" t="str">
        <f t="shared" si="26"/>
        <v>Marzo</v>
      </c>
      <c r="M72" t="s">
        <v>28</v>
      </c>
      <c r="N72" t="str">
        <f t="shared" si="12"/>
        <v>{ nombre: "Tiempo Cuaresma, Semana 1 Martes", archivo: "/salterios/src/evan/audios/tcs01martes.mp3", fecha: `${year}-03-11` },</v>
      </c>
    </row>
    <row r="73" spans="1:14" x14ac:dyDescent="0.25">
      <c r="A73" t="s">
        <v>0</v>
      </c>
      <c r="B73" t="str">
        <f t="shared" si="22"/>
        <v>cuaresma</v>
      </c>
      <c r="C73" t="s">
        <v>2</v>
      </c>
      <c r="D73" s="2">
        <f t="shared" si="36"/>
        <v>1</v>
      </c>
      <c r="E73" t="s">
        <v>5</v>
      </c>
      <c r="F73" t="s">
        <v>17</v>
      </c>
      <c r="G73" s="1" t="str">
        <f t="shared" si="35"/>
        <v>tcs01miercoles</v>
      </c>
      <c r="H73" t="s">
        <v>15</v>
      </c>
      <c r="I73">
        <f t="shared" si="9"/>
        <v>3</v>
      </c>
      <c r="J73">
        <f t="shared" si="33"/>
        <v>12</v>
      </c>
      <c r="K73" t="s">
        <v>27</v>
      </c>
      <c r="L73" t="str">
        <f t="shared" si="26"/>
        <v>Marzo</v>
      </c>
      <c r="M73" t="s">
        <v>28</v>
      </c>
      <c r="N73" t="str">
        <f t="shared" si="12"/>
        <v>{ nombre: "Tiempo Cuaresma, Semana 1 Miercoles", archivo: "/salterios/src/evan/audios/tcs01miercoles.mp3", fecha: `${year}-03-12` },</v>
      </c>
    </row>
    <row r="74" spans="1:14" x14ac:dyDescent="0.25">
      <c r="A74" t="s">
        <v>0</v>
      </c>
      <c r="B74" t="str">
        <f t="shared" si="22"/>
        <v>cuaresma</v>
      </c>
      <c r="C74" t="s">
        <v>2</v>
      </c>
      <c r="D74" s="2">
        <f t="shared" si="36"/>
        <v>1</v>
      </c>
      <c r="E74" t="s">
        <v>6</v>
      </c>
      <c r="F74" t="s">
        <v>17</v>
      </c>
      <c r="G74" s="1" t="str">
        <f t="shared" si="35"/>
        <v>tcs01jueves</v>
      </c>
      <c r="H74" t="s">
        <v>15</v>
      </c>
      <c r="I74">
        <f t="shared" si="9"/>
        <v>3</v>
      </c>
      <c r="J74">
        <f t="shared" si="33"/>
        <v>13</v>
      </c>
      <c r="K74" t="s">
        <v>27</v>
      </c>
      <c r="L74" t="str">
        <f t="shared" si="26"/>
        <v>Marzo</v>
      </c>
      <c r="M74" t="s">
        <v>28</v>
      </c>
      <c r="N74" t="str">
        <f t="shared" si="12"/>
        <v>{ nombre: "Tiempo Cuaresma, Semana 1 Jueves", archivo: "/salterios/src/evan/audios/tcs01jueves.mp3", fecha: `${year}-03-13` },</v>
      </c>
    </row>
    <row r="75" spans="1:14" x14ac:dyDescent="0.25">
      <c r="A75" t="s">
        <v>0</v>
      </c>
      <c r="B75" t="str">
        <f t="shared" si="22"/>
        <v>cuaresma</v>
      </c>
      <c r="C75" t="s">
        <v>2</v>
      </c>
      <c r="D75" s="2">
        <f t="shared" si="36"/>
        <v>1</v>
      </c>
      <c r="E75" t="s">
        <v>7</v>
      </c>
      <c r="F75" t="s">
        <v>17</v>
      </c>
      <c r="G75" s="1" t="str">
        <f t="shared" si="35"/>
        <v>tcs01viernes</v>
      </c>
      <c r="H75" t="s">
        <v>15</v>
      </c>
      <c r="I75">
        <f t="shared" si="9"/>
        <v>3</v>
      </c>
      <c r="J75">
        <f t="shared" si="33"/>
        <v>14</v>
      </c>
      <c r="K75" t="s">
        <v>27</v>
      </c>
      <c r="L75" t="str">
        <f t="shared" si="26"/>
        <v>Marzo</v>
      </c>
      <c r="M75" t="s">
        <v>28</v>
      </c>
      <c r="N75" t="str">
        <f t="shared" si="12"/>
        <v>{ nombre: "Tiempo Cuaresma, Semana 1 Viernes", archivo: "/salterios/src/evan/audios/tcs01viernes.mp3", fecha: `${year}-03-14` },</v>
      </c>
    </row>
    <row r="76" spans="1:14" x14ac:dyDescent="0.25">
      <c r="A76" t="s">
        <v>0</v>
      </c>
      <c r="B76" t="str">
        <f t="shared" si="22"/>
        <v>cuaresma</v>
      </c>
      <c r="C76" t="s">
        <v>2</v>
      </c>
      <c r="D76" s="2">
        <f t="shared" si="36"/>
        <v>1</v>
      </c>
      <c r="E76" t="s">
        <v>8</v>
      </c>
      <c r="F76" t="s">
        <v>17</v>
      </c>
      <c r="G76" s="1" t="str">
        <f t="shared" si="35"/>
        <v>tcs01sabado</v>
      </c>
      <c r="H76" t="s">
        <v>15</v>
      </c>
      <c r="I76">
        <f t="shared" si="9"/>
        <v>3</v>
      </c>
      <c r="J76">
        <f t="shared" si="33"/>
        <v>15</v>
      </c>
      <c r="K76" t="s">
        <v>27</v>
      </c>
      <c r="L76" t="str">
        <f t="shared" si="26"/>
        <v>Marzo</v>
      </c>
      <c r="M76" t="s">
        <v>28</v>
      </c>
      <c r="N76" t="str">
        <f t="shared" si="12"/>
        <v>{ nombre: "Tiempo Cuaresma, Semana 1 Sabado", archivo: "/salterios/src/evan/audios/tcs01sabado.mp3", fecha: `${year}-03-15` },</v>
      </c>
    </row>
    <row r="77" spans="1:14" x14ac:dyDescent="0.25">
      <c r="A77" t="s">
        <v>0</v>
      </c>
      <c r="B77" t="str">
        <f t="shared" si="22"/>
        <v>cuaresma</v>
      </c>
      <c r="C77" t="s">
        <v>2</v>
      </c>
      <c r="D77" s="2">
        <v>2</v>
      </c>
      <c r="E77" t="s">
        <v>9</v>
      </c>
      <c r="F77" t="s">
        <v>17</v>
      </c>
      <c r="G77" s="1" t="str">
        <f>_xlfn.CONCAT(LEFT(A77,1),LEFT(B77,1),LEFT(C77,1),"0",D77,E77)</f>
        <v>tcs02domingo</v>
      </c>
      <c r="H77" t="s">
        <v>15</v>
      </c>
      <c r="I77">
        <f t="shared" si="9"/>
        <v>3</v>
      </c>
      <c r="J77">
        <f t="shared" si="33"/>
        <v>16</v>
      </c>
      <c r="K77" t="s">
        <v>27</v>
      </c>
      <c r="L77" t="str">
        <f t="shared" si="26"/>
        <v>Marzo</v>
      </c>
      <c r="M77" t="s">
        <v>28</v>
      </c>
      <c r="N77" t="str">
        <f t="shared" si="12"/>
        <v>{ nombre: "Tiempo Cuaresma, Semana 2 Domingo", archivo: "/salterios/src/evan/audios/tcs02domingo.mp3", fecha: `${year}-03-16` },</v>
      </c>
    </row>
    <row r="78" spans="1:14" x14ac:dyDescent="0.25">
      <c r="A78" t="s">
        <v>0</v>
      </c>
      <c r="B78" t="str">
        <f t="shared" si="22"/>
        <v>cuaresma</v>
      </c>
      <c r="C78" t="s">
        <v>2</v>
      </c>
      <c r="D78" s="2">
        <f>D77</f>
        <v>2</v>
      </c>
      <c r="E78" t="s">
        <v>3</v>
      </c>
      <c r="F78" t="s">
        <v>17</v>
      </c>
      <c r="G78" s="1" t="str">
        <f t="shared" ref="G78:G83" si="37">_xlfn.CONCAT(LEFT(A78,1),LEFT(B78,1),LEFT(C78,1),"0",D78,E78)</f>
        <v>tcs02lunes</v>
      </c>
      <c r="H78" t="s">
        <v>15</v>
      </c>
      <c r="I78">
        <f t="shared" si="9"/>
        <v>3</v>
      </c>
      <c r="J78">
        <f t="shared" si="33"/>
        <v>17</v>
      </c>
      <c r="K78" t="s">
        <v>27</v>
      </c>
      <c r="L78" t="str">
        <f t="shared" ref="L78:L141" si="38">IF(I78=1,"Enero",
IF(I78=2,"Febrero",
IF(I78=3,"Marzo",
IF(I78=4,"Abril",
IF(I78=5,"Mayo",
IF(I78=6,"Junio",
IF(I78=7,"Julio",
IF(I78=8,"Agosto",
IF(I78=9,"Septiembre",
IF(I78=10,"Octubre",
IF(I78=11,"Noviembre",
IF(I78=12,"Diciembre",""))))))))))))</f>
        <v>Marzo</v>
      </c>
      <c r="M78" t="s">
        <v>28</v>
      </c>
      <c r="N78" t="str">
        <f t="shared" si="12"/>
        <v>{ nombre: "Tiempo Cuaresma, Semana 2 Lunes", archivo: "/salterios/src/evan/audios/tcs02lunes.mp3", fecha: `${year}-03-17` },</v>
      </c>
    </row>
    <row r="79" spans="1:14" x14ac:dyDescent="0.25">
      <c r="A79" t="s">
        <v>0</v>
      </c>
      <c r="B79" t="str">
        <f t="shared" si="22"/>
        <v>cuaresma</v>
      </c>
      <c r="C79" t="s">
        <v>2</v>
      </c>
      <c r="D79" s="2">
        <f t="shared" ref="D79:D83" si="39">D78</f>
        <v>2</v>
      </c>
      <c r="E79" t="s">
        <v>4</v>
      </c>
      <c r="F79" t="s">
        <v>17</v>
      </c>
      <c r="G79" s="1" t="str">
        <f t="shared" si="37"/>
        <v>tcs02martes</v>
      </c>
      <c r="H79" t="s">
        <v>15</v>
      </c>
      <c r="I79">
        <f t="shared" ref="I79:I92" si="40">I78</f>
        <v>3</v>
      </c>
      <c r="J79">
        <f t="shared" si="33"/>
        <v>18</v>
      </c>
      <c r="K79" t="s">
        <v>27</v>
      </c>
      <c r="L79" t="str">
        <f t="shared" si="38"/>
        <v>Marzo</v>
      </c>
      <c r="M79" t="s">
        <v>28</v>
      </c>
      <c r="N79" t="str">
        <f t="shared" si="12"/>
        <v>{ nombre: "Tiempo Cuaresma, Semana 2 Martes", archivo: "/salterios/src/evan/audios/tcs02martes.mp3", fecha: `${year}-03-18` },</v>
      </c>
    </row>
    <row r="80" spans="1:14" x14ac:dyDescent="0.25">
      <c r="A80" t="s">
        <v>0</v>
      </c>
      <c r="B80" t="str">
        <f t="shared" si="22"/>
        <v>cuaresma</v>
      </c>
      <c r="C80" t="s">
        <v>2</v>
      </c>
      <c r="D80" s="2">
        <f t="shared" si="39"/>
        <v>2</v>
      </c>
      <c r="E80" t="s">
        <v>5</v>
      </c>
      <c r="F80" t="s">
        <v>17</v>
      </c>
      <c r="G80" s="1" t="str">
        <f t="shared" si="37"/>
        <v>tcs02miercoles</v>
      </c>
      <c r="H80" t="s">
        <v>15</v>
      </c>
      <c r="I80">
        <f t="shared" si="40"/>
        <v>3</v>
      </c>
      <c r="J80">
        <f t="shared" si="33"/>
        <v>19</v>
      </c>
      <c r="K80" t="s">
        <v>27</v>
      </c>
      <c r="L80" t="str">
        <f t="shared" si="38"/>
        <v>Marzo</v>
      </c>
      <c r="M80" t="s">
        <v>28</v>
      </c>
      <c r="N80" t="str">
        <f t="shared" ref="N80:N143" si="41">_xlfn.CONCAT("{ nombre: ",H80,PROPER(A80)," ",PROPER(B80),", ",PROPER(C80)," ",D80," ",PROPER(E80),""",",F80,G80,".mp3",H80,", fecha: `${year}-",0,I80,"-",J80,"` },")</f>
        <v>{ nombre: "Tiempo Cuaresma, Semana 2 Miercoles", archivo: "/salterios/src/evan/audios/tcs02miercoles.mp3", fecha: `${year}-03-19` },</v>
      </c>
    </row>
    <row r="81" spans="1:14" x14ac:dyDescent="0.25">
      <c r="A81" t="s">
        <v>0</v>
      </c>
      <c r="B81" t="str">
        <f t="shared" si="22"/>
        <v>cuaresma</v>
      </c>
      <c r="C81" t="s">
        <v>2</v>
      </c>
      <c r="D81" s="2">
        <f t="shared" si="39"/>
        <v>2</v>
      </c>
      <c r="E81" t="s">
        <v>6</v>
      </c>
      <c r="F81" t="s">
        <v>17</v>
      </c>
      <c r="G81" s="1" t="str">
        <f t="shared" si="37"/>
        <v>tcs02jueves</v>
      </c>
      <c r="H81" t="s">
        <v>15</v>
      </c>
      <c r="I81">
        <f t="shared" si="40"/>
        <v>3</v>
      </c>
      <c r="J81">
        <f t="shared" si="33"/>
        <v>20</v>
      </c>
      <c r="K81" t="s">
        <v>27</v>
      </c>
      <c r="L81" t="str">
        <f t="shared" si="38"/>
        <v>Marzo</v>
      </c>
      <c r="M81" t="s">
        <v>28</v>
      </c>
      <c r="N81" t="str">
        <f t="shared" si="41"/>
        <v>{ nombre: "Tiempo Cuaresma, Semana 2 Jueves", archivo: "/salterios/src/evan/audios/tcs02jueves.mp3", fecha: `${year}-03-20` },</v>
      </c>
    </row>
    <row r="82" spans="1:14" x14ac:dyDescent="0.25">
      <c r="A82" t="s">
        <v>0</v>
      </c>
      <c r="B82" t="str">
        <f t="shared" si="22"/>
        <v>cuaresma</v>
      </c>
      <c r="C82" t="s">
        <v>2</v>
      </c>
      <c r="D82" s="2">
        <f t="shared" si="39"/>
        <v>2</v>
      </c>
      <c r="E82" t="s">
        <v>7</v>
      </c>
      <c r="F82" t="s">
        <v>17</v>
      </c>
      <c r="G82" s="1" t="str">
        <f t="shared" si="37"/>
        <v>tcs02viernes</v>
      </c>
      <c r="H82" t="s">
        <v>15</v>
      </c>
      <c r="I82">
        <f t="shared" si="40"/>
        <v>3</v>
      </c>
      <c r="J82">
        <f t="shared" si="33"/>
        <v>21</v>
      </c>
      <c r="K82" t="s">
        <v>27</v>
      </c>
      <c r="L82" t="str">
        <f t="shared" si="38"/>
        <v>Marzo</v>
      </c>
      <c r="M82" t="s">
        <v>28</v>
      </c>
      <c r="N82" t="str">
        <f t="shared" si="41"/>
        <v>{ nombre: "Tiempo Cuaresma, Semana 2 Viernes", archivo: "/salterios/src/evan/audios/tcs02viernes.mp3", fecha: `${year}-03-21` },</v>
      </c>
    </row>
    <row r="83" spans="1:14" x14ac:dyDescent="0.25">
      <c r="A83" t="s">
        <v>0</v>
      </c>
      <c r="B83" t="str">
        <f t="shared" si="22"/>
        <v>cuaresma</v>
      </c>
      <c r="C83" t="s">
        <v>2</v>
      </c>
      <c r="D83" s="2">
        <f t="shared" si="39"/>
        <v>2</v>
      </c>
      <c r="E83" t="s">
        <v>8</v>
      </c>
      <c r="F83" t="s">
        <v>17</v>
      </c>
      <c r="G83" s="1" t="str">
        <f t="shared" si="37"/>
        <v>tcs02sabado</v>
      </c>
      <c r="H83" t="s">
        <v>15</v>
      </c>
      <c r="I83">
        <f t="shared" si="40"/>
        <v>3</v>
      </c>
      <c r="J83">
        <f t="shared" si="33"/>
        <v>22</v>
      </c>
      <c r="K83" t="s">
        <v>27</v>
      </c>
      <c r="L83" t="str">
        <f t="shared" si="38"/>
        <v>Marzo</v>
      </c>
      <c r="M83" t="s">
        <v>28</v>
      </c>
      <c r="N83" t="str">
        <f t="shared" si="41"/>
        <v>{ nombre: "Tiempo Cuaresma, Semana 2 Sabado", archivo: "/salterios/src/evan/audios/tcs02sabado.mp3", fecha: `${year}-03-22` },</v>
      </c>
    </row>
    <row r="84" spans="1:14" x14ac:dyDescent="0.25">
      <c r="A84" t="s">
        <v>0</v>
      </c>
      <c r="B84" t="str">
        <f t="shared" si="22"/>
        <v>cuaresma</v>
      </c>
      <c r="C84" t="s">
        <v>2</v>
      </c>
      <c r="D84" s="2">
        <v>3</v>
      </c>
      <c r="E84" t="s">
        <v>9</v>
      </c>
      <c r="F84" t="s">
        <v>17</v>
      </c>
      <c r="G84" s="1" t="str">
        <f>_xlfn.CONCAT(LEFT(A84,1),LEFT(B84,1),LEFT(C84,1),"0",D84,E84)</f>
        <v>tcs03domingo</v>
      </c>
      <c r="H84" t="s">
        <v>15</v>
      </c>
      <c r="I84">
        <f t="shared" si="40"/>
        <v>3</v>
      </c>
      <c r="J84">
        <f t="shared" si="33"/>
        <v>23</v>
      </c>
      <c r="K84" t="s">
        <v>27</v>
      </c>
      <c r="L84" t="str">
        <f t="shared" si="38"/>
        <v>Marzo</v>
      </c>
      <c r="M84" t="s">
        <v>28</v>
      </c>
      <c r="N84" t="str">
        <f t="shared" si="41"/>
        <v>{ nombre: "Tiempo Cuaresma, Semana 3 Domingo", archivo: "/salterios/src/evan/audios/tcs03domingo.mp3", fecha: `${year}-03-23` },</v>
      </c>
    </row>
    <row r="85" spans="1:14" x14ac:dyDescent="0.25">
      <c r="A85" t="s">
        <v>0</v>
      </c>
      <c r="B85" t="str">
        <f t="shared" si="22"/>
        <v>cuaresma</v>
      </c>
      <c r="C85" t="s">
        <v>2</v>
      </c>
      <c r="D85" s="2">
        <f>D84</f>
        <v>3</v>
      </c>
      <c r="E85" t="s">
        <v>3</v>
      </c>
      <c r="F85" t="s">
        <v>17</v>
      </c>
      <c r="G85" s="1" t="str">
        <f t="shared" ref="G85:G90" si="42">_xlfn.CONCAT(LEFT(A85,1),LEFT(B85,1),LEFT(C85,1),"0",D85,E85)</f>
        <v>tcs03lunes</v>
      </c>
      <c r="H85" t="s">
        <v>15</v>
      </c>
      <c r="I85">
        <f t="shared" si="40"/>
        <v>3</v>
      </c>
      <c r="J85">
        <f t="shared" si="33"/>
        <v>24</v>
      </c>
      <c r="K85" t="s">
        <v>27</v>
      </c>
      <c r="L85" t="str">
        <f t="shared" si="38"/>
        <v>Marzo</v>
      </c>
      <c r="M85" t="s">
        <v>28</v>
      </c>
      <c r="N85" t="str">
        <f t="shared" si="41"/>
        <v>{ nombre: "Tiempo Cuaresma, Semana 3 Lunes", archivo: "/salterios/src/evan/audios/tcs03lunes.mp3", fecha: `${year}-03-24` },</v>
      </c>
    </row>
    <row r="86" spans="1:14" x14ac:dyDescent="0.25">
      <c r="A86" t="s">
        <v>0</v>
      </c>
      <c r="B86" t="str">
        <f t="shared" si="22"/>
        <v>cuaresma</v>
      </c>
      <c r="C86" t="s">
        <v>2</v>
      </c>
      <c r="D86" s="2">
        <f t="shared" ref="D86:D90" si="43">D85</f>
        <v>3</v>
      </c>
      <c r="E86" t="s">
        <v>4</v>
      </c>
      <c r="F86" t="s">
        <v>17</v>
      </c>
      <c r="G86" s="1" t="str">
        <f t="shared" si="42"/>
        <v>tcs03martes</v>
      </c>
      <c r="H86" t="s">
        <v>15</v>
      </c>
      <c r="I86">
        <f t="shared" si="40"/>
        <v>3</v>
      </c>
      <c r="J86">
        <f t="shared" si="33"/>
        <v>25</v>
      </c>
      <c r="K86" t="s">
        <v>27</v>
      </c>
      <c r="L86" t="str">
        <f t="shared" si="38"/>
        <v>Marzo</v>
      </c>
      <c r="M86" t="s">
        <v>28</v>
      </c>
      <c r="N86" t="str">
        <f t="shared" si="41"/>
        <v>{ nombre: "Tiempo Cuaresma, Semana 3 Martes", archivo: "/salterios/src/evan/audios/tcs03martes.mp3", fecha: `${year}-03-25` },</v>
      </c>
    </row>
    <row r="87" spans="1:14" x14ac:dyDescent="0.25">
      <c r="A87" t="s">
        <v>0</v>
      </c>
      <c r="B87" t="str">
        <f t="shared" si="22"/>
        <v>cuaresma</v>
      </c>
      <c r="C87" t="s">
        <v>2</v>
      </c>
      <c r="D87" s="2">
        <f t="shared" si="43"/>
        <v>3</v>
      </c>
      <c r="E87" t="s">
        <v>5</v>
      </c>
      <c r="F87" t="s">
        <v>17</v>
      </c>
      <c r="G87" s="1" t="str">
        <f t="shared" si="42"/>
        <v>tcs03miercoles</v>
      </c>
      <c r="H87" t="s">
        <v>15</v>
      </c>
      <c r="I87">
        <f t="shared" si="40"/>
        <v>3</v>
      </c>
      <c r="J87">
        <f t="shared" si="33"/>
        <v>26</v>
      </c>
      <c r="K87" t="s">
        <v>27</v>
      </c>
      <c r="L87" t="str">
        <f t="shared" si="38"/>
        <v>Marzo</v>
      </c>
      <c r="M87" t="s">
        <v>28</v>
      </c>
      <c r="N87" t="str">
        <f t="shared" si="41"/>
        <v>{ nombre: "Tiempo Cuaresma, Semana 3 Miercoles", archivo: "/salterios/src/evan/audios/tcs03miercoles.mp3", fecha: `${year}-03-26` },</v>
      </c>
    </row>
    <row r="88" spans="1:14" x14ac:dyDescent="0.25">
      <c r="A88" t="s">
        <v>0</v>
      </c>
      <c r="B88" t="str">
        <f t="shared" si="22"/>
        <v>cuaresma</v>
      </c>
      <c r="C88" t="s">
        <v>2</v>
      </c>
      <c r="D88" s="2">
        <f t="shared" si="43"/>
        <v>3</v>
      </c>
      <c r="E88" t="s">
        <v>6</v>
      </c>
      <c r="F88" t="s">
        <v>17</v>
      </c>
      <c r="G88" s="1" t="str">
        <f t="shared" si="42"/>
        <v>tcs03jueves</v>
      </c>
      <c r="H88" t="s">
        <v>15</v>
      </c>
      <c r="I88">
        <f t="shared" si="40"/>
        <v>3</v>
      </c>
      <c r="J88">
        <f t="shared" si="33"/>
        <v>27</v>
      </c>
      <c r="K88" t="s">
        <v>27</v>
      </c>
      <c r="L88" t="str">
        <f t="shared" si="38"/>
        <v>Marzo</v>
      </c>
      <c r="M88" t="s">
        <v>28</v>
      </c>
      <c r="N88" t="str">
        <f t="shared" si="41"/>
        <v>{ nombre: "Tiempo Cuaresma, Semana 3 Jueves", archivo: "/salterios/src/evan/audios/tcs03jueves.mp3", fecha: `${year}-03-27` },</v>
      </c>
    </row>
    <row r="89" spans="1:14" x14ac:dyDescent="0.25">
      <c r="A89" t="s">
        <v>0</v>
      </c>
      <c r="B89" t="str">
        <f t="shared" si="22"/>
        <v>cuaresma</v>
      </c>
      <c r="C89" t="s">
        <v>2</v>
      </c>
      <c r="D89" s="2">
        <f t="shared" si="43"/>
        <v>3</v>
      </c>
      <c r="E89" t="s">
        <v>7</v>
      </c>
      <c r="F89" t="s">
        <v>17</v>
      </c>
      <c r="G89" s="1" t="str">
        <f t="shared" si="42"/>
        <v>tcs03viernes</v>
      </c>
      <c r="H89" t="s">
        <v>15</v>
      </c>
      <c r="I89">
        <f t="shared" si="40"/>
        <v>3</v>
      </c>
      <c r="J89">
        <f t="shared" si="33"/>
        <v>28</v>
      </c>
      <c r="K89" t="s">
        <v>27</v>
      </c>
      <c r="L89" t="str">
        <f t="shared" si="38"/>
        <v>Marzo</v>
      </c>
      <c r="M89" t="s">
        <v>28</v>
      </c>
      <c r="N89" t="str">
        <f t="shared" si="41"/>
        <v>{ nombre: "Tiempo Cuaresma, Semana 3 Viernes", archivo: "/salterios/src/evan/audios/tcs03viernes.mp3", fecha: `${year}-03-28` },</v>
      </c>
    </row>
    <row r="90" spans="1:14" x14ac:dyDescent="0.25">
      <c r="A90" t="s">
        <v>0</v>
      </c>
      <c r="B90" t="str">
        <f t="shared" si="22"/>
        <v>cuaresma</v>
      </c>
      <c r="C90" t="s">
        <v>2</v>
      </c>
      <c r="D90" s="2">
        <f t="shared" si="43"/>
        <v>3</v>
      </c>
      <c r="E90" t="s">
        <v>8</v>
      </c>
      <c r="F90" t="s">
        <v>17</v>
      </c>
      <c r="G90" s="1" t="str">
        <f t="shared" si="42"/>
        <v>tcs03sabado</v>
      </c>
      <c r="H90" t="s">
        <v>15</v>
      </c>
      <c r="I90">
        <f t="shared" si="40"/>
        <v>3</v>
      </c>
      <c r="J90">
        <f t="shared" ref="J90:J94" si="44">+J89+1</f>
        <v>29</v>
      </c>
      <c r="K90" t="s">
        <v>27</v>
      </c>
      <c r="L90" t="str">
        <f t="shared" si="38"/>
        <v>Marzo</v>
      </c>
      <c r="M90" t="s">
        <v>28</v>
      </c>
      <c r="N90" t="str">
        <f t="shared" si="41"/>
        <v>{ nombre: "Tiempo Cuaresma, Semana 3 Sabado", archivo: "/salterios/src/evan/audios/tcs03sabado.mp3", fecha: `${year}-03-29` },</v>
      </c>
    </row>
    <row r="91" spans="1:14" x14ac:dyDescent="0.25">
      <c r="A91" t="s">
        <v>0</v>
      </c>
      <c r="B91" t="str">
        <f t="shared" si="22"/>
        <v>cuaresma</v>
      </c>
      <c r="C91" t="s">
        <v>2</v>
      </c>
      <c r="D91" s="2">
        <v>4</v>
      </c>
      <c r="E91" t="s">
        <v>9</v>
      </c>
      <c r="F91" t="s">
        <v>17</v>
      </c>
      <c r="G91" s="1" t="str">
        <f>_xlfn.CONCAT(LEFT(A91,1),LEFT(B91,1),LEFT(C91,1),"0",D91,E91)</f>
        <v>tcs04domingo</v>
      </c>
      <c r="H91" t="s">
        <v>15</v>
      </c>
      <c r="I91">
        <f t="shared" si="40"/>
        <v>3</v>
      </c>
      <c r="J91">
        <f t="shared" si="44"/>
        <v>30</v>
      </c>
      <c r="K91" t="s">
        <v>27</v>
      </c>
      <c r="L91" t="str">
        <f t="shared" si="38"/>
        <v>Marzo</v>
      </c>
      <c r="M91" t="s">
        <v>28</v>
      </c>
      <c r="N91" t="str">
        <f t="shared" si="41"/>
        <v>{ nombre: "Tiempo Cuaresma, Semana 4 Domingo", archivo: "/salterios/src/evan/audios/tcs04domingo.mp3", fecha: `${year}-03-30` },</v>
      </c>
    </row>
    <row r="92" spans="1:14" x14ac:dyDescent="0.25">
      <c r="A92" t="s">
        <v>0</v>
      </c>
      <c r="B92" t="str">
        <f t="shared" si="22"/>
        <v>cuaresma</v>
      </c>
      <c r="C92" t="s">
        <v>2</v>
      </c>
      <c r="D92" s="2">
        <f>D91</f>
        <v>4</v>
      </c>
      <c r="E92" t="s">
        <v>3</v>
      </c>
      <c r="F92" t="s">
        <v>17</v>
      </c>
      <c r="G92" s="1" t="str">
        <f t="shared" ref="G92:G97" si="45">_xlfn.CONCAT(LEFT(A92,1),LEFT(B92,1),LEFT(C92,1),"0",D92,E92)</f>
        <v>tcs04lunes</v>
      </c>
      <c r="H92" t="s">
        <v>15</v>
      </c>
      <c r="I92">
        <f t="shared" si="40"/>
        <v>3</v>
      </c>
      <c r="J92">
        <f t="shared" si="44"/>
        <v>31</v>
      </c>
      <c r="K92" t="s">
        <v>27</v>
      </c>
      <c r="L92" t="str">
        <f t="shared" si="38"/>
        <v>Marzo</v>
      </c>
      <c r="M92" t="s">
        <v>28</v>
      </c>
      <c r="N92" t="str">
        <f t="shared" si="41"/>
        <v>{ nombre: "Tiempo Cuaresma, Semana 4 Lunes", archivo: "/salterios/src/evan/audios/tcs04lunes.mp3", fecha: `${year}-03-31` },</v>
      </c>
    </row>
    <row r="93" spans="1:14" x14ac:dyDescent="0.25">
      <c r="A93" t="s">
        <v>0</v>
      </c>
      <c r="B93" t="str">
        <f t="shared" si="22"/>
        <v>cuaresma</v>
      </c>
      <c r="C93" t="s">
        <v>2</v>
      </c>
      <c r="D93" s="2">
        <f t="shared" ref="D93:D97" si="46">D92</f>
        <v>4</v>
      </c>
      <c r="E93" t="s">
        <v>4</v>
      </c>
      <c r="F93" t="s">
        <v>17</v>
      </c>
      <c r="G93" s="1" t="str">
        <f t="shared" si="45"/>
        <v>tcs04martes</v>
      </c>
      <c r="H93" t="s">
        <v>15</v>
      </c>
      <c r="I93">
        <v>4</v>
      </c>
      <c r="J93">
        <v>1</v>
      </c>
      <c r="K93" t="s">
        <v>27</v>
      </c>
      <c r="L93" t="str">
        <f t="shared" si="38"/>
        <v>Abril</v>
      </c>
      <c r="M93" t="s">
        <v>28</v>
      </c>
      <c r="N93" t="str">
        <f t="shared" si="41"/>
        <v>{ nombre: "Tiempo Cuaresma, Semana 4 Martes", archivo: "/salterios/src/evan/audios/tcs04martes.mp3", fecha: `${year}-04-1` },</v>
      </c>
    </row>
    <row r="94" spans="1:14" x14ac:dyDescent="0.25">
      <c r="A94" t="s">
        <v>0</v>
      </c>
      <c r="B94" t="str">
        <f t="shared" si="22"/>
        <v>cuaresma</v>
      </c>
      <c r="C94" t="s">
        <v>2</v>
      </c>
      <c r="D94" s="2">
        <f t="shared" si="46"/>
        <v>4</v>
      </c>
      <c r="E94" t="s">
        <v>5</v>
      </c>
      <c r="F94" t="s">
        <v>17</v>
      </c>
      <c r="G94" s="1" t="str">
        <f t="shared" si="45"/>
        <v>tcs04miercoles</v>
      </c>
      <c r="H94" t="s">
        <v>15</v>
      </c>
      <c r="I94">
        <f>I93</f>
        <v>4</v>
      </c>
      <c r="J94">
        <f t="shared" si="44"/>
        <v>2</v>
      </c>
      <c r="K94" t="s">
        <v>27</v>
      </c>
      <c r="L94" t="str">
        <f t="shared" si="38"/>
        <v>Abril</v>
      </c>
      <c r="M94" t="s">
        <v>28</v>
      </c>
      <c r="N94" t="str">
        <f t="shared" si="41"/>
        <v>{ nombre: "Tiempo Cuaresma, Semana 4 Miercoles", archivo: "/salterios/src/evan/audios/tcs04miercoles.mp3", fecha: `${year}-04-2` },</v>
      </c>
    </row>
    <row r="95" spans="1:14" x14ac:dyDescent="0.25">
      <c r="A95" t="s">
        <v>0</v>
      </c>
      <c r="B95" t="str">
        <f t="shared" si="22"/>
        <v>cuaresma</v>
      </c>
      <c r="C95" t="s">
        <v>2</v>
      </c>
      <c r="D95" s="2">
        <f t="shared" si="46"/>
        <v>4</v>
      </c>
      <c r="E95" t="s">
        <v>6</v>
      </c>
      <c r="F95" t="s">
        <v>17</v>
      </c>
      <c r="G95" s="1" t="str">
        <f t="shared" si="45"/>
        <v>tcs04jueves</v>
      </c>
      <c r="H95" t="s">
        <v>15</v>
      </c>
      <c r="I95">
        <f t="shared" ref="I95:I158" si="47">I94</f>
        <v>4</v>
      </c>
      <c r="J95">
        <f t="shared" ref="J95:J158" si="48">+J94+1</f>
        <v>3</v>
      </c>
      <c r="K95" t="s">
        <v>27</v>
      </c>
      <c r="L95" t="str">
        <f t="shared" si="38"/>
        <v>Abril</v>
      </c>
      <c r="M95" t="s">
        <v>28</v>
      </c>
      <c r="N95" t="str">
        <f t="shared" si="41"/>
        <v>{ nombre: "Tiempo Cuaresma, Semana 4 Jueves", archivo: "/salterios/src/evan/audios/tcs04jueves.mp3", fecha: `${year}-04-3` },</v>
      </c>
    </row>
    <row r="96" spans="1:14" x14ac:dyDescent="0.25">
      <c r="A96" t="s">
        <v>0</v>
      </c>
      <c r="B96" t="str">
        <f t="shared" si="22"/>
        <v>cuaresma</v>
      </c>
      <c r="C96" t="s">
        <v>2</v>
      </c>
      <c r="D96" s="2">
        <f t="shared" si="46"/>
        <v>4</v>
      </c>
      <c r="E96" t="s">
        <v>7</v>
      </c>
      <c r="F96" t="s">
        <v>17</v>
      </c>
      <c r="G96" s="1" t="str">
        <f t="shared" si="45"/>
        <v>tcs04viernes</v>
      </c>
      <c r="H96" t="s">
        <v>15</v>
      </c>
      <c r="I96">
        <f t="shared" si="47"/>
        <v>4</v>
      </c>
      <c r="J96">
        <f t="shared" si="48"/>
        <v>4</v>
      </c>
      <c r="K96" t="s">
        <v>27</v>
      </c>
      <c r="L96" t="str">
        <f t="shared" si="38"/>
        <v>Abril</v>
      </c>
      <c r="M96" t="s">
        <v>28</v>
      </c>
      <c r="N96" t="str">
        <f t="shared" si="41"/>
        <v>{ nombre: "Tiempo Cuaresma, Semana 4 Viernes", archivo: "/salterios/src/evan/audios/tcs04viernes.mp3", fecha: `${year}-04-4` },</v>
      </c>
    </row>
    <row r="97" spans="1:14" x14ac:dyDescent="0.25">
      <c r="A97" t="s">
        <v>0</v>
      </c>
      <c r="B97" t="str">
        <f t="shared" si="22"/>
        <v>cuaresma</v>
      </c>
      <c r="C97" t="s">
        <v>2</v>
      </c>
      <c r="D97" s="2">
        <f t="shared" si="46"/>
        <v>4</v>
      </c>
      <c r="E97" t="s">
        <v>8</v>
      </c>
      <c r="F97" t="s">
        <v>17</v>
      </c>
      <c r="G97" s="1" t="str">
        <f t="shared" si="45"/>
        <v>tcs04sabado</v>
      </c>
      <c r="H97" t="s">
        <v>15</v>
      </c>
      <c r="I97">
        <f t="shared" si="47"/>
        <v>4</v>
      </c>
      <c r="J97">
        <f t="shared" si="48"/>
        <v>5</v>
      </c>
      <c r="K97" t="s">
        <v>27</v>
      </c>
      <c r="L97" t="str">
        <f t="shared" si="38"/>
        <v>Abril</v>
      </c>
      <c r="M97" t="s">
        <v>28</v>
      </c>
      <c r="N97" t="str">
        <f t="shared" si="41"/>
        <v>{ nombre: "Tiempo Cuaresma, Semana 4 Sabado", archivo: "/salterios/src/evan/audios/tcs04sabado.mp3", fecha: `${year}-04-5` },</v>
      </c>
    </row>
    <row r="98" spans="1:14" x14ac:dyDescent="0.25">
      <c r="A98" t="s">
        <v>0</v>
      </c>
      <c r="B98" t="str">
        <f t="shared" si="22"/>
        <v>cuaresma</v>
      </c>
      <c r="C98" t="s">
        <v>2</v>
      </c>
      <c r="D98" s="2">
        <v>5</v>
      </c>
      <c r="E98" t="s">
        <v>9</v>
      </c>
      <c r="F98" t="s">
        <v>17</v>
      </c>
      <c r="G98" s="1" t="str">
        <f>_xlfn.CONCAT(LEFT(A98,1),LEFT(B98,1),LEFT(C98,1),"0",D98,E98)</f>
        <v>tcs05domingo</v>
      </c>
      <c r="H98" t="s">
        <v>15</v>
      </c>
      <c r="I98">
        <f t="shared" si="47"/>
        <v>4</v>
      </c>
      <c r="J98">
        <f t="shared" si="48"/>
        <v>6</v>
      </c>
      <c r="K98" t="s">
        <v>27</v>
      </c>
      <c r="L98" t="str">
        <f t="shared" si="38"/>
        <v>Abril</v>
      </c>
      <c r="M98" t="s">
        <v>28</v>
      </c>
      <c r="N98" t="str">
        <f t="shared" si="41"/>
        <v>{ nombre: "Tiempo Cuaresma, Semana 5 Domingo", archivo: "/salterios/src/evan/audios/tcs05domingo.mp3", fecha: `${year}-04-6` },</v>
      </c>
    </row>
    <row r="99" spans="1:14" x14ac:dyDescent="0.25">
      <c r="A99" t="s">
        <v>0</v>
      </c>
      <c r="B99" t="str">
        <f t="shared" si="22"/>
        <v>cuaresma</v>
      </c>
      <c r="C99" t="s">
        <v>2</v>
      </c>
      <c r="D99" s="2">
        <f>D98</f>
        <v>5</v>
      </c>
      <c r="E99" t="s">
        <v>3</v>
      </c>
      <c r="F99" t="s">
        <v>17</v>
      </c>
      <c r="G99" s="1" t="str">
        <f t="shared" ref="G99:G104" si="49">_xlfn.CONCAT(LEFT(A99,1),LEFT(B99,1),LEFT(C99,1),"0",D99,E99)</f>
        <v>tcs05lunes</v>
      </c>
      <c r="H99" t="s">
        <v>15</v>
      </c>
      <c r="I99">
        <f t="shared" si="47"/>
        <v>4</v>
      </c>
      <c r="J99">
        <f t="shared" si="48"/>
        <v>7</v>
      </c>
      <c r="K99" t="s">
        <v>27</v>
      </c>
      <c r="L99" t="str">
        <f t="shared" si="38"/>
        <v>Abril</v>
      </c>
      <c r="M99" t="s">
        <v>28</v>
      </c>
      <c r="N99" t="str">
        <f t="shared" si="41"/>
        <v>{ nombre: "Tiempo Cuaresma, Semana 5 Lunes", archivo: "/salterios/src/evan/audios/tcs05lunes.mp3", fecha: `${year}-04-7` },</v>
      </c>
    </row>
    <row r="100" spans="1:14" x14ac:dyDescent="0.25">
      <c r="A100" t="s">
        <v>0</v>
      </c>
      <c r="B100" t="str">
        <f t="shared" si="22"/>
        <v>cuaresma</v>
      </c>
      <c r="C100" t="s">
        <v>2</v>
      </c>
      <c r="D100" s="2">
        <f t="shared" ref="D100:D104" si="50">D99</f>
        <v>5</v>
      </c>
      <c r="E100" t="s">
        <v>4</v>
      </c>
      <c r="F100" t="s">
        <v>17</v>
      </c>
      <c r="G100" s="1" t="str">
        <f t="shared" si="49"/>
        <v>tcs05martes</v>
      </c>
      <c r="H100" t="s">
        <v>15</v>
      </c>
      <c r="I100">
        <f t="shared" si="47"/>
        <v>4</v>
      </c>
      <c r="J100">
        <f t="shared" si="48"/>
        <v>8</v>
      </c>
      <c r="K100" t="s">
        <v>27</v>
      </c>
      <c r="L100" t="str">
        <f t="shared" si="38"/>
        <v>Abril</v>
      </c>
      <c r="M100" t="s">
        <v>28</v>
      </c>
      <c r="N100" t="str">
        <f t="shared" si="41"/>
        <v>{ nombre: "Tiempo Cuaresma, Semana 5 Martes", archivo: "/salterios/src/evan/audios/tcs05martes.mp3", fecha: `${year}-04-8` },</v>
      </c>
    </row>
    <row r="101" spans="1:14" x14ac:dyDescent="0.25">
      <c r="A101" t="s">
        <v>0</v>
      </c>
      <c r="B101" t="str">
        <f t="shared" ref="B101:B164" si="51">B100</f>
        <v>cuaresma</v>
      </c>
      <c r="C101" t="s">
        <v>2</v>
      </c>
      <c r="D101" s="2">
        <f t="shared" si="50"/>
        <v>5</v>
      </c>
      <c r="E101" t="s">
        <v>5</v>
      </c>
      <c r="F101" t="s">
        <v>17</v>
      </c>
      <c r="G101" s="1" t="str">
        <f t="shared" si="49"/>
        <v>tcs05miercoles</v>
      </c>
      <c r="H101" t="s">
        <v>15</v>
      </c>
      <c r="I101">
        <f t="shared" si="47"/>
        <v>4</v>
      </c>
      <c r="J101">
        <f t="shared" si="48"/>
        <v>9</v>
      </c>
      <c r="K101" t="s">
        <v>27</v>
      </c>
      <c r="L101" t="str">
        <f t="shared" si="38"/>
        <v>Abril</v>
      </c>
      <c r="M101" t="s">
        <v>28</v>
      </c>
      <c r="N101" t="str">
        <f t="shared" si="41"/>
        <v>{ nombre: "Tiempo Cuaresma, Semana 5 Miercoles", archivo: "/salterios/src/evan/audios/tcs05miercoles.mp3", fecha: `${year}-04-9` },</v>
      </c>
    </row>
    <row r="102" spans="1:14" x14ac:dyDescent="0.25">
      <c r="A102" t="s">
        <v>0</v>
      </c>
      <c r="B102" t="str">
        <f t="shared" si="51"/>
        <v>cuaresma</v>
      </c>
      <c r="C102" t="s">
        <v>2</v>
      </c>
      <c r="D102" s="2">
        <f t="shared" si="50"/>
        <v>5</v>
      </c>
      <c r="E102" t="s">
        <v>6</v>
      </c>
      <c r="F102" t="s">
        <v>17</v>
      </c>
      <c r="G102" s="1" t="str">
        <f t="shared" si="49"/>
        <v>tcs05jueves</v>
      </c>
      <c r="H102" t="s">
        <v>15</v>
      </c>
      <c r="I102">
        <f t="shared" si="47"/>
        <v>4</v>
      </c>
      <c r="J102">
        <f t="shared" si="48"/>
        <v>10</v>
      </c>
      <c r="K102" t="s">
        <v>27</v>
      </c>
      <c r="L102" t="str">
        <f t="shared" si="38"/>
        <v>Abril</v>
      </c>
      <c r="M102" t="s">
        <v>28</v>
      </c>
      <c r="N102" t="str">
        <f t="shared" si="41"/>
        <v>{ nombre: "Tiempo Cuaresma, Semana 5 Jueves", archivo: "/salterios/src/evan/audios/tcs05jueves.mp3", fecha: `${year}-04-10` },</v>
      </c>
    </row>
    <row r="103" spans="1:14" x14ac:dyDescent="0.25">
      <c r="A103" t="s">
        <v>0</v>
      </c>
      <c r="B103" t="str">
        <f t="shared" si="51"/>
        <v>cuaresma</v>
      </c>
      <c r="C103" t="s">
        <v>2</v>
      </c>
      <c r="D103" s="2">
        <f t="shared" si="50"/>
        <v>5</v>
      </c>
      <c r="E103" t="s">
        <v>7</v>
      </c>
      <c r="F103" t="s">
        <v>17</v>
      </c>
      <c r="G103" s="1" t="str">
        <f t="shared" si="49"/>
        <v>tcs05viernes</v>
      </c>
      <c r="H103" t="s">
        <v>15</v>
      </c>
      <c r="I103">
        <f t="shared" si="47"/>
        <v>4</v>
      </c>
      <c r="J103">
        <f t="shared" si="48"/>
        <v>11</v>
      </c>
      <c r="K103" t="s">
        <v>27</v>
      </c>
      <c r="L103" t="str">
        <f t="shared" si="38"/>
        <v>Abril</v>
      </c>
      <c r="M103" t="s">
        <v>28</v>
      </c>
      <c r="N103" t="str">
        <f t="shared" si="41"/>
        <v>{ nombre: "Tiempo Cuaresma, Semana 5 Viernes", archivo: "/salterios/src/evan/audios/tcs05viernes.mp3", fecha: `${year}-04-11` },</v>
      </c>
    </row>
    <row r="104" spans="1:14" x14ac:dyDescent="0.25">
      <c r="A104" t="s">
        <v>0</v>
      </c>
      <c r="B104" t="str">
        <f t="shared" si="51"/>
        <v>cuaresma</v>
      </c>
      <c r="C104" t="s">
        <v>2</v>
      </c>
      <c r="D104" s="2">
        <f t="shared" si="50"/>
        <v>5</v>
      </c>
      <c r="E104" t="s">
        <v>8</v>
      </c>
      <c r="F104" t="s">
        <v>17</v>
      </c>
      <c r="G104" s="1" t="str">
        <f t="shared" si="49"/>
        <v>tcs05sabado</v>
      </c>
      <c r="H104" t="s">
        <v>15</v>
      </c>
      <c r="I104">
        <f t="shared" si="47"/>
        <v>4</v>
      </c>
      <c r="J104">
        <f t="shared" si="48"/>
        <v>12</v>
      </c>
      <c r="K104" t="s">
        <v>27</v>
      </c>
      <c r="L104" t="str">
        <f t="shared" si="38"/>
        <v>Abril</v>
      </c>
      <c r="M104" t="s">
        <v>28</v>
      </c>
      <c r="N104" t="str">
        <f t="shared" si="41"/>
        <v>{ nombre: "Tiempo Cuaresma, Semana 5 Sabado", archivo: "/salterios/src/evan/audios/tcs05sabado.mp3", fecha: `${year}-04-12` },</v>
      </c>
    </row>
    <row r="105" spans="1:14" x14ac:dyDescent="0.25">
      <c r="A105" t="s">
        <v>0</v>
      </c>
      <c r="B105" t="str">
        <f t="shared" si="51"/>
        <v>cuaresma</v>
      </c>
      <c r="C105" t="s">
        <v>21</v>
      </c>
      <c r="D105" s="2">
        <f>+D104+1</f>
        <v>6</v>
      </c>
      <c r="E105" t="s">
        <v>9</v>
      </c>
      <c r="F105" t="s">
        <v>17</v>
      </c>
      <c r="G105" s="1" t="str">
        <f>_xlfn.CONCAT(LEFT(A105,1),LEFT(B105,1),LEFT(C105,1),"0",D105,E105)</f>
        <v>tcs06domingo</v>
      </c>
      <c r="H105" t="s">
        <v>15</v>
      </c>
      <c r="I105">
        <f t="shared" si="47"/>
        <v>4</v>
      </c>
      <c r="J105">
        <f t="shared" si="48"/>
        <v>13</v>
      </c>
      <c r="K105" t="s">
        <v>27</v>
      </c>
      <c r="L105" t="str">
        <f t="shared" si="38"/>
        <v>Abril</v>
      </c>
      <c r="M105" t="s">
        <v>28</v>
      </c>
      <c r="N105" t="str">
        <f t="shared" si="41"/>
        <v>{ nombre: "Tiempo Cuaresma, Semana Del Domingo De Ramos En La Pasión Del Señor 6 Domingo", archivo: "/salterios/src/evan/audios/tcs06domingo.mp3", fecha: `${year}-04-13` },</v>
      </c>
    </row>
    <row r="106" spans="1:14" x14ac:dyDescent="0.25">
      <c r="A106" t="s">
        <v>0</v>
      </c>
      <c r="B106" t="str">
        <f t="shared" si="51"/>
        <v>cuaresma</v>
      </c>
      <c r="C106" t="s">
        <v>2</v>
      </c>
      <c r="D106" s="2">
        <f>D105</f>
        <v>6</v>
      </c>
      <c r="E106" t="s">
        <v>3</v>
      </c>
      <c r="F106" t="s">
        <v>17</v>
      </c>
      <c r="G106" s="1" t="str">
        <f t="shared" ref="G106:G111" si="52">_xlfn.CONCAT(LEFT(A106,1),LEFT(B106,1),LEFT(C106,1),"0",D106,E106)</f>
        <v>tcs06lunes</v>
      </c>
      <c r="H106" t="s">
        <v>15</v>
      </c>
      <c r="I106">
        <f t="shared" si="47"/>
        <v>4</v>
      </c>
      <c r="J106">
        <f t="shared" si="48"/>
        <v>14</v>
      </c>
      <c r="K106" t="s">
        <v>27</v>
      </c>
      <c r="L106" t="str">
        <f t="shared" si="38"/>
        <v>Abril</v>
      </c>
      <c r="M106" t="s">
        <v>28</v>
      </c>
      <c r="N106" t="str">
        <f t="shared" si="41"/>
        <v>{ nombre: "Tiempo Cuaresma, Semana 6 Lunes", archivo: "/salterios/src/evan/audios/tcs06lunes.mp3", fecha: `${year}-04-14` },</v>
      </c>
    </row>
    <row r="107" spans="1:14" x14ac:dyDescent="0.25">
      <c r="A107" t="s">
        <v>0</v>
      </c>
      <c r="B107" t="str">
        <f t="shared" si="51"/>
        <v>cuaresma</v>
      </c>
      <c r="C107" t="s">
        <v>2</v>
      </c>
      <c r="D107" s="2">
        <f t="shared" ref="D107:D111" si="53">D106</f>
        <v>6</v>
      </c>
      <c r="E107" t="s">
        <v>4</v>
      </c>
      <c r="F107" t="s">
        <v>17</v>
      </c>
      <c r="G107" s="1" t="str">
        <f t="shared" si="52"/>
        <v>tcs06martes</v>
      </c>
      <c r="H107" t="s">
        <v>15</v>
      </c>
      <c r="I107">
        <f t="shared" si="47"/>
        <v>4</v>
      </c>
      <c r="J107">
        <f t="shared" si="48"/>
        <v>15</v>
      </c>
      <c r="K107" t="s">
        <v>27</v>
      </c>
      <c r="L107" t="str">
        <f t="shared" si="38"/>
        <v>Abril</v>
      </c>
      <c r="M107" t="s">
        <v>28</v>
      </c>
      <c r="N107" t="str">
        <f t="shared" si="41"/>
        <v>{ nombre: "Tiempo Cuaresma, Semana 6 Martes", archivo: "/salterios/src/evan/audios/tcs06martes.mp3", fecha: `${year}-04-15` },</v>
      </c>
    </row>
    <row r="108" spans="1:14" x14ac:dyDescent="0.25">
      <c r="A108" t="s">
        <v>0</v>
      </c>
      <c r="B108" t="str">
        <f t="shared" si="51"/>
        <v>cuaresma</v>
      </c>
      <c r="C108" t="s">
        <v>2</v>
      </c>
      <c r="D108" s="2">
        <f t="shared" si="53"/>
        <v>6</v>
      </c>
      <c r="E108" t="s">
        <v>5</v>
      </c>
      <c r="F108" t="s">
        <v>17</v>
      </c>
      <c r="G108" s="1" t="str">
        <f t="shared" si="52"/>
        <v>tcs06miercoles</v>
      </c>
      <c r="H108" t="s">
        <v>15</v>
      </c>
      <c r="I108">
        <f t="shared" si="47"/>
        <v>4</v>
      </c>
      <c r="J108">
        <f t="shared" si="48"/>
        <v>16</v>
      </c>
      <c r="K108" t="s">
        <v>27</v>
      </c>
      <c r="L108" t="str">
        <f t="shared" si="38"/>
        <v>Abril</v>
      </c>
      <c r="M108" t="s">
        <v>28</v>
      </c>
      <c r="N108" t="str">
        <f t="shared" si="41"/>
        <v>{ nombre: "Tiempo Cuaresma, Semana 6 Miercoles", archivo: "/salterios/src/evan/audios/tcs06miercoles.mp3", fecha: `${year}-04-16` },</v>
      </c>
    </row>
    <row r="109" spans="1:14" x14ac:dyDescent="0.25">
      <c r="A109" t="s">
        <v>0</v>
      </c>
      <c r="B109" t="s">
        <v>22</v>
      </c>
      <c r="C109" t="s">
        <v>2</v>
      </c>
      <c r="D109" s="2">
        <f t="shared" si="53"/>
        <v>6</v>
      </c>
      <c r="E109" t="s">
        <v>6</v>
      </c>
      <c r="F109" t="s">
        <v>17</v>
      </c>
      <c r="G109" s="1" t="str">
        <f t="shared" si="52"/>
        <v>tts06jueves</v>
      </c>
      <c r="H109" t="s">
        <v>15</v>
      </c>
      <c r="I109">
        <f t="shared" si="47"/>
        <v>4</v>
      </c>
      <c r="J109">
        <f t="shared" si="48"/>
        <v>17</v>
      </c>
      <c r="K109" t="s">
        <v>27</v>
      </c>
      <c r="L109" t="str">
        <f t="shared" si="38"/>
        <v>Abril</v>
      </c>
      <c r="M109" t="s">
        <v>28</v>
      </c>
      <c r="N109" t="str">
        <f t="shared" si="41"/>
        <v>{ nombre: "Tiempo Triduo Pascual, Semana 6 Jueves", archivo: "/salterios/src/evan/audios/tts06jueves.mp3", fecha: `${year}-04-17` },</v>
      </c>
    </row>
    <row r="110" spans="1:14" x14ac:dyDescent="0.25">
      <c r="A110" t="s">
        <v>0</v>
      </c>
      <c r="B110" t="str">
        <f t="shared" si="51"/>
        <v>triduo pascual</v>
      </c>
      <c r="C110" t="s">
        <v>2</v>
      </c>
      <c r="D110" s="2">
        <f t="shared" si="53"/>
        <v>6</v>
      </c>
      <c r="E110" t="s">
        <v>7</v>
      </c>
      <c r="F110" t="s">
        <v>17</v>
      </c>
      <c r="G110" s="1" t="str">
        <f t="shared" si="52"/>
        <v>tts06viernes</v>
      </c>
      <c r="H110" t="s">
        <v>15</v>
      </c>
      <c r="I110">
        <f t="shared" si="47"/>
        <v>4</v>
      </c>
      <c r="J110">
        <f t="shared" si="48"/>
        <v>18</v>
      </c>
      <c r="K110" t="s">
        <v>27</v>
      </c>
      <c r="L110" t="str">
        <f t="shared" si="38"/>
        <v>Abril</v>
      </c>
      <c r="M110" t="s">
        <v>28</v>
      </c>
      <c r="N110" t="str">
        <f t="shared" si="41"/>
        <v>{ nombre: "Tiempo Triduo Pascual, Semana 6 Viernes", archivo: "/salterios/src/evan/audios/tts06viernes.mp3", fecha: `${year}-04-18` },</v>
      </c>
    </row>
    <row r="111" spans="1:14" x14ac:dyDescent="0.25">
      <c r="A111" t="s">
        <v>0</v>
      </c>
      <c r="B111" t="str">
        <f t="shared" si="51"/>
        <v>triduo pascual</v>
      </c>
      <c r="C111" t="s">
        <v>2</v>
      </c>
      <c r="D111" s="2">
        <f t="shared" si="53"/>
        <v>6</v>
      </c>
      <c r="E111" t="s">
        <v>8</v>
      </c>
      <c r="F111" t="s">
        <v>17</v>
      </c>
      <c r="G111" s="1" t="str">
        <f t="shared" si="52"/>
        <v>tts06sabado</v>
      </c>
      <c r="H111" t="s">
        <v>15</v>
      </c>
      <c r="I111">
        <f t="shared" si="47"/>
        <v>4</v>
      </c>
      <c r="J111">
        <f t="shared" si="48"/>
        <v>19</v>
      </c>
      <c r="K111" t="s">
        <v>27</v>
      </c>
      <c r="L111" t="str">
        <f t="shared" si="38"/>
        <v>Abril</v>
      </c>
      <c r="M111" t="s">
        <v>28</v>
      </c>
      <c r="N111" t="str">
        <f t="shared" si="41"/>
        <v>{ nombre: "Tiempo Triduo Pascual, Semana 6 Sabado", archivo: "/salterios/src/evan/audios/tts06sabado.mp3", fecha: `${year}-04-19` },</v>
      </c>
    </row>
    <row r="112" spans="1:14" x14ac:dyDescent="0.25">
      <c r="A112" t="s">
        <v>0</v>
      </c>
      <c r="B112" t="s">
        <v>23</v>
      </c>
      <c r="C112" t="s">
        <v>2</v>
      </c>
      <c r="D112" s="2">
        <v>1</v>
      </c>
      <c r="E112" t="s">
        <v>9</v>
      </c>
      <c r="F112" t="s">
        <v>17</v>
      </c>
      <c r="G112" s="1" t="str">
        <f>_xlfn.CONCAT(LEFT(A112,1),LEFT(B112,1),LEFT(C112,1),"0",D112,E112)</f>
        <v>tps01domingo</v>
      </c>
      <c r="H112" t="s">
        <v>15</v>
      </c>
      <c r="I112">
        <f t="shared" si="47"/>
        <v>4</v>
      </c>
      <c r="J112">
        <f t="shared" si="48"/>
        <v>20</v>
      </c>
      <c r="K112" t="s">
        <v>27</v>
      </c>
      <c r="L112" t="str">
        <f t="shared" si="38"/>
        <v>Abril</v>
      </c>
      <c r="M112" t="s">
        <v>28</v>
      </c>
      <c r="N112" t="str">
        <f t="shared" si="41"/>
        <v>{ nombre: "Tiempo Pascual, Semana 1 Domingo", archivo: "/salterios/src/evan/audios/tps01domingo.mp3", fecha: `${year}-04-20` },</v>
      </c>
    </row>
    <row r="113" spans="1:14" x14ac:dyDescent="0.25">
      <c r="A113" t="s">
        <v>0</v>
      </c>
      <c r="B113" t="str">
        <f t="shared" si="51"/>
        <v>pascual</v>
      </c>
      <c r="C113" t="s">
        <v>2</v>
      </c>
      <c r="D113" s="2">
        <f>D112</f>
        <v>1</v>
      </c>
      <c r="E113" t="s">
        <v>3</v>
      </c>
      <c r="F113" t="s">
        <v>17</v>
      </c>
      <c r="G113" s="1" t="str">
        <f t="shared" ref="G113:G118" si="54">_xlfn.CONCAT(LEFT(A113,1),LEFT(B113,1),LEFT(C113,1),"0",D113,E113)</f>
        <v>tps01lunes</v>
      </c>
      <c r="H113" t="s">
        <v>15</v>
      </c>
      <c r="I113">
        <f t="shared" si="47"/>
        <v>4</v>
      </c>
      <c r="J113">
        <f t="shared" si="48"/>
        <v>21</v>
      </c>
      <c r="K113" t="s">
        <v>27</v>
      </c>
      <c r="L113" t="str">
        <f t="shared" si="38"/>
        <v>Abril</v>
      </c>
      <c r="M113" t="s">
        <v>28</v>
      </c>
      <c r="N113" t="str">
        <f t="shared" si="41"/>
        <v>{ nombre: "Tiempo Pascual, Semana 1 Lunes", archivo: "/salterios/src/evan/audios/tps01lunes.mp3", fecha: `${year}-04-21` },</v>
      </c>
    </row>
    <row r="114" spans="1:14" x14ac:dyDescent="0.25">
      <c r="A114" t="s">
        <v>0</v>
      </c>
      <c r="B114" t="str">
        <f t="shared" si="51"/>
        <v>pascual</v>
      </c>
      <c r="C114" t="s">
        <v>2</v>
      </c>
      <c r="D114" s="2">
        <f t="shared" ref="D114:D118" si="55">D113</f>
        <v>1</v>
      </c>
      <c r="E114" t="s">
        <v>4</v>
      </c>
      <c r="F114" t="s">
        <v>17</v>
      </c>
      <c r="G114" s="1" t="str">
        <f t="shared" si="54"/>
        <v>tps01martes</v>
      </c>
      <c r="H114" t="s">
        <v>15</v>
      </c>
      <c r="I114">
        <f t="shared" si="47"/>
        <v>4</v>
      </c>
      <c r="J114">
        <f t="shared" si="48"/>
        <v>22</v>
      </c>
      <c r="K114" t="s">
        <v>27</v>
      </c>
      <c r="L114" t="str">
        <f t="shared" si="38"/>
        <v>Abril</v>
      </c>
      <c r="M114" t="s">
        <v>28</v>
      </c>
      <c r="N114" t="str">
        <f t="shared" si="41"/>
        <v>{ nombre: "Tiempo Pascual, Semana 1 Martes", archivo: "/salterios/src/evan/audios/tps01martes.mp3", fecha: `${year}-04-22` },</v>
      </c>
    </row>
    <row r="115" spans="1:14" x14ac:dyDescent="0.25">
      <c r="A115" t="s">
        <v>0</v>
      </c>
      <c r="B115" t="str">
        <f t="shared" si="51"/>
        <v>pascual</v>
      </c>
      <c r="C115" t="s">
        <v>2</v>
      </c>
      <c r="D115" s="2">
        <f t="shared" si="55"/>
        <v>1</v>
      </c>
      <c r="E115" t="s">
        <v>5</v>
      </c>
      <c r="F115" t="s">
        <v>17</v>
      </c>
      <c r="G115" s="1" t="str">
        <f t="shared" si="54"/>
        <v>tps01miercoles</v>
      </c>
      <c r="H115" t="s">
        <v>15</v>
      </c>
      <c r="I115">
        <f t="shared" si="47"/>
        <v>4</v>
      </c>
      <c r="J115">
        <f t="shared" si="48"/>
        <v>23</v>
      </c>
      <c r="K115" t="s">
        <v>27</v>
      </c>
      <c r="L115" t="str">
        <f t="shared" si="38"/>
        <v>Abril</v>
      </c>
      <c r="M115" t="s">
        <v>28</v>
      </c>
      <c r="N115" t="str">
        <f t="shared" si="41"/>
        <v>{ nombre: "Tiempo Pascual, Semana 1 Miercoles", archivo: "/salterios/src/evan/audios/tps01miercoles.mp3", fecha: `${year}-04-23` },</v>
      </c>
    </row>
    <row r="116" spans="1:14" x14ac:dyDescent="0.25">
      <c r="A116" t="s">
        <v>0</v>
      </c>
      <c r="B116" t="str">
        <f t="shared" si="51"/>
        <v>pascual</v>
      </c>
      <c r="C116" t="s">
        <v>2</v>
      </c>
      <c r="D116" s="2">
        <f t="shared" si="55"/>
        <v>1</v>
      </c>
      <c r="E116" t="s">
        <v>6</v>
      </c>
      <c r="F116" t="s">
        <v>17</v>
      </c>
      <c r="G116" s="1" t="str">
        <f t="shared" si="54"/>
        <v>tps01jueves</v>
      </c>
      <c r="H116" t="s">
        <v>15</v>
      </c>
      <c r="I116">
        <f t="shared" si="47"/>
        <v>4</v>
      </c>
      <c r="J116">
        <f t="shared" si="48"/>
        <v>24</v>
      </c>
      <c r="K116" t="s">
        <v>27</v>
      </c>
      <c r="L116" t="str">
        <f t="shared" si="38"/>
        <v>Abril</v>
      </c>
      <c r="M116" t="s">
        <v>28</v>
      </c>
      <c r="N116" t="str">
        <f t="shared" si="41"/>
        <v>{ nombre: "Tiempo Pascual, Semana 1 Jueves", archivo: "/salterios/src/evan/audios/tps01jueves.mp3", fecha: `${year}-04-24` },</v>
      </c>
    </row>
    <row r="117" spans="1:14" x14ac:dyDescent="0.25">
      <c r="A117" t="s">
        <v>0</v>
      </c>
      <c r="B117" t="str">
        <f t="shared" si="51"/>
        <v>pascual</v>
      </c>
      <c r="C117" t="s">
        <v>2</v>
      </c>
      <c r="D117" s="2">
        <f t="shared" si="55"/>
        <v>1</v>
      </c>
      <c r="E117" t="s">
        <v>7</v>
      </c>
      <c r="F117" t="s">
        <v>17</v>
      </c>
      <c r="G117" s="1" t="str">
        <f t="shared" si="54"/>
        <v>tps01viernes</v>
      </c>
      <c r="H117" t="s">
        <v>15</v>
      </c>
      <c r="I117">
        <f t="shared" si="47"/>
        <v>4</v>
      </c>
      <c r="J117">
        <f t="shared" si="48"/>
        <v>25</v>
      </c>
      <c r="K117" t="s">
        <v>27</v>
      </c>
      <c r="L117" t="str">
        <f t="shared" si="38"/>
        <v>Abril</v>
      </c>
      <c r="M117" t="s">
        <v>28</v>
      </c>
      <c r="N117" t="str">
        <f t="shared" si="41"/>
        <v>{ nombre: "Tiempo Pascual, Semana 1 Viernes", archivo: "/salterios/src/evan/audios/tps01viernes.mp3", fecha: `${year}-04-25` },</v>
      </c>
    </row>
    <row r="118" spans="1:14" x14ac:dyDescent="0.25">
      <c r="A118" t="s">
        <v>0</v>
      </c>
      <c r="B118" t="str">
        <f t="shared" si="51"/>
        <v>pascual</v>
      </c>
      <c r="C118" t="s">
        <v>2</v>
      </c>
      <c r="D118" s="2">
        <f t="shared" si="55"/>
        <v>1</v>
      </c>
      <c r="E118" t="s">
        <v>8</v>
      </c>
      <c r="F118" t="s">
        <v>17</v>
      </c>
      <c r="G118" s="1" t="str">
        <f t="shared" si="54"/>
        <v>tps01sabado</v>
      </c>
      <c r="H118" t="s">
        <v>15</v>
      </c>
      <c r="I118">
        <f t="shared" si="47"/>
        <v>4</v>
      </c>
      <c r="J118">
        <f t="shared" si="48"/>
        <v>26</v>
      </c>
      <c r="K118" t="s">
        <v>27</v>
      </c>
      <c r="L118" t="str">
        <f t="shared" si="38"/>
        <v>Abril</v>
      </c>
      <c r="M118" t="s">
        <v>28</v>
      </c>
      <c r="N118" t="str">
        <f t="shared" si="41"/>
        <v>{ nombre: "Tiempo Pascual, Semana 1 Sabado", archivo: "/salterios/src/evan/audios/tps01sabado.mp3", fecha: `${year}-04-26` },</v>
      </c>
    </row>
    <row r="119" spans="1:14" x14ac:dyDescent="0.25">
      <c r="A119" t="s">
        <v>0</v>
      </c>
      <c r="B119" t="str">
        <f t="shared" si="51"/>
        <v>pascual</v>
      </c>
      <c r="C119" t="s">
        <v>2</v>
      </c>
      <c r="D119" s="2">
        <v>2</v>
      </c>
      <c r="E119" t="s">
        <v>9</v>
      </c>
      <c r="F119" t="s">
        <v>17</v>
      </c>
      <c r="G119" s="1" t="str">
        <f>_xlfn.CONCAT(LEFT(A119,1),LEFT(B119,1),LEFT(C119,1),"0",D119,E119)</f>
        <v>tps02domingo</v>
      </c>
      <c r="H119" t="s">
        <v>15</v>
      </c>
      <c r="I119">
        <f t="shared" si="47"/>
        <v>4</v>
      </c>
      <c r="J119">
        <f t="shared" si="48"/>
        <v>27</v>
      </c>
      <c r="K119" t="s">
        <v>27</v>
      </c>
      <c r="L119" t="str">
        <f t="shared" si="38"/>
        <v>Abril</v>
      </c>
      <c r="M119" t="s">
        <v>28</v>
      </c>
      <c r="N119" t="str">
        <f t="shared" si="41"/>
        <v>{ nombre: "Tiempo Pascual, Semana 2 Domingo", archivo: "/salterios/src/evan/audios/tps02domingo.mp3", fecha: `${year}-04-27` },</v>
      </c>
    </row>
    <row r="120" spans="1:14" x14ac:dyDescent="0.25">
      <c r="A120" t="s">
        <v>0</v>
      </c>
      <c r="B120" t="str">
        <f t="shared" si="51"/>
        <v>pascual</v>
      </c>
      <c r="C120" t="s">
        <v>2</v>
      </c>
      <c r="D120" s="2">
        <f>D119</f>
        <v>2</v>
      </c>
      <c r="E120" t="s">
        <v>3</v>
      </c>
      <c r="F120" t="s">
        <v>17</v>
      </c>
      <c r="G120" s="1" t="str">
        <f t="shared" ref="G120:G125" si="56">_xlfn.CONCAT(LEFT(A120,1),LEFT(B120,1),LEFT(C120,1),"0",D120,E120)</f>
        <v>tps02lunes</v>
      </c>
      <c r="H120" t="s">
        <v>15</v>
      </c>
      <c r="I120">
        <f t="shared" si="47"/>
        <v>4</v>
      </c>
      <c r="J120">
        <f t="shared" si="48"/>
        <v>28</v>
      </c>
      <c r="K120" t="s">
        <v>27</v>
      </c>
      <c r="L120" t="str">
        <f t="shared" si="38"/>
        <v>Abril</v>
      </c>
      <c r="M120" t="s">
        <v>28</v>
      </c>
      <c r="N120" t="str">
        <f t="shared" si="41"/>
        <v>{ nombre: "Tiempo Pascual, Semana 2 Lunes", archivo: "/salterios/src/evan/audios/tps02lunes.mp3", fecha: `${year}-04-28` },</v>
      </c>
    </row>
    <row r="121" spans="1:14" x14ac:dyDescent="0.25">
      <c r="A121" t="s">
        <v>0</v>
      </c>
      <c r="B121" t="str">
        <f t="shared" si="51"/>
        <v>pascual</v>
      </c>
      <c r="C121" t="s">
        <v>2</v>
      </c>
      <c r="D121" s="2">
        <f t="shared" ref="D121:D125" si="57">D120</f>
        <v>2</v>
      </c>
      <c r="E121" t="s">
        <v>4</v>
      </c>
      <c r="F121" t="s">
        <v>17</v>
      </c>
      <c r="G121" s="1" t="str">
        <f t="shared" si="56"/>
        <v>tps02martes</v>
      </c>
      <c r="H121" t="s">
        <v>15</v>
      </c>
      <c r="I121">
        <f t="shared" si="47"/>
        <v>4</v>
      </c>
      <c r="J121">
        <f t="shared" si="48"/>
        <v>29</v>
      </c>
      <c r="K121" t="s">
        <v>27</v>
      </c>
      <c r="L121" t="str">
        <f t="shared" si="38"/>
        <v>Abril</v>
      </c>
      <c r="M121" t="s">
        <v>28</v>
      </c>
      <c r="N121" t="str">
        <f t="shared" si="41"/>
        <v>{ nombre: "Tiempo Pascual, Semana 2 Martes", archivo: "/salterios/src/evan/audios/tps02martes.mp3", fecha: `${year}-04-29` },</v>
      </c>
    </row>
    <row r="122" spans="1:14" x14ac:dyDescent="0.25">
      <c r="A122" t="s">
        <v>0</v>
      </c>
      <c r="B122" t="str">
        <f t="shared" si="51"/>
        <v>pascual</v>
      </c>
      <c r="C122" t="s">
        <v>2</v>
      </c>
      <c r="D122" s="2">
        <f t="shared" si="57"/>
        <v>2</v>
      </c>
      <c r="E122" t="s">
        <v>5</v>
      </c>
      <c r="F122" t="s">
        <v>17</v>
      </c>
      <c r="G122" s="1" t="str">
        <f t="shared" si="56"/>
        <v>tps02miercoles</v>
      </c>
      <c r="H122" t="s">
        <v>15</v>
      </c>
      <c r="I122">
        <f t="shared" si="47"/>
        <v>4</v>
      </c>
      <c r="J122">
        <f t="shared" si="48"/>
        <v>30</v>
      </c>
      <c r="K122" t="s">
        <v>27</v>
      </c>
      <c r="L122" t="str">
        <f t="shared" si="38"/>
        <v>Abril</v>
      </c>
      <c r="M122" t="s">
        <v>28</v>
      </c>
      <c r="N122" t="str">
        <f t="shared" si="41"/>
        <v>{ nombre: "Tiempo Pascual, Semana 2 Miercoles", archivo: "/salterios/src/evan/audios/tps02miercoles.mp3", fecha: `${year}-04-30` },</v>
      </c>
    </row>
    <row r="123" spans="1:14" x14ac:dyDescent="0.25">
      <c r="A123" t="s">
        <v>0</v>
      </c>
      <c r="B123" t="str">
        <f t="shared" si="51"/>
        <v>pascual</v>
      </c>
      <c r="C123" t="s">
        <v>2</v>
      </c>
      <c r="D123" s="2">
        <f t="shared" si="57"/>
        <v>2</v>
      </c>
      <c r="E123" t="s">
        <v>6</v>
      </c>
      <c r="F123" t="s">
        <v>17</v>
      </c>
      <c r="G123" s="1" t="str">
        <f t="shared" si="56"/>
        <v>tps02jueves</v>
      </c>
      <c r="H123" t="s">
        <v>15</v>
      </c>
      <c r="I123">
        <v>5</v>
      </c>
      <c r="J123">
        <v>1</v>
      </c>
      <c r="K123" t="s">
        <v>27</v>
      </c>
      <c r="L123" t="str">
        <f t="shared" si="38"/>
        <v>Mayo</v>
      </c>
      <c r="M123" t="s">
        <v>28</v>
      </c>
      <c r="N123" t="str">
        <f t="shared" si="41"/>
        <v>{ nombre: "Tiempo Pascual, Semana 2 Jueves", archivo: "/salterios/src/evan/audios/tps02jueves.mp3", fecha: `${year}-05-1` },</v>
      </c>
    </row>
    <row r="124" spans="1:14" x14ac:dyDescent="0.25">
      <c r="A124" t="s">
        <v>0</v>
      </c>
      <c r="B124" t="str">
        <f t="shared" si="51"/>
        <v>pascual</v>
      </c>
      <c r="C124" t="s">
        <v>2</v>
      </c>
      <c r="D124" s="2">
        <f t="shared" si="57"/>
        <v>2</v>
      </c>
      <c r="E124" t="s">
        <v>7</v>
      </c>
      <c r="F124" t="s">
        <v>17</v>
      </c>
      <c r="G124" s="1" t="str">
        <f t="shared" si="56"/>
        <v>tps02viernes</v>
      </c>
      <c r="H124" t="s">
        <v>15</v>
      </c>
      <c r="I124">
        <f t="shared" si="47"/>
        <v>5</v>
      </c>
      <c r="J124">
        <f t="shared" si="48"/>
        <v>2</v>
      </c>
      <c r="K124" t="s">
        <v>27</v>
      </c>
      <c r="L124" t="str">
        <f t="shared" si="38"/>
        <v>Mayo</v>
      </c>
      <c r="M124" t="s">
        <v>28</v>
      </c>
      <c r="N124" t="str">
        <f t="shared" si="41"/>
        <v>{ nombre: "Tiempo Pascual, Semana 2 Viernes", archivo: "/salterios/src/evan/audios/tps02viernes.mp3", fecha: `${year}-05-2` },</v>
      </c>
    </row>
    <row r="125" spans="1:14" x14ac:dyDescent="0.25">
      <c r="A125" t="s">
        <v>0</v>
      </c>
      <c r="B125" t="str">
        <f t="shared" si="51"/>
        <v>pascual</v>
      </c>
      <c r="C125" t="s">
        <v>2</v>
      </c>
      <c r="D125" s="2">
        <f t="shared" si="57"/>
        <v>2</v>
      </c>
      <c r="E125" t="s">
        <v>8</v>
      </c>
      <c r="F125" t="s">
        <v>17</v>
      </c>
      <c r="G125" s="1" t="str">
        <f t="shared" si="56"/>
        <v>tps02sabado</v>
      </c>
      <c r="H125" t="s">
        <v>15</v>
      </c>
      <c r="I125">
        <f t="shared" si="47"/>
        <v>5</v>
      </c>
      <c r="J125">
        <f t="shared" si="48"/>
        <v>3</v>
      </c>
      <c r="K125" t="s">
        <v>27</v>
      </c>
      <c r="L125" t="str">
        <f t="shared" si="38"/>
        <v>Mayo</v>
      </c>
      <c r="M125" t="s">
        <v>28</v>
      </c>
      <c r="N125" t="str">
        <f t="shared" si="41"/>
        <v>{ nombre: "Tiempo Pascual, Semana 2 Sabado", archivo: "/salterios/src/evan/audios/tps02sabado.mp3", fecha: `${year}-05-3` },</v>
      </c>
    </row>
    <row r="126" spans="1:14" x14ac:dyDescent="0.25">
      <c r="A126" t="s">
        <v>0</v>
      </c>
      <c r="B126" t="str">
        <f t="shared" si="51"/>
        <v>pascual</v>
      </c>
      <c r="C126" t="s">
        <v>2</v>
      </c>
      <c r="D126" s="2">
        <f>+D125+1</f>
        <v>3</v>
      </c>
      <c r="E126" t="s">
        <v>9</v>
      </c>
      <c r="F126" t="s">
        <v>17</v>
      </c>
      <c r="G126" s="1" t="str">
        <f>_xlfn.CONCAT(LEFT(A126,1),LEFT(B126,1),LEFT(C126,1),"0",D126,E126)</f>
        <v>tps03domingo</v>
      </c>
      <c r="H126" t="s">
        <v>15</v>
      </c>
      <c r="I126">
        <f t="shared" si="47"/>
        <v>5</v>
      </c>
      <c r="J126">
        <f t="shared" si="48"/>
        <v>4</v>
      </c>
      <c r="K126" t="s">
        <v>27</v>
      </c>
      <c r="L126" t="str">
        <f t="shared" si="38"/>
        <v>Mayo</v>
      </c>
      <c r="M126" t="s">
        <v>28</v>
      </c>
      <c r="N126" t="str">
        <f t="shared" si="41"/>
        <v>{ nombre: "Tiempo Pascual, Semana 3 Domingo", archivo: "/salterios/src/evan/audios/tps03domingo.mp3", fecha: `${year}-05-4` },</v>
      </c>
    </row>
    <row r="127" spans="1:14" x14ac:dyDescent="0.25">
      <c r="A127" t="s">
        <v>0</v>
      </c>
      <c r="B127" t="str">
        <f t="shared" si="51"/>
        <v>pascual</v>
      </c>
      <c r="C127" t="s">
        <v>2</v>
      </c>
      <c r="D127" s="2">
        <f>D126</f>
        <v>3</v>
      </c>
      <c r="E127" t="s">
        <v>3</v>
      </c>
      <c r="F127" t="s">
        <v>17</v>
      </c>
      <c r="G127" s="1" t="str">
        <f t="shared" ref="G127:G132" si="58">_xlfn.CONCAT(LEFT(A127,1),LEFT(B127,1),LEFT(C127,1),"0",D127,E127)</f>
        <v>tps03lunes</v>
      </c>
      <c r="H127" t="s">
        <v>15</v>
      </c>
      <c r="I127">
        <f t="shared" si="47"/>
        <v>5</v>
      </c>
      <c r="J127">
        <f t="shared" si="48"/>
        <v>5</v>
      </c>
      <c r="K127" t="s">
        <v>27</v>
      </c>
      <c r="L127" t="str">
        <f t="shared" si="38"/>
        <v>Mayo</v>
      </c>
      <c r="M127" t="s">
        <v>28</v>
      </c>
      <c r="N127" t="str">
        <f t="shared" si="41"/>
        <v>{ nombre: "Tiempo Pascual, Semana 3 Lunes", archivo: "/salterios/src/evan/audios/tps03lunes.mp3", fecha: `${year}-05-5` },</v>
      </c>
    </row>
    <row r="128" spans="1:14" x14ac:dyDescent="0.25">
      <c r="A128" t="s">
        <v>0</v>
      </c>
      <c r="B128" t="str">
        <f t="shared" si="51"/>
        <v>pascual</v>
      </c>
      <c r="C128" t="s">
        <v>2</v>
      </c>
      <c r="D128" s="2">
        <f t="shared" ref="D128:D132" si="59">D127</f>
        <v>3</v>
      </c>
      <c r="E128" t="s">
        <v>4</v>
      </c>
      <c r="F128" t="s">
        <v>17</v>
      </c>
      <c r="G128" s="1" t="str">
        <f t="shared" si="58"/>
        <v>tps03martes</v>
      </c>
      <c r="H128" t="s">
        <v>15</v>
      </c>
      <c r="I128">
        <f t="shared" si="47"/>
        <v>5</v>
      </c>
      <c r="J128">
        <f t="shared" si="48"/>
        <v>6</v>
      </c>
      <c r="K128" t="s">
        <v>27</v>
      </c>
      <c r="L128" t="str">
        <f t="shared" si="38"/>
        <v>Mayo</v>
      </c>
      <c r="M128" t="s">
        <v>28</v>
      </c>
      <c r="N128" t="str">
        <f t="shared" si="41"/>
        <v>{ nombre: "Tiempo Pascual, Semana 3 Martes", archivo: "/salterios/src/evan/audios/tps03martes.mp3", fecha: `${year}-05-6` },</v>
      </c>
    </row>
    <row r="129" spans="1:14" x14ac:dyDescent="0.25">
      <c r="A129" t="s">
        <v>0</v>
      </c>
      <c r="B129" t="str">
        <f t="shared" si="51"/>
        <v>pascual</v>
      </c>
      <c r="C129" t="s">
        <v>2</v>
      </c>
      <c r="D129" s="2">
        <f t="shared" si="59"/>
        <v>3</v>
      </c>
      <c r="E129" t="s">
        <v>5</v>
      </c>
      <c r="F129" t="s">
        <v>17</v>
      </c>
      <c r="G129" s="1" t="str">
        <f t="shared" si="58"/>
        <v>tps03miercoles</v>
      </c>
      <c r="H129" t="s">
        <v>15</v>
      </c>
      <c r="I129">
        <f t="shared" si="47"/>
        <v>5</v>
      </c>
      <c r="J129">
        <f t="shared" si="48"/>
        <v>7</v>
      </c>
      <c r="K129" t="s">
        <v>27</v>
      </c>
      <c r="L129" t="str">
        <f t="shared" si="38"/>
        <v>Mayo</v>
      </c>
      <c r="M129" t="s">
        <v>28</v>
      </c>
      <c r="N129" t="str">
        <f t="shared" si="41"/>
        <v>{ nombre: "Tiempo Pascual, Semana 3 Miercoles", archivo: "/salterios/src/evan/audios/tps03miercoles.mp3", fecha: `${year}-05-7` },</v>
      </c>
    </row>
    <row r="130" spans="1:14" x14ac:dyDescent="0.25">
      <c r="A130" t="s">
        <v>0</v>
      </c>
      <c r="B130" t="str">
        <f t="shared" si="51"/>
        <v>pascual</v>
      </c>
      <c r="C130" t="s">
        <v>2</v>
      </c>
      <c r="D130" s="2">
        <f t="shared" si="59"/>
        <v>3</v>
      </c>
      <c r="E130" t="s">
        <v>6</v>
      </c>
      <c r="F130" t="s">
        <v>17</v>
      </c>
      <c r="G130" s="1" t="str">
        <f t="shared" si="58"/>
        <v>tps03jueves</v>
      </c>
      <c r="H130" t="s">
        <v>15</v>
      </c>
      <c r="I130">
        <f t="shared" si="47"/>
        <v>5</v>
      </c>
      <c r="J130">
        <f t="shared" si="48"/>
        <v>8</v>
      </c>
      <c r="K130" t="s">
        <v>27</v>
      </c>
      <c r="L130" t="str">
        <f t="shared" si="38"/>
        <v>Mayo</v>
      </c>
      <c r="M130" t="s">
        <v>28</v>
      </c>
      <c r="N130" t="str">
        <f t="shared" si="41"/>
        <v>{ nombre: "Tiempo Pascual, Semana 3 Jueves", archivo: "/salterios/src/evan/audios/tps03jueves.mp3", fecha: `${year}-05-8` },</v>
      </c>
    </row>
    <row r="131" spans="1:14" x14ac:dyDescent="0.25">
      <c r="A131" t="s">
        <v>0</v>
      </c>
      <c r="B131" t="str">
        <f t="shared" si="51"/>
        <v>pascual</v>
      </c>
      <c r="C131" t="s">
        <v>2</v>
      </c>
      <c r="D131" s="2">
        <f t="shared" si="59"/>
        <v>3</v>
      </c>
      <c r="E131" t="s">
        <v>7</v>
      </c>
      <c r="F131" t="s">
        <v>17</v>
      </c>
      <c r="G131" s="1" t="str">
        <f t="shared" si="58"/>
        <v>tps03viernes</v>
      </c>
      <c r="H131" t="s">
        <v>15</v>
      </c>
      <c r="I131">
        <f t="shared" si="47"/>
        <v>5</v>
      </c>
      <c r="J131">
        <f t="shared" si="48"/>
        <v>9</v>
      </c>
      <c r="K131" t="s">
        <v>27</v>
      </c>
      <c r="L131" t="str">
        <f t="shared" si="38"/>
        <v>Mayo</v>
      </c>
      <c r="M131" t="s">
        <v>28</v>
      </c>
      <c r="N131" t="str">
        <f t="shared" si="41"/>
        <v>{ nombre: "Tiempo Pascual, Semana 3 Viernes", archivo: "/salterios/src/evan/audios/tps03viernes.mp3", fecha: `${year}-05-9` },</v>
      </c>
    </row>
    <row r="132" spans="1:14" x14ac:dyDescent="0.25">
      <c r="A132" t="s">
        <v>0</v>
      </c>
      <c r="B132" t="str">
        <f t="shared" si="51"/>
        <v>pascual</v>
      </c>
      <c r="C132" t="s">
        <v>2</v>
      </c>
      <c r="D132" s="2">
        <f t="shared" si="59"/>
        <v>3</v>
      </c>
      <c r="E132" t="s">
        <v>8</v>
      </c>
      <c r="F132" t="s">
        <v>17</v>
      </c>
      <c r="G132" s="1" t="str">
        <f t="shared" si="58"/>
        <v>tps03sabado</v>
      </c>
      <c r="H132" t="s">
        <v>15</v>
      </c>
      <c r="I132">
        <f t="shared" si="47"/>
        <v>5</v>
      </c>
      <c r="J132">
        <f t="shared" si="48"/>
        <v>10</v>
      </c>
      <c r="K132" t="s">
        <v>27</v>
      </c>
      <c r="L132" t="str">
        <f t="shared" si="38"/>
        <v>Mayo</v>
      </c>
      <c r="M132" t="s">
        <v>28</v>
      </c>
      <c r="N132" t="str">
        <f t="shared" si="41"/>
        <v>{ nombre: "Tiempo Pascual, Semana 3 Sabado", archivo: "/salterios/src/evan/audios/tps03sabado.mp3", fecha: `${year}-05-10` },</v>
      </c>
    </row>
    <row r="133" spans="1:14" x14ac:dyDescent="0.25">
      <c r="A133" t="s">
        <v>0</v>
      </c>
      <c r="B133" t="str">
        <f t="shared" si="51"/>
        <v>pascual</v>
      </c>
      <c r="C133" t="s">
        <v>2</v>
      </c>
      <c r="D133" s="2">
        <f>+D132+1</f>
        <v>4</v>
      </c>
      <c r="E133" t="s">
        <v>9</v>
      </c>
      <c r="F133" t="s">
        <v>17</v>
      </c>
      <c r="G133" s="1" t="str">
        <f>_xlfn.CONCAT(LEFT(A133,1),LEFT(B133,1),LEFT(C133,1),"0",D133,E133)</f>
        <v>tps04domingo</v>
      </c>
      <c r="H133" t="s">
        <v>15</v>
      </c>
      <c r="I133">
        <f t="shared" si="47"/>
        <v>5</v>
      </c>
      <c r="J133">
        <f t="shared" si="48"/>
        <v>11</v>
      </c>
      <c r="K133" t="s">
        <v>27</v>
      </c>
      <c r="L133" t="str">
        <f t="shared" si="38"/>
        <v>Mayo</v>
      </c>
      <c r="M133" t="s">
        <v>28</v>
      </c>
      <c r="N133" t="str">
        <f t="shared" si="41"/>
        <v>{ nombre: "Tiempo Pascual, Semana 4 Domingo", archivo: "/salterios/src/evan/audios/tps04domingo.mp3", fecha: `${year}-05-11` },</v>
      </c>
    </row>
    <row r="134" spans="1:14" x14ac:dyDescent="0.25">
      <c r="A134" t="s">
        <v>0</v>
      </c>
      <c r="B134" t="str">
        <f t="shared" si="51"/>
        <v>pascual</v>
      </c>
      <c r="C134" t="s">
        <v>2</v>
      </c>
      <c r="D134" s="2">
        <f>D133</f>
        <v>4</v>
      </c>
      <c r="E134" t="s">
        <v>3</v>
      </c>
      <c r="F134" t="s">
        <v>17</v>
      </c>
      <c r="G134" s="1" t="str">
        <f t="shared" ref="G134:G139" si="60">_xlfn.CONCAT(LEFT(A134,1),LEFT(B134,1),LEFT(C134,1),"0",D134,E134)</f>
        <v>tps04lunes</v>
      </c>
      <c r="H134" t="s">
        <v>15</v>
      </c>
      <c r="I134">
        <f t="shared" si="47"/>
        <v>5</v>
      </c>
      <c r="J134">
        <f t="shared" si="48"/>
        <v>12</v>
      </c>
      <c r="K134" t="s">
        <v>27</v>
      </c>
      <c r="L134" t="str">
        <f t="shared" si="38"/>
        <v>Mayo</v>
      </c>
      <c r="M134" t="s">
        <v>28</v>
      </c>
      <c r="N134" t="str">
        <f t="shared" si="41"/>
        <v>{ nombre: "Tiempo Pascual, Semana 4 Lunes", archivo: "/salterios/src/evan/audios/tps04lunes.mp3", fecha: `${year}-05-12` },</v>
      </c>
    </row>
    <row r="135" spans="1:14" x14ac:dyDescent="0.25">
      <c r="A135" t="s">
        <v>0</v>
      </c>
      <c r="B135" t="str">
        <f t="shared" si="51"/>
        <v>pascual</v>
      </c>
      <c r="C135" t="s">
        <v>2</v>
      </c>
      <c r="D135" s="2">
        <f t="shared" ref="D135:D139" si="61">D134</f>
        <v>4</v>
      </c>
      <c r="E135" t="s">
        <v>4</v>
      </c>
      <c r="F135" t="s">
        <v>17</v>
      </c>
      <c r="G135" s="1" t="str">
        <f t="shared" si="60"/>
        <v>tps04martes</v>
      </c>
      <c r="H135" t="s">
        <v>15</v>
      </c>
      <c r="I135">
        <f t="shared" si="47"/>
        <v>5</v>
      </c>
      <c r="J135">
        <f t="shared" si="48"/>
        <v>13</v>
      </c>
      <c r="K135" t="s">
        <v>27</v>
      </c>
      <c r="L135" t="str">
        <f t="shared" si="38"/>
        <v>Mayo</v>
      </c>
      <c r="M135" t="s">
        <v>28</v>
      </c>
      <c r="N135" t="str">
        <f t="shared" si="41"/>
        <v>{ nombre: "Tiempo Pascual, Semana 4 Martes", archivo: "/salterios/src/evan/audios/tps04martes.mp3", fecha: `${year}-05-13` },</v>
      </c>
    </row>
    <row r="136" spans="1:14" x14ac:dyDescent="0.25">
      <c r="A136" t="s">
        <v>0</v>
      </c>
      <c r="B136" t="str">
        <f t="shared" si="51"/>
        <v>pascual</v>
      </c>
      <c r="C136" t="s">
        <v>2</v>
      </c>
      <c r="D136" s="2">
        <f t="shared" si="61"/>
        <v>4</v>
      </c>
      <c r="E136" t="s">
        <v>5</v>
      </c>
      <c r="F136" t="s">
        <v>17</v>
      </c>
      <c r="G136" s="1" t="str">
        <f t="shared" si="60"/>
        <v>tps04miercoles</v>
      </c>
      <c r="H136" t="s">
        <v>15</v>
      </c>
      <c r="I136">
        <f t="shared" si="47"/>
        <v>5</v>
      </c>
      <c r="J136">
        <f t="shared" si="48"/>
        <v>14</v>
      </c>
      <c r="K136" t="s">
        <v>27</v>
      </c>
      <c r="L136" t="str">
        <f t="shared" si="38"/>
        <v>Mayo</v>
      </c>
      <c r="M136" t="s">
        <v>28</v>
      </c>
      <c r="N136" t="str">
        <f t="shared" si="41"/>
        <v>{ nombre: "Tiempo Pascual, Semana 4 Miercoles", archivo: "/salterios/src/evan/audios/tps04miercoles.mp3", fecha: `${year}-05-14` },</v>
      </c>
    </row>
    <row r="137" spans="1:14" x14ac:dyDescent="0.25">
      <c r="A137" t="s">
        <v>0</v>
      </c>
      <c r="B137" t="str">
        <f t="shared" si="51"/>
        <v>pascual</v>
      </c>
      <c r="C137" t="s">
        <v>2</v>
      </c>
      <c r="D137" s="2">
        <f t="shared" si="61"/>
        <v>4</v>
      </c>
      <c r="E137" t="s">
        <v>6</v>
      </c>
      <c r="F137" t="s">
        <v>17</v>
      </c>
      <c r="G137" s="1" t="str">
        <f t="shared" si="60"/>
        <v>tps04jueves</v>
      </c>
      <c r="H137" t="s">
        <v>15</v>
      </c>
      <c r="I137">
        <f t="shared" si="47"/>
        <v>5</v>
      </c>
      <c r="J137">
        <f t="shared" si="48"/>
        <v>15</v>
      </c>
      <c r="K137" t="s">
        <v>27</v>
      </c>
      <c r="L137" t="str">
        <f t="shared" si="38"/>
        <v>Mayo</v>
      </c>
      <c r="M137" t="s">
        <v>28</v>
      </c>
      <c r="N137" t="str">
        <f t="shared" si="41"/>
        <v>{ nombre: "Tiempo Pascual, Semana 4 Jueves", archivo: "/salterios/src/evan/audios/tps04jueves.mp3", fecha: `${year}-05-15` },</v>
      </c>
    </row>
    <row r="138" spans="1:14" x14ac:dyDescent="0.25">
      <c r="A138" t="s">
        <v>0</v>
      </c>
      <c r="B138" t="str">
        <f t="shared" si="51"/>
        <v>pascual</v>
      </c>
      <c r="C138" t="s">
        <v>2</v>
      </c>
      <c r="D138" s="2">
        <f t="shared" si="61"/>
        <v>4</v>
      </c>
      <c r="E138" t="s">
        <v>7</v>
      </c>
      <c r="F138" t="s">
        <v>17</v>
      </c>
      <c r="G138" s="1" t="str">
        <f t="shared" si="60"/>
        <v>tps04viernes</v>
      </c>
      <c r="H138" t="s">
        <v>15</v>
      </c>
      <c r="I138">
        <f t="shared" si="47"/>
        <v>5</v>
      </c>
      <c r="J138">
        <f t="shared" si="48"/>
        <v>16</v>
      </c>
      <c r="K138" t="s">
        <v>27</v>
      </c>
      <c r="L138" t="str">
        <f t="shared" si="38"/>
        <v>Mayo</v>
      </c>
      <c r="M138" t="s">
        <v>28</v>
      </c>
      <c r="N138" t="str">
        <f t="shared" si="41"/>
        <v>{ nombre: "Tiempo Pascual, Semana 4 Viernes", archivo: "/salterios/src/evan/audios/tps04viernes.mp3", fecha: `${year}-05-16` },</v>
      </c>
    </row>
    <row r="139" spans="1:14" x14ac:dyDescent="0.25">
      <c r="A139" t="s">
        <v>0</v>
      </c>
      <c r="B139" t="str">
        <f t="shared" si="51"/>
        <v>pascual</v>
      </c>
      <c r="C139" t="s">
        <v>2</v>
      </c>
      <c r="D139" s="2">
        <f t="shared" si="61"/>
        <v>4</v>
      </c>
      <c r="E139" t="s">
        <v>8</v>
      </c>
      <c r="F139" t="s">
        <v>17</v>
      </c>
      <c r="G139" s="1" t="str">
        <f t="shared" si="60"/>
        <v>tps04sabado</v>
      </c>
      <c r="H139" t="s">
        <v>15</v>
      </c>
      <c r="I139">
        <f t="shared" si="47"/>
        <v>5</v>
      </c>
      <c r="J139">
        <f t="shared" si="48"/>
        <v>17</v>
      </c>
      <c r="K139" t="s">
        <v>27</v>
      </c>
      <c r="L139" t="str">
        <f t="shared" si="38"/>
        <v>Mayo</v>
      </c>
      <c r="M139" t="s">
        <v>28</v>
      </c>
      <c r="N139" t="str">
        <f t="shared" si="41"/>
        <v>{ nombre: "Tiempo Pascual, Semana 4 Sabado", archivo: "/salterios/src/evan/audios/tps04sabado.mp3", fecha: `${year}-05-17` },</v>
      </c>
    </row>
    <row r="140" spans="1:14" x14ac:dyDescent="0.25">
      <c r="A140" t="s">
        <v>0</v>
      </c>
      <c r="B140" t="str">
        <f t="shared" si="51"/>
        <v>pascual</v>
      </c>
      <c r="C140" t="s">
        <v>2</v>
      </c>
      <c r="D140" s="2">
        <f>+D139+1</f>
        <v>5</v>
      </c>
      <c r="E140" t="s">
        <v>9</v>
      </c>
      <c r="F140" t="s">
        <v>17</v>
      </c>
      <c r="G140" s="1" t="str">
        <f>_xlfn.CONCAT(LEFT(A140,1),LEFT(B140,1),LEFT(C140,1),"0",D140,E140)</f>
        <v>tps05domingo</v>
      </c>
      <c r="H140" t="s">
        <v>15</v>
      </c>
      <c r="I140">
        <f t="shared" si="47"/>
        <v>5</v>
      </c>
      <c r="J140">
        <f t="shared" si="48"/>
        <v>18</v>
      </c>
      <c r="K140" t="s">
        <v>27</v>
      </c>
      <c r="L140" t="str">
        <f t="shared" si="38"/>
        <v>Mayo</v>
      </c>
      <c r="M140" t="s">
        <v>28</v>
      </c>
      <c r="N140" t="str">
        <f t="shared" si="41"/>
        <v>{ nombre: "Tiempo Pascual, Semana 5 Domingo", archivo: "/salterios/src/evan/audios/tps05domingo.mp3", fecha: `${year}-05-18` },</v>
      </c>
    </row>
    <row r="141" spans="1:14" x14ac:dyDescent="0.25">
      <c r="A141" t="s">
        <v>0</v>
      </c>
      <c r="B141" t="str">
        <f t="shared" si="51"/>
        <v>pascual</v>
      </c>
      <c r="C141" t="s">
        <v>2</v>
      </c>
      <c r="D141" s="2">
        <f>D140</f>
        <v>5</v>
      </c>
      <c r="E141" t="s">
        <v>3</v>
      </c>
      <c r="F141" t="s">
        <v>17</v>
      </c>
      <c r="G141" s="1" t="str">
        <f t="shared" ref="G141:G146" si="62">_xlfn.CONCAT(LEFT(A141,1),LEFT(B141,1),LEFT(C141,1),"0",D141,E141)</f>
        <v>tps05lunes</v>
      </c>
      <c r="H141" t="s">
        <v>15</v>
      </c>
      <c r="I141">
        <f t="shared" si="47"/>
        <v>5</v>
      </c>
      <c r="J141">
        <f t="shared" si="48"/>
        <v>19</v>
      </c>
      <c r="K141" t="s">
        <v>27</v>
      </c>
      <c r="L141" t="str">
        <f t="shared" si="38"/>
        <v>Mayo</v>
      </c>
      <c r="M141" t="s">
        <v>28</v>
      </c>
      <c r="N141" t="str">
        <f t="shared" si="41"/>
        <v>{ nombre: "Tiempo Pascual, Semana 5 Lunes", archivo: "/salterios/src/evan/audios/tps05lunes.mp3", fecha: `${year}-05-19` },</v>
      </c>
    </row>
    <row r="142" spans="1:14" x14ac:dyDescent="0.25">
      <c r="A142" t="s">
        <v>0</v>
      </c>
      <c r="B142" t="str">
        <f t="shared" si="51"/>
        <v>pascual</v>
      </c>
      <c r="C142" t="s">
        <v>2</v>
      </c>
      <c r="D142" s="2">
        <f t="shared" ref="D142:D146" si="63">D141</f>
        <v>5</v>
      </c>
      <c r="E142" t="s">
        <v>4</v>
      </c>
      <c r="F142" t="s">
        <v>17</v>
      </c>
      <c r="G142" s="1" t="str">
        <f t="shared" si="62"/>
        <v>tps05martes</v>
      </c>
      <c r="H142" t="s">
        <v>15</v>
      </c>
      <c r="I142">
        <f t="shared" si="47"/>
        <v>5</v>
      </c>
      <c r="J142">
        <f t="shared" si="48"/>
        <v>20</v>
      </c>
      <c r="K142" t="s">
        <v>27</v>
      </c>
      <c r="L142" t="str">
        <f t="shared" ref="L142:L205" si="64">IF(I142=1,"Enero",
IF(I142=2,"Febrero",
IF(I142=3,"Marzo",
IF(I142=4,"Abril",
IF(I142=5,"Mayo",
IF(I142=6,"Junio",
IF(I142=7,"Julio",
IF(I142=8,"Agosto",
IF(I142=9,"Septiembre",
IF(I142=10,"Octubre",
IF(I142=11,"Noviembre",
IF(I142=12,"Diciembre",""))))))))))))</f>
        <v>Mayo</v>
      </c>
      <c r="M142" t="s">
        <v>28</v>
      </c>
      <c r="N142" t="str">
        <f t="shared" si="41"/>
        <v>{ nombre: "Tiempo Pascual, Semana 5 Martes", archivo: "/salterios/src/evan/audios/tps05martes.mp3", fecha: `${year}-05-20` },</v>
      </c>
    </row>
    <row r="143" spans="1:14" x14ac:dyDescent="0.25">
      <c r="A143" t="s">
        <v>0</v>
      </c>
      <c r="B143" t="str">
        <f t="shared" si="51"/>
        <v>pascual</v>
      </c>
      <c r="C143" t="s">
        <v>2</v>
      </c>
      <c r="D143" s="2">
        <f t="shared" si="63"/>
        <v>5</v>
      </c>
      <c r="E143" t="s">
        <v>5</v>
      </c>
      <c r="F143" t="s">
        <v>17</v>
      </c>
      <c r="G143" s="1" t="str">
        <f t="shared" si="62"/>
        <v>tps05miercoles</v>
      </c>
      <c r="H143" t="s">
        <v>15</v>
      </c>
      <c r="I143">
        <f t="shared" si="47"/>
        <v>5</v>
      </c>
      <c r="J143">
        <f t="shared" si="48"/>
        <v>21</v>
      </c>
      <c r="K143" t="s">
        <v>27</v>
      </c>
      <c r="L143" t="str">
        <f t="shared" si="64"/>
        <v>Mayo</v>
      </c>
      <c r="M143" t="s">
        <v>28</v>
      </c>
      <c r="N143" t="str">
        <f t="shared" si="41"/>
        <v>{ nombre: "Tiempo Pascual, Semana 5 Miercoles", archivo: "/salterios/src/evan/audios/tps05miercoles.mp3", fecha: `${year}-05-21` },</v>
      </c>
    </row>
    <row r="144" spans="1:14" x14ac:dyDescent="0.25">
      <c r="A144" t="s">
        <v>0</v>
      </c>
      <c r="B144" t="str">
        <f t="shared" si="51"/>
        <v>pascual</v>
      </c>
      <c r="C144" t="s">
        <v>2</v>
      </c>
      <c r="D144" s="2">
        <f t="shared" si="63"/>
        <v>5</v>
      </c>
      <c r="E144" t="s">
        <v>6</v>
      </c>
      <c r="F144" t="s">
        <v>17</v>
      </c>
      <c r="G144" s="1" t="str">
        <f t="shared" si="62"/>
        <v>tps05jueves</v>
      </c>
      <c r="H144" t="s">
        <v>15</v>
      </c>
      <c r="I144">
        <f t="shared" si="47"/>
        <v>5</v>
      </c>
      <c r="J144">
        <f t="shared" si="48"/>
        <v>22</v>
      </c>
      <c r="K144" t="s">
        <v>27</v>
      </c>
      <c r="L144" t="str">
        <f t="shared" si="64"/>
        <v>Mayo</v>
      </c>
      <c r="M144" t="s">
        <v>28</v>
      </c>
      <c r="N144" t="str">
        <f t="shared" ref="N144:N207" si="65">_xlfn.CONCAT("{ nombre: ",H144,PROPER(A144)," ",PROPER(B144),", ",PROPER(C144)," ",D144," ",PROPER(E144),""",",F144,G144,".mp3",H144,", fecha: `${year}-",0,I144,"-",J144,"` },")</f>
        <v>{ nombre: "Tiempo Pascual, Semana 5 Jueves", archivo: "/salterios/src/evan/audios/tps05jueves.mp3", fecha: `${year}-05-22` },</v>
      </c>
    </row>
    <row r="145" spans="1:14" x14ac:dyDescent="0.25">
      <c r="A145" t="s">
        <v>0</v>
      </c>
      <c r="B145" t="str">
        <f t="shared" si="51"/>
        <v>pascual</v>
      </c>
      <c r="C145" t="s">
        <v>2</v>
      </c>
      <c r="D145" s="2">
        <f t="shared" si="63"/>
        <v>5</v>
      </c>
      <c r="E145" t="s">
        <v>7</v>
      </c>
      <c r="F145" t="s">
        <v>17</v>
      </c>
      <c r="G145" s="1" t="str">
        <f t="shared" si="62"/>
        <v>tps05viernes</v>
      </c>
      <c r="H145" t="s">
        <v>15</v>
      </c>
      <c r="I145">
        <f t="shared" si="47"/>
        <v>5</v>
      </c>
      <c r="J145">
        <f t="shared" si="48"/>
        <v>23</v>
      </c>
      <c r="K145" t="s">
        <v>27</v>
      </c>
      <c r="L145" t="str">
        <f t="shared" si="64"/>
        <v>Mayo</v>
      </c>
      <c r="M145" t="s">
        <v>28</v>
      </c>
      <c r="N145" t="str">
        <f t="shared" si="65"/>
        <v>{ nombre: "Tiempo Pascual, Semana 5 Viernes", archivo: "/salterios/src/evan/audios/tps05viernes.mp3", fecha: `${year}-05-23` },</v>
      </c>
    </row>
    <row r="146" spans="1:14" x14ac:dyDescent="0.25">
      <c r="A146" t="s">
        <v>0</v>
      </c>
      <c r="B146" t="str">
        <f t="shared" si="51"/>
        <v>pascual</v>
      </c>
      <c r="C146" t="s">
        <v>2</v>
      </c>
      <c r="D146" s="2">
        <f t="shared" si="63"/>
        <v>5</v>
      </c>
      <c r="E146" t="s">
        <v>8</v>
      </c>
      <c r="F146" t="s">
        <v>17</v>
      </c>
      <c r="G146" s="1" t="str">
        <f t="shared" si="62"/>
        <v>tps05sabado</v>
      </c>
      <c r="H146" t="s">
        <v>15</v>
      </c>
      <c r="I146">
        <f t="shared" si="47"/>
        <v>5</v>
      </c>
      <c r="J146">
        <f t="shared" si="48"/>
        <v>24</v>
      </c>
      <c r="K146" t="s">
        <v>27</v>
      </c>
      <c r="L146" t="str">
        <f t="shared" si="64"/>
        <v>Mayo</v>
      </c>
      <c r="M146" t="s">
        <v>28</v>
      </c>
      <c r="N146" t="str">
        <f t="shared" si="65"/>
        <v>{ nombre: "Tiempo Pascual, Semana 5 Sabado", archivo: "/salterios/src/evan/audios/tps05sabado.mp3", fecha: `${year}-05-24` },</v>
      </c>
    </row>
    <row r="147" spans="1:14" x14ac:dyDescent="0.25">
      <c r="A147" t="s">
        <v>0</v>
      </c>
      <c r="B147" t="str">
        <f t="shared" si="51"/>
        <v>pascual</v>
      </c>
      <c r="C147" t="s">
        <v>2</v>
      </c>
      <c r="D147" s="2">
        <f>+D146+1</f>
        <v>6</v>
      </c>
      <c r="E147" t="s">
        <v>9</v>
      </c>
      <c r="F147" t="s">
        <v>17</v>
      </c>
      <c r="G147" s="1" t="str">
        <f>_xlfn.CONCAT(LEFT(A147,1),LEFT(B147,1),LEFT(C147,1),"0",D147,E147)</f>
        <v>tps06domingo</v>
      </c>
      <c r="H147" t="s">
        <v>15</v>
      </c>
      <c r="I147">
        <f t="shared" si="47"/>
        <v>5</v>
      </c>
      <c r="J147">
        <f t="shared" si="48"/>
        <v>25</v>
      </c>
      <c r="K147" t="s">
        <v>27</v>
      </c>
      <c r="L147" t="str">
        <f t="shared" si="64"/>
        <v>Mayo</v>
      </c>
      <c r="M147" t="s">
        <v>28</v>
      </c>
      <c r="N147" t="str">
        <f t="shared" si="65"/>
        <v>{ nombre: "Tiempo Pascual, Semana 6 Domingo", archivo: "/salterios/src/evan/audios/tps06domingo.mp3", fecha: `${year}-05-25` },</v>
      </c>
    </row>
    <row r="148" spans="1:14" x14ac:dyDescent="0.25">
      <c r="A148" t="s">
        <v>0</v>
      </c>
      <c r="B148" t="str">
        <f t="shared" si="51"/>
        <v>pascual</v>
      </c>
      <c r="C148" t="s">
        <v>2</v>
      </c>
      <c r="D148" s="2">
        <f>D147</f>
        <v>6</v>
      </c>
      <c r="E148" t="s">
        <v>3</v>
      </c>
      <c r="F148" t="s">
        <v>17</v>
      </c>
      <c r="G148" s="1" t="str">
        <f t="shared" ref="G148:G153" si="66">_xlfn.CONCAT(LEFT(A148,1),LEFT(B148,1),LEFT(C148,1),"0",D148,E148)</f>
        <v>tps06lunes</v>
      </c>
      <c r="H148" t="s">
        <v>15</v>
      </c>
      <c r="I148">
        <f t="shared" si="47"/>
        <v>5</v>
      </c>
      <c r="J148">
        <f t="shared" si="48"/>
        <v>26</v>
      </c>
      <c r="K148" t="s">
        <v>27</v>
      </c>
      <c r="L148" t="str">
        <f t="shared" si="64"/>
        <v>Mayo</v>
      </c>
      <c r="M148" t="s">
        <v>28</v>
      </c>
      <c r="N148" t="str">
        <f t="shared" si="65"/>
        <v>{ nombre: "Tiempo Pascual, Semana 6 Lunes", archivo: "/salterios/src/evan/audios/tps06lunes.mp3", fecha: `${year}-05-26` },</v>
      </c>
    </row>
    <row r="149" spans="1:14" x14ac:dyDescent="0.25">
      <c r="A149" t="s">
        <v>0</v>
      </c>
      <c r="B149" t="str">
        <f t="shared" si="51"/>
        <v>pascual</v>
      </c>
      <c r="C149" t="s">
        <v>2</v>
      </c>
      <c r="D149" s="2">
        <f t="shared" ref="D149:D153" si="67">D148</f>
        <v>6</v>
      </c>
      <c r="E149" t="s">
        <v>4</v>
      </c>
      <c r="F149" t="s">
        <v>17</v>
      </c>
      <c r="G149" s="1" t="str">
        <f t="shared" si="66"/>
        <v>tps06martes</v>
      </c>
      <c r="H149" t="s">
        <v>15</v>
      </c>
      <c r="I149">
        <f t="shared" si="47"/>
        <v>5</v>
      </c>
      <c r="J149">
        <f t="shared" si="48"/>
        <v>27</v>
      </c>
      <c r="K149" t="s">
        <v>27</v>
      </c>
      <c r="L149" t="str">
        <f t="shared" si="64"/>
        <v>Mayo</v>
      </c>
      <c r="M149" t="s">
        <v>28</v>
      </c>
      <c r="N149" t="str">
        <f t="shared" si="65"/>
        <v>{ nombre: "Tiempo Pascual, Semana 6 Martes", archivo: "/salterios/src/evan/audios/tps06martes.mp3", fecha: `${year}-05-27` },</v>
      </c>
    </row>
    <row r="150" spans="1:14" x14ac:dyDescent="0.25">
      <c r="A150" t="s">
        <v>0</v>
      </c>
      <c r="B150" t="str">
        <f t="shared" si="51"/>
        <v>pascual</v>
      </c>
      <c r="C150" t="s">
        <v>2</v>
      </c>
      <c r="D150" s="2">
        <f t="shared" si="67"/>
        <v>6</v>
      </c>
      <c r="E150" t="s">
        <v>5</v>
      </c>
      <c r="F150" t="s">
        <v>17</v>
      </c>
      <c r="G150" s="1" t="str">
        <f t="shared" si="66"/>
        <v>tps06miercoles</v>
      </c>
      <c r="H150" t="s">
        <v>15</v>
      </c>
      <c r="I150">
        <f t="shared" si="47"/>
        <v>5</v>
      </c>
      <c r="J150">
        <f t="shared" si="48"/>
        <v>28</v>
      </c>
      <c r="K150" t="s">
        <v>27</v>
      </c>
      <c r="L150" t="str">
        <f t="shared" si="64"/>
        <v>Mayo</v>
      </c>
      <c r="M150" t="s">
        <v>28</v>
      </c>
      <c r="N150" t="str">
        <f t="shared" si="65"/>
        <v>{ nombre: "Tiempo Pascual, Semana 6 Miercoles", archivo: "/salterios/src/evan/audios/tps06miercoles.mp3", fecha: `${year}-05-28` },</v>
      </c>
    </row>
    <row r="151" spans="1:14" x14ac:dyDescent="0.25">
      <c r="A151" t="s">
        <v>0</v>
      </c>
      <c r="B151" t="str">
        <f t="shared" si="51"/>
        <v>pascual</v>
      </c>
      <c r="C151" t="s">
        <v>2</v>
      </c>
      <c r="D151" s="2">
        <f t="shared" si="67"/>
        <v>6</v>
      </c>
      <c r="E151" t="s">
        <v>6</v>
      </c>
      <c r="F151" t="s">
        <v>17</v>
      </c>
      <c r="G151" s="1" t="str">
        <f t="shared" si="66"/>
        <v>tps06jueves</v>
      </c>
      <c r="H151" t="s">
        <v>15</v>
      </c>
      <c r="I151">
        <f t="shared" si="47"/>
        <v>5</v>
      </c>
      <c r="J151">
        <f t="shared" si="48"/>
        <v>29</v>
      </c>
      <c r="K151" t="s">
        <v>27</v>
      </c>
      <c r="L151" t="str">
        <f t="shared" si="64"/>
        <v>Mayo</v>
      </c>
      <c r="M151" t="s">
        <v>28</v>
      </c>
      <c r="N151" t="str">
        <f t="shared" si="65"/>
        <v>{ nombre: "Tiempo Pascual, Semana 6 Jueves", archivo: "/salterios/src/evan/audios/tps06jueves.mp3", fecha: `${year}-05-29` },</v>
      </c>
    </row>
    <row r="152" spans="1:14" x14ac:dyDescent="0.25">
      <c r="A152" t="s">
        <v>0</v>
      </c>
      <c r="B152" t="str">
        <f t="shared" si="51"/>
        <v>pascual</v>
      </c>
      <c r="C152" t="s">
        <v>2</v>
      </c>
      <c r="D152" s="2">
        <f t="shared" si="67"/>
        <v>6</v>
      </c>
      <c r="E152" t="s">
        <v>7</v>
      </c>
      <c r="F152" t="s">
        <v>17</v>
      </c>
      <c r="G152" s="1" t="str">
        <f t="shared" si="66"/>
        <v>tps06viernes</v>
      </c>
      <c r="H152" t="s">
        <v>15</v>
      </c>
      <c r="I152">
        <f t="shared" si="47"/>
        <v>5</v>
      </c>
      <c r="J152">
        <f t="shared" si="48"/>
        <v>30</v>
      </c>
      <c r="K152" t="s">
        <v>27</v>
      </c>
      <c r="L152" t="str">
        <f t="shared" si="64"/>
        <v>Mayo</v>
      </c>
      <c r="M152" t="s">
        <v>28</v>
      </c>
      <c r="N152" t="str">
        <f t="shared" si="65"/>
        <v>{ nombre: "Tiempo Pascual, Semana 6 Viernes", archivo: "/salterios/src/evan/audios/tps06viernes.mp3", fecha: `${year}-05-30` },</v>
      </c>
    </row>
    <row r="153" spans="1:14" x14ac:dyDescent="0.25">
      <c r="A153" t="s">
        <v>0</v>
      </c>
      <c r="B153" t="str">
        <f t="shared" si="51"/>
        <v>pascual</v>
      </c>
      <c r="C153" t="s">
        <v>2</v>
      </c>
      <c r="D153" s="2">
        <f t="shared" si="67"/>
        <v>6</v>
      </c>
      <c r="E153" t="s">
        <v>8</v>
      </c>
      <c r="F153" t="s">
        <v>17</v>
      </c>
      <c r="G153" s="1" t="str">
        <f t="shared" si="66"/>
        <v>tps06sabado</v>
      </c>
      <c r="H153" t="s">
        <v>15</v>
      </c>
      <c r="I153">
        <f t="shared" si="47"/>
        <v>5</v>
      </c>
      <c r="J153">
        <f t="shared" si="48"/>
        <v>31</v>
      </c>
      <c r="K153" t="s">
        <v>27</v>
      </c>
      <c r="L153" t="str">
        <f t="shared" si="64"/>
        <v>Mayo</v>
      </c>
      <c r="M153" t="s">
        <v>28</v>
      </c>
      <c r="N153" t="str">
        <f t="shared" si="65"/>
        <v>{ nombre: "Tiempo Pascual, Semana 6 Sabado", archivo: "/salterios/src/evan/audios/tps06sabado.mp3", fecha: `${year}-05-31` },</v>
      </c>
    </row>
    <row r="154" spans="1:14" x14ac:dyDescent="0.25">
      <c r="A154" t="s">
        <v>0</v>
      </c>
      <c r="B154" t="str">
        <f t="shared" si="51"/>
        <v>pascual</v>
      </c>
      <c r="C154" t="s">
        <v>2</v>
      </c>
      <c r="D154" s="2">
        <f>+D153+1</f>
        <v>7</v>
      </c>
      <c r="E154" t="s">
        <v>9</v>
      </c>
      <c r="F154" t="s">
        <v>17</v>
      </c>
      <c r="G154" s="1" t="str">
        <f>_xlfn.CONCAT(LEFT(A154,1),LEFT(B154,1),LEFT(C154,1),"0",D154,E154)</f>
        <v>tps07domingo</v>
      </c>
      <c r="H154" t="s">
        <v>15</v>
      </c>
      <c r="I154">
        <v>6</v>
      </c>
      <c r="J154">
        <v>1</v>
      </c>
      <c r="K154" t="s">
        <v>27</v>
      </c>
      <c r="L154" t="str">
        <f t="shared" si="64"/>
        <v>Junio</v>
      </c>
      <c r="M154" t="s">
        <v>28</v>
      </c>
      <c r="N154" t="str">
        <f t="shared" si="65"/>
        <v>{ nombre: "Tiempo Pascual, Semana 7 Domingo", archivo: "/salterios/src/evan/audios/tps07domingo.mp3", fecha: `${year}-06-1` },</v>
      </c>
    </row>
    <row r="155" spans="1:14" x14ac:dyDescent="0.25">
      <c r="A155" t="s">
        <v>0</v>
      </c>
      <c r="B155" t="str">
        <f t="shared" si="51"/>
        <v>pascual</v>
      </c>
      <c r="C155" t="s">
        <v>2</v>
      </c>
      <c r="D155" s="2">
        <f>D154</f>
        <v>7</v>
      </c>
      <c r="E155" t="s">
        <v>3</v>
      </c>
      <c r="F155" t="s">
        <v>17</v>
      </c>
      <c r="G155" s="1" t="str">
        <f t="shared" ref="G155:G160" si="68">_xlfn.CONCAT(LEFT(A155,1),LEFT(B155,1),LEFT(C155,1),"0",D155,E155)</f>
        <v>tps07lunes</v>
      </c>
      <c r="H155" t="s">
        <v>15</v>
      </c>
      <c r="I155">
        <f t="shared" si="47"/>
        <v>6</v>
      </c>
      <c r="J155">
        <f t="shared" si="48"/>
        <v>2</v>
      </c>
      <c r="K155" t="s">
        <v>27</v>
      </c>
      <c r="L155" t="str">
        <f t="shared" si="64"/>
        <v>Junio</v>
      </c>
      <c r="M155" t="s">
        <v>28</v>
      </c>
      <c r="N155" t="str">
        <f t="shared" si="65"/>
        <v>{ nombre: "Tiempo Pascual, Semana 7 Lunes", archivo: "/salterios/src/evan/audios/tps07lunes.mp3", fecha: `${year}-06-2` },</v>
      </c>
    </row>
    <row r="156" spans="1:14" x14ac:dyDescent="0.25">
      <c r="A156" t="s">
        <v>0</v>
      </c>
      <c r="B156" t="str">
        <f t="shared" si="51"/>
        <v>pascual</v>
      </c>
      <c r="C156" t="s">
        <v>2</v>
      </c>
      <c r="D156" s="2">
        <f t="shared" ref="D156:D160" si="69">D155</f>
        <v>7</v>
      </c>
      <c r="E156" t="s">
        <v>4</v>
      </c>
      <c r="F156" t="s">
        <v>17</v>
      </c>
      <c r="G156" s="1" t="str">
        <f t="shared" si="68"/>
        <v>tps07martes</v>
      </c>
      <c r="H156" t="s">
        <v>15</v>
      </c>
      <c r="I156">
        <f t="shared" si="47"/>
        <v>6</v>
      </c>
      <c r="J156">
        <f t="shared" si="48"/>
        <v>3</v>
      </c>
      <c r="K156" t="s">
        <v>27</v>
      </c>
      <c r="L156" t="str">
        <f t="shared" si="64"/>
        <v>Junio</v>
      </c>
      <c r="M156" t="s">
        <v>28</v>
      </c>
      <c r="N156" t="str">
        <f t="shared" si="65"/>
        <v>{ nombre: "Tiempo Pascual, Semana 7 Martes", archivo: "/salterios/src/evan/audios/tps07martes.mp3", fecha: `${year}-06-3` },</v>
      </c>
    </row>
    <row r="157" spans="1:14" x14ac:dyDescent="0.25">
      <c r="A157" t="s">
        <v>0</v>
      </c>
      <c r="B157" t="str">
        <f t="shared" si="51"/>
        <v>pascual</v>
      </c>
      <c r="C157" t="s">
        <v>2</v>
      </c>
      <c r="D157" s="2">
        <f t="shared" si="69"/>
        <v>7</v>
      </c>
      <c r="E157" t="s">
        <v>5</v>
      </c>
      <c r="F157" t="s">
        <v>17</v>
      </c>
      <c r="G157" s="1" t="str">
        <f t="shared" si="68"/>
        <v>tps07miercoles</v>
      </c>
      <c r="H157" t="s">
        <v>15</v>
      </c>
      <c r="I157">
        <f t="shared" si="47"/>
        <v>6</v>
      </c>
      <c r="J157">
        <f t="shared" si="48"/>
        <v>4</v>
      </c>
      <c r="K157" t="s">
        <v>27</v>
      </c>
      <c r="L157" t="str">
        <f t="shared" si="64"/>
        <v>Junio</v>
      </c>
      <c r="M157" t="s">
        <v>28</v>
      </c>
      <c r="N157" t="str">
        <f t="shared" si="65"/>
        <v>{ nombre: "Tiempo Pascual, Semana 7 Miercoles", archivo: "/salterios/src/evan/audios/tps07miercoles.mp3", fecha: `${year}-06-4` },</v>
      </c>
    </row>
    <row r="158" spans="1:14" x14ac:dyDescent="0.25">
      <c r="A158" t="s">
        <v>0</v>
      </c>
      <c r="B158" t="str">
        <f t="shared" si="51"/>
        <v>pascual</v>
      </c>
      <c r="C158" t="s">
        <v>2</v>
      </c>
      <c r="D158" s="2">
        <f t="shared" si="69"/>
        <v>7</v>
      </c>
      <c r="E158" t="s">
        <v>6</v>
      </c>
      <c r="F158" t="s">
        <v>17</v>
      </c>
      <c r="G158" s="1" t="str">
        <f t="shared" si="68"/>
        <v>tps07jueves</v>
      </c>
      <c r="H158" t="s">
        <v>15</v>
      </c>
      <c r="I158">
        <f t="shared" si="47"/>
        <v>6</v>
      </c>
      <c r="J158">
        <f t="shared" si="48"/>
        <v>5</v>
      </c>
      <c r="K158" t="s">
        <v>27</v>
      </c>
      <c r="L158" t="str">
        <f t="shared" si="64"/>
        <v>Junio</v>
      </c>
      <c r="M158" t="s">
        <v>28</v>
      </c>
      <c r="N158" t="str">
        <f t="shared" si="65"/>
        <v>{ nombre: "Tiempo Pascual, Semana 7 Jueves", archivo: "/salterios/src/evan/audios/tps07jueves.mp3", fecha: `${year}-06-5` },</v>
      </c>
    </row>
    <row r="159" spans="1:14" x14ac:dyDescent="0.25">
      <c r="A159" t="s">
        <v>0</v>
      </c>
      <c r="B159" t="str">
        <f t="shared" si="51"/>
        <v>pascual</v>
      </c>
      <c r="C159" t="s">
        <v>2</v>
      </c>
      <c r="D159" s="2">
        <f t="shared" si="69"/>
        <v>7</v>
      </c>
      <c r="E159" t="s">
        <v>7</v>
      </c>
      <c r="F159" t="s">
        <v>17</v>
      </c>
      <c r="G159" s="1" t="str">
        <f t="shared" si="68"/>
        <v>tps07viernes</v>
      </c>
      <c r="H159" t="s">
        <v>15</v>
      </c>
      <c r="I159">
        <f t="shared" ref="I159:I222" si="70">I158</f>
        <v>6</v>
      </c>
      <c r="J159">
        <f t="shared" ref="J159:J222" si="71">+J158+1</f>
        <v>6</v>
      </c>
      <c r="K159" t="s">
        <v>27</v>
      </c>
      <c r="L159" t="str">
        <f t="shared" si="64"/>
        <v>Junio</v>
      </c>
      <c r="M159" t="s">
        <v>28</v>
      </c>
      <c r="N159" t="str">
        <f t="shared" si="65"/>
        <v>{ nombre: "Tiempo Pascual, Semana 7 Viernes", archivo: "/salterios/src/evan/audios/tps07viernes.mp3", fecha: `${year}-06-6` },</v>
      </c>
    </row>
    <row r="160" spans="1:14" x14ac:dyDescent="0.25">
      <c r="A160" t="s">
        <v>0</v>
      </c>
      <c r="B160" t="str">
        <f t="shared" si="51"/>
        <v>pascual</v>
      </c>
      <c r="C160" t="s">
        <v>2</v>
      </c>
      <c r="D160" s="2">
        <f t="shared" si="69"/>
        <v>7</v>
      </c>
      <c r="E160" t="s">
        <v>8</v>
      </c>
      <c r="F160" t="s">
        <v>17</v>
      </c>
      <c r="G160" s="1" t="str">
        <f t="shared" si="68"/>
        <v>tps07sabado</v>
      </c>
      <c r="H160" t="s">
        <v>15</v>
      </c>
      <c r="I160">
        <f t="shared" si="70"/>
        <v>6</v>
      </c>
      <c r="J160">
        <f t="shared" si="71"/>
        <v>7</v>
      </c>
      <c r="K160" t="s">
        <v>27</v>
      </c>
      <c r="L160" t="str">
        <f t="shared" si="64"/>
        <v>Junio</v>
      </c>
      <c r="M160" t="s">
        <v>28</v>
      </c>
      <c r="N160" t="str">
        <f t="shared" si="65"/>
        <v>{ nombre: "Tiempo Pascual, Semana 7 Sabado", archivo: "/salterios/src/evan/audios/tps07sabado.mp3", fecha: `${year}-06-7` },</v>
      </c>
    </row>
    <row r="161" spans="1:14" x14ac:dyDescent="0.25">
      <c r="A161" t="s">
        <v>0</v>
      </c>
      <c r="B161" t="s">
        <v>24</v>
      </c>
      <c r="C161" t="s">
        <v>2</v>
      </c>
      <c r="D161" s="2">
        <v>10</v>
      </c>
      <c r="E161" t="s">
        <v>9</v>
      </c>
      <c r="F161" t="s">
        <v>17</v>
      </c>
      <c r="G161" s="1" t="str">
        <f>_xlfn.CONCAT(LEFT(A161,1),LEFT(B161,1),LEFT(C161,1),"0",D161,E161)</f>
        <v>tps010domingo</v>
      </c>
      <c r="H161" t="s">
        <v>15</v>
      </c>
      <c r="I161">
        <f t="shared" si="70"/>
        <v>6</v>
      </c>
      <c r="J161">
        <f t="shared" si="71"/>
        <v>8</v>
      </c>
      <c r="K161" t="s">
        <v>27</v>
      </c>
      <c r="L161" t="str">
        <f t="shared" si="64"/>
        <v>Junio</v>
      </c>
      <c r="M161" t="s">
        <v>28</v>
      </c>
      <c r="N161" t="str">
        <f t="shared" si="65"/>
        <v>{ nombre: "Tiempo Pascual Pentecostes, Semana 10 Domingo", archivo: "/salterios/src/evan/audios/tps010domingo.mp3", fecha: `${year}-06-8` },</v>
      </c>
    </row>
    <row r="162" spans="1:14" x14ac:dyDescent="0.25">
      <c r="A162" t="s">
        <v>0</v>
      </c>
      <c r="B162" t="s">
        <v>1</v>
      </c>
      <c r="C162" t="s">
        <v>2</v>
      </c>
      <c r="D162" s="2">
        <f>D161</f>
        <v>10</v>
      </c>
      <c r="E162" t="s">
        <v>3</v>
      </c>
      <c r="F162" t="s">
        <v>17</v>
      </c>
      <c r="G162" s="1" t="str">
        <f t="shared" ref="G162:G167" si="72">_xlfn.CONCAT(LEFT(A162,1),LEFT(B162,1),LEFT(C162,1),"0",D162,E162)</f>
        <v>tos010lunes</v>
      </c>
      <c r="H162" t="s">
        <v>15</v>
      </c>
      <c r="I162">
        <f t="shared" si="70"/>
        <v>6</v>
      </c>
      <c r="J162">
        <f t="shared" si="71"/>
        <v>9</v>
      </c>
      <c r="K162" t="s">
        <v>27</v>
      </c>
      <c r="L162" t="str">
        <f t="shared" si="64"/>
        <v>Junio</v>
      </c>
      <c r="M162" t="s">
        <v>28</v>
      </c>
      <c r="N162" t="str">
        <f t="shared" si="65"/>
        <v>{ nombre: "Tiempo Ordinario, Semana 10 Lunes", archivo: "/salterios/src/evan/audios/tos010lunes.mp3", fecha: `${year}-06-9` },</v>
      </c>
    </row>
    <row r="163" spans="1:14" x14ac:dyDescent="0.25">
      <c r="A163" t="s">
        <v>0</v>
      </c>
      <c r="B163" t="str">
        <f t="shared" si="51"/>
        <v>ordinario</v>
      </c>
      <c r="C163" t="s">
        <v>2</v>
      </c>
      <c r="D163" s="2">
        <f t="shared" ref="D163:D167" si="73">D162</f>
        <v>10</v>
      </c>
      <c r="E163" t="s">
        <v>4</v>
      </c>
      <c r="F163" t="s">
        <v>17</v>
      </c>
      <c r="G163" s="1" t="str">
        <f t="shared" si="72"/>
        <v>tos010martes</v>
      </c>
      <c r="H163" t="s">
        <v>15</v>
      </c>
      <c r="I163">
        <f t="shared" si="70"/>
        <v>6</v>
      </c>
      <c r="J163">
        <f t="shared" si="71"/>
        <v>10</v>
      </c>
      <c r="K163" t="s">
        <v>27</v>
      </c>
      <c r="L163" t="str">
        <f t="shared" si="64"/>
        <v>Junio</v>
      </c>
      <c r="M163" t="s">
        <v>28</v>
      </c>
      <c r="N163" t="str">
        <f t="shared" si="65"/>
        <v>{ nombre: "Tiempo Ordinario, Semana 10 Martes", archivo: "/salterios/src/evan/audios/tos010martes.mp3", fecha: `${year}-06-10` },</v>
      </c>
    </row>
    <row r="164" spans="1:14" x14ac:dyDescent="0.25">
      <c r="A164" t="s">
        <v>0</v>
      </c>
      <c r="B164" t="str">
        <f t="shared" si="51"/>
        <v>ordinario</v>
      </c>
      <c r="C164" t="s">
        <v>2</v>
      </c>
      <c r="D164" s="2">
        <f t="shared" si="73"/>
        <v>10</v>
      </c>
      <c r="E164" t="s">
        <v>5</v>
      </c>
      <c r="F164" t="s">
        <v>17</v>
      </c>
      <c r="G164" s="1" t="str">
        <f t="shared" si="72"/>
        <v>tos010miercoles</v>
      </c>
      <c r="H164" t="s">
        <v>15</v>
      </c>
      <c r="I164">
        <f t="shared" si="70"/>
        <v>6</v>
      </c>
      <c r="J164">
        <f t="shared" si="71"/>
        <v>11</v>
      </c>
      <c r="K164" t="s">
        <v>27</v>
      </c>
      <c r="L164" t="str">
        <f t="shared" si="64"/>
        <v>Junio</v>
      </c>
      <c r="M164" t="s">
        <v>28</v>
      </c>
      <c r="N164" t="str">
        <f t="shared" si="65"/>
        <v>{ nombre: "Tiempo Ordinario, Semana 10 Miercoles", archivo: "/salterios/src/evan/audios/tos010miercoles.mp3", fecha: `${year}-06-11` },</v>
      </c>
    </row>
    <row r="165" spans="1:14" x14ac:dyDescent="0.25">
      <c r="A165" t="s">
        <v>0</v>
      </c>
      <c r="B165" t="str">
        <f t="shared" ref="B165:B228" si="74">B164</f>
        <v>ordinario</v>
      </c>
      <c r="C165" t="s">
        <v>2</v>
      </c>
      <c r="D165" s="2">
        <f t="shared" si="73"/>
        <v>10</v>
      </c>
      <c r="E165" t="s">
        <v>6</v>
      </c>
      <c r="F165" t="s">
        <v>17</v>
      </c>
      <c r="G165" s="1" t="str">
        <f t="shared" si="72"/>
        <v>tos010jueves</v>
      </c>
      <c r="H165" t="s">
        <v>15</v>
      </c>
      <c r="I165">
        <f t="shared" si="70"/>
        <v>6</v>
      </c>
      <c r="J165">
        <f t="shared" si="71"/>
        <v>12</v>
      </c>
      <c r="K165" t="s">
        <v>27</v>
      </c>
      <c r="L165" t="str">
        <f t="shared" si="64"/>
        <v>Junio</v>
      </c>
      <c r="M165" t="s">
        <v>28</v>
      </c>
      <c r="N165" t="str">
        <f t="shared" si="65"/>
        <v>{ nombre: "Tiempo Ordinario, Semana 10 Jueves", archivo: "/salterios/src/evan/audios/tos010jueves.mp3", fecha: `${year}-06-12` },</v>
      </c>
    </row>
    <row r="166" spans="1:14" x14ac:dyDescent="0.25">
      <c r="A166" t="s">
        <v>0</v>
      </c>
      <c r="B166" t="str">
        <f t="shared" si="74"/>
        <v>ordinario</v>
      </c>
      <c r="C166" t="s">
        <v>2</v>
      </c>
      <c r="D166" s="2">
        <f t="shared" si="73"/>
        <v>10</v>
      </c>
      <c r="E166" t="s">
        <v>7</v>
      </c>
      <c r="F166" t="s">
        <v>17</v>
      </c>
      <c r="G166" s="1" t="str">
        <f t="shared" si="72"/>
        <v>tos010viernes</v>
      </c>
      <c r="H166" t="s">
        <v>15</v>
      </c>
      <c r="I166">
        <f t="shared" si="70"/>
        <v>6</v>
      </c>
      <c r="J166">
        <f t="shared" si="71"/>
        <v>13</v>
      </c>
      <c r="K166" t="s">
        <v>27</v>
      </c>
      <c r="L166" t="str">
        <f t="shared" si="64"/>
        <v>Junio</v>
      </c>
      <c r="M166" t="s">
        <v>28</v>
      </c>
      <c r="N166" t="str">
        <f t="shared" si="65"/>
        <v>{ nombre: "Tiempo Ordinario, Semana 10 Viernes", archivo: "/salterios/src/evan/audios/tos010viernes.mp3", fecha: `${year}-06-13` },</v>
      </c>
    </row>
    <row r="167" spans="1:14" x14ac:dyDescent="0.25">
      <c r="A167" t="s">
        <v>0</v>
      </c>
      <c r="B167" t="str">
        <f t="shared" si="74"/>
        <v>ordinario</v>
      </c>
      <c r="C167" t="s">
        <v>2</v>
      </c>
      <c r="D167" s="2">
        <f t="shared" si="73"/>
        <v>10</v>
      </c>
      <c r="E167" t="s">
        <v>8</v>
      </c>
      <c r="F167" t="s">
        <v>17</v>
      </c>
      <c r="G167" s="1" t="str">
        <f t="shared" si="72"/>
        <v>tos010sabado</v>
      </c>
      <c r="H167" t="s">
        <v>15</v>
      </c>
      <c r="I167">
        <f t="shared" si="70"/>
        <v>6</v>
      </c>
      <c r="J167">
        <f t="shared" si="71"/>
        <v>14</v>
      </c>
      <c r="K167" t="s">
        <v>27</v>
      </c>
      <c r="L167" t="str">
        <f t="shared" si="64"/>
        <v>Junio</v>
      </c>
      <c r="M167" t="s">
        <v>28</v>
      </c>
      <c r="N167" t="str">
        <f t="shared" si="65"/>
        <v>{ nombre: "Tiempo Ordinario, Semana 10 Sabado", archivo: "/salterios/src/evan/audios/tos010sabado.mp3", fecha: `${year}-06-14` },</v>
      </c>
    </row>
    <row r="168" spans="1:14" x14ac:dyDescent="0.25">
      <c r="A168" t="s">
        <v>0</v>
      </c>
      <c r="B168" t="str">
        <f t="shared" si="74"/>
        <v>ordinario</v>
      </c>
      <c r="C168" t="s">
        <v>2</v>
      </c>
      <c r="D168" s="2">
        <f>+D167+1</f>
        <v>11</v>
      </c>
      <c r="E168" t="s">
        <v>9</v>
      </c>
      <c r="F168" t="s">
        <v>17</v>
      </c>
      <c r="G168" s="1" t="str">
        <f>_xlfn.CONCAT(LEFT(A168,1),LEFT(B168,1),LEFT(C168,1),"0",D168,E168)</f>
        <v>tos011domingo</v>
      </c>
      <c r="H168" t="s">
        <v>15</v>
      </c>
      <c r="I168">
        <f t="shared" si="70"/>
        <v>6</v>
      </c>
      <c r="J168">
        <f t="shared" si="71"/>
        <v>15</v>
      </c>
      <c r="K168" t="s">
        <v>27</v>
      </c>
      <c r="L168" t="str">
        <f t="shared" si="64"/>
        <v>Junio</v>
      </c>
      <c r="M168" t="s">
        <v>28</v>
      </c>
      <c r="N168" t="str">
        <f t="shared" si="65"/>
        <v>{ nombre: "Tiempo Ordinario, Semana 11 Domingo", archivo: "/salterios/src/evan/audios/tos011domingo.mp3", fecha: `${year}-06-15` },</v>
      </c>
    </row>
    <row r="169" spans="1:14" x14ac:dyDescent="0.25">
      <c r="A169" t="s">
        <v>0</v>
      </c>
      <c r="B169" t="str">
        <f t="shared" si="74"/>
        <v>ordinario</v>
      </c>
      <c r="C169" t="s">
        <v>2</v>
      </c>
      <c r="D169" s="2">
        <f>D168</f>
        <v>11</v>
      </c>
      <c r="E169" t="s">
        <v>3</v>
      </c>
      <c r="F169" t="s">
        <v>17</v>
      </c>
      <c r="G169" s="1" t="str">
        <f t="shared" ref="G169:G174" si="75">_xlfn.CONCAT(LEFT(A169,1),LEFT(B169,1),LEFT(C169,1),"0",D169,E169)</f>
        <v>tos011lunes</v>
      </c>
      <c r="H169" t="s">
        <v>15</v>
      </c>
      <c r="I169">
        <f t="shared" si="70"/>
        <v>6</v>
      </c>
      <c r="J169">
        <f t="shared" si="71"/>
        <v>16</v>
      </c>
      <c r="K169" t="s">
        <v>27</v>
      </c>
      <c r="L169" t="str">
        <f t="shared" si="64"/>
        <v>Junio</v>
      </c>
      <c r="M169" t="s">
        <v>28</v>
      </c>
      <c r="N169" t="str">
        <f t="shared" si="65"/>
        <v>{ nombre: "Tiempo Ordinario, Semana 11 Lunes", archivo: "/salterios/src/evan/audios/tos011lunes.mp3", fecha: `${year}-06-16` },</v>
      </c>
    </row>
    <row r="170" spans="1:14" x14ac:dyDescent="0.25">
      <c r="A170" t="s">
        <v>0</v>
      </c>
      <c r="B170" t="str">
        <f t="shared" si="74"/>
        <v>ordinario</v>
      </c>
      <c r="C170" t="s">
        <v>2</v>
      </c>
      <c r="D170" s="2">
        <f t="shared" ref="D170:D174" si="76">D169</f>
        <v>11</v>
      </c>
      <c r="E170" t="s">
        <v>4</v>
      </c>
      <c r="F170" t="s">
        <v>17</v>
      </c>
      <c r="G170" s="1" t="str">
        <f t="shared" si="75"/>
        <v>tos011martes</v>
      </c>
      <c r="H170" t="s">
        <v>15</v>
      </c>
      <c r="I170">
        <f t="shared" si="70"/>
        <v>6</v>
      </c>
      <c r="J170">
        <f t="shared" si="71"/>
        <v>17</v>
      </c>
      <c r="K170" t="s">
        <v>27</v>
      </c>
      <c r="L170" t="str">
        <f t="shared" si="64"/>
        <v>Junio</v>
      </c>
      <c r="M170" t="s">
        <v>28</v>
      </c>
      <c r="N170" t="str">
        <f t="shared" si="65"/>
        <v>{ nombre: "Tiempo Ordinario, Semana 11 Martes", archivo: "/salterios/src/evan/audios/tos011martes.mp3", fecha: `${year}-06-17` },</v>
      </c>
    </row>
    <row r="171" spans="1:14" x14ac:dyDescent="0.25">
      <c r="A171" t="s">
        <v>0</v>
      </c>
      <c r="B171" t="str">
        <f t="shared" si="74"/>
        <v>ordinario</v>
      </c>
      <c r="C171" t="s">
        <v>2</v>
      </c>
      <c r="D171" s="2">
        <f t="shared" si="76"/>
        <v>11</v>
      </c>
      <c r="E171" t="s">
        <v>5</v>
      </c>
      <c r="F171" t="s">
        <v>17</v>
      </c>
      <c r="G171" s="1" t="str">
        <f t="shared" si="75"/>
        <v>tos011miercoles</v>
      </c>
      <c r="H171" t="s">
        <v>15</v>
      </c>
      <c r="I171">
        <f t="shared" si="70"/>
        <v>6</v>
      </c>
      <c r="J171">
        <f t="shared" si="71"/>
        <v>18</v>
      </c>
      <c r="K171" t="s">
        <v>27</v>
      </c>
      <c r="L171" t="str">
        <f t="shared" si="64"/>
        <v>Junio</v>
      </c>
      <c r="M171" t="s">
        <v>28</v>
      </c>
      <c r="N171" t="str">
        <f t="shared" si="65"/>
        <v>{ nombre: "Tiempo Ordinario, Semana 11 Miercoles", archivo: "/salterios/src/evan/audios/tos011miercoles.mp3", fecha: `${year}-06-18` },</v>
      </c>
    </row>
    <row r="172" spans="1:14" x14ac:dyDescent="0.25">
      <c r="A172" t="s">
        <v>0</v>
      </c>
      <c r="B172" t="str">
        <f t="shared" si="74"/>
        <v>ordinario</v>
      </c>
      <c r="C172" t="s">
        <v>2</v>
      </c>
      <c r="D172" s="2">
        <f t="shared" si="76"/>
        <v>11</v>
      </c>
      <c r="E172" t="s">
        <v>6</v>
      </c>
      <c r="F172" t="s">
        <v>17</v>
      </c>
      <c r="G172" s="1" t="str">
        <f t="shared" si="75"/>
        <v>tos011jueves</v>
      </c>
      <c r="H172" t="s">
        <v>15</v>
      </c>
      <c r="I172">
        <f t="shared" si="70"/>
        <v>6</v>
      </c>
      <c r="J172">
        <f t="shared" si="71"/>
        <v>19</v>
      </c>
      <c r="K172" t="s">
        <v>27</v>
      </c>
      <c r="L172" t="str">
        <f t="shared" si="64"/>
        <v>Junio</v>
      </c>
      <c r="M172" t="s">
        <v>28</v>
      </c>
      <c r="N172" t="str">
        <f t="shared" si="65"/>
        <v>{ nombre: "Tiempo Ordinario, Semana 11 Jueves", archivo: "/salterios/src/evan/audios/tos011jueves.mp3", fecha: `${year}-06-19` },</v>
      </c>
    </row>
    <row r="173" spans="1:14" x14ac:dyDescent="0.25">
      <c r="A173" t="s">
        <v>0</v>
      </c>
      <c r="B173" t="str">
        <f t="shared" si="74"/>
        <v>ordinario</v>
      </c>
      <c r="C173" t="s">
        <v>2</v>
      </c>
      <c r="D173" s="2">
        <f t="shared" si="76"/>
        <v>11</v>
      </c>
      <c r="E173" t="s">
        <v>7</v>
      </c>
      <c r="F173" t="s">
        <v>17</v>
      </c>
      <c r="G173" s="1" t="str">
        <f t="shared" si="75"/>
        <v>tos011viernes</v>
      </c>
      <c r="H173" t="s">
        <v>15</v>
      </c>
      <c r="I173">
        <f t="shared" si="70"/>
        <v>6</v>
      </c>
      <c r="J173">
        <f t="shared" si="71"/>
        <v>20</v>
      </c>
      <c r="K173" t="s">
        <v>27</v>
      </c>
      <c r="L173" t="str">
        <f t="shared" si="64"/>
        <v>Junio</v>
      </c>
      <c r="M173" t="s">
        <v>28</v>
      </c>
      <c r="N173" t="str">
        <f t="shared" si="65"/>
        <v>{ nombre: "Tiempo Ordinario, Semana 11 Viernes", archivo: "/salterios/src/evan/audios/tos011viernes.mp3", fecha: `${year}-06-20` },</v>
      </c>
    </row>
    <row r="174" spans="1:14" x14ac:dyDescent="0.25">
      <c r="A174" t="s">
        <v>0</v>
      </c>
      <c r="B174" t="str">
        <f t="shared" si="74"/>
        <v>ordinario</v>
      </c>
      <c r="C174" t="s">
        <v>2</v>
      </c>
      <c r="D174" s="2">
        <f t="shared" si="76"/>
        <v>11</v>
      </c>
      <c r="E174" t="s">
        <v>8</v>
      </c>
      <c r="F174" t="s">
        <v>17</v>
      </c>
      <c r="G174" s="1" t="str">
        <f t="shared" si="75"/>
        <v>tos011sabado</v>
      </c>
      <c r="H174" t="s">
        <v>15</v>
      </c>
      <c r="I174">
        <f t="shared" si="70"/>
        <v>6</v>
      </c>
      <c r="J174">
        <f t="shared" si="71"/>
        <v>21</v>
      </c>
      <c r="K174" t="s">
        <v>27</v>
      </c>
      <c r="L174" t="str">
        <f t="shared" si="64"/>
        <v>Junio</v>
      </c>
      <c r="M174" t="s">
        <v>28</v>
      </c>
      <c r="N174" t="str">
        <f t="shared" si="65"/>
        <v>{ nombre: "Tiempo Ordinario, Semana 11 Sabado", archivo: "/salterios/src/evan/audios/tos011sabado.mp3", fecha: `${year}-06-21` },</v>
      </c>
    </row>
    <row r="175" spans="1:14" x14ac:dyDescent="0.25">
      <c r="A175" t="s">
        <v>0</v>
      </c>
      <c r="B175" t="str">
        <f t="shared" si="74"/>
        <v>ordinario</v>
      </c>
      <c r="C175" t="s">
        <v>2</v>
      </c>
      <c r="D175" s="2">
        <f>+D174+1</f>
        <v>12</v>
      </c>
      <c r="E175" t="s">
        <v>9</v>
      </c>
      <c r="F175" t="s">
        <v>17</v>
      </c>
      <c r="G175" s="1" t="str">
        <f>_xlfn.CONCAT(LEFT(A175,1),LEFT(B175,1),LEFT(C175,1),"0",D175,E175)</f>
        <v>tos012domingo</v>
      </c>
      <c r="H175" t="s">
        <v>15</v>
      </c>
      <c r="I175">
        <f t="shared" si="70"/>
        <v>6</v>
      </c>
      <c r="J175">
        <f t="shared" si="71"/>
        <v>22</v>
      </c>
      <c r="K175" t="s">
        <v>27</v>
      </c>
      <c r="L175" t="str">
        <f t="shared" si="64"/>
        <v>Junio</v>
      </c>
      <c r="M175" t="s">
        <v>28</v>
      </c>
      <c r="N175" t="str">
        <f t="shared" si="65"/>
        <v>{ nombre: "Tiempo Ordinario, Semana 12 Domingo", archivo: "/salterios/src/evan/audios/tos012domingo.mp3", fecha: `${year}-06-22` },</v>
      </c>
    </row>
    <row r="176" spans="1:14" x14ac:dyDescent="0.25">
      <c r="A176" t="s">
        <v>0</v>
      </c>
      <c r="B176" t="str">
        <f t="shared" si="74"/>
        <v>ordinario</v>
      </c>
      <c r="C176" t="s">
        <v>2</v>
      </c>
      <c r="D176" s="2">
        <f>D175</f>
        <v>12</v>
      </c>
      <c r="E176" t="s">
        <v>3</v>
      </c>
      <c r="F176" t="s">
        <v>17</v>
      </c>
      <c r="G176" s="1" t="str">
        <f t="shared" ref="G176:G181" si="77">_xlfn.CONCAT(LEFT(A176,1),LEFT(B176,1),LEFT(C176,1),"0",D176,E176)</f>
        <v>tos012lunes</v>
      </c>
      <c r="H176" t="s">
        <v>15</v>
      </c>
      <c r="I176">
        <f t="shared" si="70"/>
        <v>6</v>
      </c>
      <c r="J176">
        <f t="shared" si="71"/>
        <v>23</v>
      </c>
      <c r="K176" t="s">
        <v>27</v>
      </c>
      <c r="L176" t="str">
        <f t="shared" si="64"/>
        <v>Junio</v>
      </c>
      <c r="M176" t="s">
        <v>28</v>
      </c>
      <c r="N176" t="str">
        <f t="shared" si="65"/>
        <v>{ nombre: "Tiempo Ordinario, Semana 12 Lunes", archivo: "/salterios/src/evan/audios/tos012lunes.mp3", fecha: `${year}-06-23` },</v>
      </c>
    </row>
    <row r="177" spans="1:14" x14ac:dyDescent="0.25">
      <c r="A177" t="s">
        <v>0</v>
      </c>
      <c r="B177" t="str">
        <f t="shared" si="74"/>
        <v>ordinario</v>
      </c>
      <c r="C177" t="s">
        <v>2</v>
      </c>
      <c r="D177" s="2">
        <f t="shared" ref="D177:D181" si="78">D176</f>
        <v>12</v>
      </c>
      <c r="E177" t="s">
        <v>4</v>
      </c>
      <c r="F177" t="s">
        <v>17</v>
      </c>
      <c r="G177" s="1" t="str">
        <f t="shared" si="77"/>
        <v>tos012martes</v>
      </c>
      <c r="H177" t="s">
        <v>15</v>
      </c>
      <c r="I177">
        <f t="shared" si="70"/>
        <v>6</v>
      </c>
      <c r="J177">
        <f t="shared" si="71"/>
        <v>24</v>
      </c>
      <c r="K177" t="s">
        <v>27</v>
      </c>
      <c r="L177" t="str">
        <f t="shared" si="64"/>
        <v>Junio</v>
      </c>
      <c r="M177" t="s">
        <v>28</v>
      </c>
      <c r="N177" t="str">
        <f t="shared" si="65"/>
        <v>{ nombre: "Tiempo Ordinario, Semana 12 Martes", archivo: "/salterios/src/evan/audios/tos012martes.mp3", fecha: `${year}-06-24` },</v>
      </c>
    </row>
    <row r="178" spans="1:14" x14ac:dyDescent="0.25">
      <c r="A178" t="s">
        <v>0</v>
      </c>
      <c r="B178" t="str">
        <f t="shared" si="74"/>
        <v>ordinario</v>
      </c>
      <c r="C178" t="s">
        <v>2</v>
      </c>
      <c r="D178" s="2">
        <f t="shared" si="78"/>
        <v>12</v>
      </c>
      <c r="E178" t="s">
        <v>5</v>
      </c>
      <c r="F178" t="s">
        <v>17</v>
      </c>
      <c r="G178" s="1" t="str">
        <f t="shared" si="77"/>
        <v>tos012miercoles</v>
      </c>
      <c r="H178" t="s">
        <v>15</v>
      </c>
      <c r="I178">
        <f t="shared" si="70"/>
        <v>6</v>
      </c>
      <c r="J178">
        <f t="shared" si="71"/>
        <v>25</v>
      </c>
      <c r="K178" t="s">
        <v>27</v>
      </c>
      <c r="L178" t="str">
        <f t="shared" si="64"/>
        <v>Junio</v>
      </c>
      <c r="M178" t="s">
        <v>28</v>
      </c>
      <c r="N178" t="str">
        <f t="shared" si="65"/>
        <v>{ nombre: "Tiempo Ordinario, Semana 12 Miercoles", archivo: "/salterios/src/evan/audios/tos012miercoles.mp3", fecha: `${year}-06-25` },</v>
      </c>
    </row>
    <row r="179" spans="1:14" x14ac:dyDescent="0.25">
      <c r="A179" t="s">
        <v>0</v>
      </c>
      <c r="B179" t="str">
        <f t="shared" si="74"/>
        <v>ordinario</v>
      </c>
      <c r="C179" t="s">
        <v>2</v>
      </c>
      <c r="D179" s="2">
        <f t="shared" si="78"/>
        <v>12</v>
      </c>
      <c r="E179" t="s">
        <v>6</v>
      </c>
      <c r="F179" t="s">
        <v>17</v>
      </c>
      <c r="G179" s="1" t="str">
        <f t="shared" si="77"/>
        <v>tos012jueves</v>
      </c>
      <c r="H179" t="s">
        <v>15</v>
      </c>
      <c r="I179">
        <f t="shared" si="70"/>
        <v>6</v>
      </c>
      <c r="J179">
        <f t="shared" si="71"/>
        <v>26</v>
      </c>
      <c r="K179" t="s">
        <v>27</v>
      </c>
      <c r="L179" t="str">
        <f t="shared" si="64"/>
        <v>Junio</v>
      </c>
      <c r="M179" t="s">
        <v>28</v>
      </c>
      <c r="N179" t="str">
        <f t="shared" si="65"/>
        <v>{ nombre: "Tiempo Ordinario, Semana 12 Jueves", archivo: "/salterios/src/evan/audios/tos012jueves.mp3", fecha: `${year}-06-26` },</v>
      </c>
    </row>
    <row r="180" spans="1:14" x14ac:dyDescent="0.25">
      <c r="A180" t="s">
        <v>0</v>
      </c>
      <c r="B180" t="str">
        <f t="shared" si="74"/>
        <v>ordinario</v>
      </c>
      <c r="C180" t="s">
        <v>2</v>
      </c>
      <c r="D180" s="2">
        <f t="shared" si="78"/>
        <v>12</v>
      </c>
      <c r="E180" t="s">
        <v>7</v>
      </c>
      <c r="F180" t="s">
        <v>17</v>
      </c>
      <c r="G180" s="1" t="str">
        <f t="shared" si="77"/>
        <v>tos012viernes</v>
      </c>
      <c r="H180" t="s">
        <v>15</v>
      </c>
      <c r="I180">
        <f t="shared" si="70"/>
        <v>6</v>
      </c>
      <c r="J180">
        <f t="shared" si="71"/>
        <v>27</v>
      </c>
      <c r="K180" t="s">
        <v>27</v>
      </c>
      <c r="L180" t="str">
        <f t="shared" si="64"/>
        <v>Junio</v>
      </c>
      <c r="M180" t="s">
        <v>28</v>
      </c>
      <c r="N180" t="str">
        <f t="shared" si="65"/>
        <v>{ nombre: "Tiempo Ordinario, Semana 12 Viernes", archivo: "/salterios/src/evan/audios/tos012viernes.mp3", fecha: `${year}-06-27` },</v>
      </c>
    </row>
    <row r="181" spans="1:14" x14ac:dyDescent="0.25">
      <c r="A181" t="s">
        <v>0</v>
      </c>
      <c r="B181" t="str">
        <f t="shared" si="74"/>
        <v>ordinario</v>
      </c>
      <c r="C181" t="s">
        <v>2</v>
      </c>
      <c r="D181" s="2">
        <f t="shared" si="78"/>
        <v>12</v>
      </c>
      <c r="E181" t="s">
        <v>8</v>
      </c>
      <c r="F181" t="s">
        <v>17</v>
      </c>
      <c r="G181" s="1" t="str">
        <f t="shared" si="77"/>
        <v>tos012sabado</v>
      </c>
      <c r="H181" t="s">
        <v>15</v>
      </c>
      <c r="I181">
        <f t="shared" si="70"/>
        <v>6</v>
      </c>
      <c r="J181">
        <f t="shared" si="71"/>
        <v>28</v>
      </c>
      <c r="K181" t="s">
        <v>27</v>
      </c>
      <c r="L181" t="str">
        <f t="shared" si="64"/>
        <v>Junio</v>
      </c>
      <c r="M181" t="s">
        <v>28</v>
      </c>
      <c r="N181" t="str">
        <f t="shared" si="65"/>
        <v>{ nombre: "Tiempo Ordinario, Semana 12 Sabado", archivo: "/salterios/src/evan/audios/tos012sabado.mp3", fecha: `${year}-06-28` },</v>
      </c>
    </row>
    <row r="182" spans="1:14" x14ac:dyDescent="0.25">
      <c r="A182" t="s">
        <v>0</v>
      </c>
      <c r="B182" t="str">
        <f t="shared" si="74"/>
        <v>ordinario</v>
      </c>
      <c r="C182" t="s">
        <v>2</v>
      </c>
      <c r="D182" s="2">
        <f>+D181+1</f>
        <v>13</v>
      </c>
      <c r="E182" t="s">
        <v>9</v>
      </c>
      <c r="F182" t="s">
        <v>17</v>
      </c>
      <c r="G182" s="1" t="str">
        <f>_xlfn.CONCAT(LEFT(A182,1),LEFT(B182,1),LEFT(C182,1),"0",D182,E182)</f>
        <v>tos013domingo</v>
      </c>
      <c r="H182" t="s">
        <v>15</v>
      </c>
      <c r="I182">
        <f t="shared" si="70"/>
        <v>6</v>
      </c>
      <c r="J182">
        <f t="shared" si="71"/>
        <v>29</v>
      </c>
      <c r="K182" t="s">
        <v>27</v>
      </c>
      <c r="L182" t="str">
        <f t="shared" si="64"/>
        <v>Junio</v>
      </c>
      <c r="M182" t="s">
        <v>28</v>
      </c>
      <c r="N182" t="str">
        <f t="shared" si="65"/>
        <v>{ nombre: "Tiempo Ordinario, Semana 13 Domingo", archivo: "/salterios/src/evan/audios/tos013domingo.mp3", fecha: `${year}-06-29` },</v>
      </c>
    </row>
    <row r="183" spans="1:14" x14ac:dyDescent="0.25">
      <c r="A183" t="s">
        <v>0</v>
      </c>
      <c r="B183" t="str">
        <f t="shared" si="74"/>
        <v>ordinario</v>
      </c>
      <c r="C183" t="s">
        <v>2</v>
      </c>
      <c r="D183" s="2">
        <f>D182</f>
        <v>13</v>
      </c>
      <c r="E183" t="s">
        <v>3</v>
      </c>
      <c r="F183" t="s">
        <v>17</v>
      </c>
      <c r="G183" s="1" t="str">
        <f t="shared" ref="G183:G188" si="79">_xlfn.CONCAT(LEFT(A183,1),LEFT(B183,1),LEFT(C183,1),"0",D183,E183)</f>
        <v>tos013lunes</v>
      </c>
      <c r="H183" t="s">
        <v>15</v>
      </c>
      <c r="I183">
        <f t="shared" si="70"/>
        <v>6</v>
      </c>
      <c r="J183">
        <f t="shared" si="71"/>
        <v>30</v>
      </c>
      <c r="K183" t="s">
        <v>27</v>
      </c>
      <c r="L183" t="str">
        <f t="shared" si="64"/>
        <v>Junio</v>
      </c>
      <c r="M183" t="s">
        <v>28</v>
      </c>
      <c r="N183" t="str">
        <f t="shared" si="65"/>
        <v>{ nombre: "Tiempo Ordinario, Semana 13 Lunes", archivo: "/salterios/src/evan/audios/tos013lunes.mp3", fecha: `${year}-06-30` },</v>
      </c>
    </row>
    <row r="184" spans="1:14" x14ac:dyDescent="0.25">
      <c r="A184" t="s">
        <v>0</v>
      </c>
      <c r="B184" t="str">
        <f t="shared" si="74"/>
        <v>ordinario</v>
      </c>
      <c r="C184" t="s">
        <v>2</v>
      </c>
      <c r="D184" s="2">
        <f t="shared" ref="D184:D188" si="80">D183</f>
        <v>13</v>
      </c>
      <c r="E184" t="s">
        <v>4</v>
      </c>
      <c r="F184" t="s">
        <v>17</v>
      </c>
      <c r="G184" s="1" t="str">
        <f t="shared" si="79"/>
        <v>tos013martes</v>
      </c>
      <c r="H184" t="s">
        <v>15</v>
      </c>
      <c r="I184">
        <v>7</v>
      </c>
      <c r="J184">
        <v>1</v>
      </c>
      <c r="K184" t="s">
        <v>27</v>
      </c>
      <c r="L184" t="str">
        <f t="shared" si="64"/>
        <v>Julio</v>
      </c>
      <c r="M184" t="s">
        <v>28</v>
      </c>
      <c r="N184" t="str">
        <f t="shared" si="65"/>
        <v>{ nombre: "Tiempo Ordinario, Semana 13 Martes", archivo: "/salterios/src/evan/audios/tos013martes.mp3", fecha: `${year}-07-1` },</v>
      </c>
    </row>
    <row r="185" spans="1:14" x14ac:dyDescent="0.25">
      <c r="A185" t="s">
        <v>0</v>
      </c>
      <c r="B185" t="str">
        <f t="shared" si="74"/>
        <v>ordinario</v>
      </c>
      <c r="C185" t="s">
        <v>2</v>
      </c>
      <c r="D185" s="2">
        <f t="shared" si="80"/>
        <v>13</v>
      </c>
      <c r="E185" t="s">
        <v>5</v>
      </c>
      <c r="F185" t="s">
        <v>17</v>
      </c>
      <c r="G185" s="1" t="str">
        <f t="shared" si="79"/>
        <v>tos013miercoles</v>
      </c>
      <c r="H185" t="s">
        <v>15</v>
      </c>
      <c r="I185">
        <f t="shared" si="70"/>
        <v>7</v>
      </c>
      <c r="J185">
        <f t="shared" si="71"/>
        <v>2</v>
      </c>
      <c r="K185" t="s">
        <v>27</v>
      </c>
      <c r="L185" t="str">
        <f t="shared" si="64"/>
        <v>Julio</v>
      </c>
      <c r="M185" t="s">
        <v>28</v>
      </c>
      <c r="N185" t="str">
        <f t="shared" si="65"/>
        <v>{ nombre: "Tiempo Ordinario, Semana 13 Miercoles", archivo: "/salterios/src/evan/audios/tos013miercoles.mp3", fecha: `${year}-07-2` },</v>
      </c>
    </row>
    <row r="186" spans="1:14" x14ac:dyDescent="0.25">
      <c r="A186" t="s">
        <v>0</v>
      </c>
      <c r="B186" t="str">
        <f t="shared" si="74"/>
        <v>ordinario</v>
      </c>
      <c r="C186" t="s">
        <v>2</v>
      </c>
      <c r="D186" s="2">
        <f t="shared" si="80"/>
        <v>13</v>
      </c>
      <c r="E186" t="s">
        <v>6</v>
      </c>
      <c r="F186" t="s">
        <v>17</v>
      </c>
      <c r="G186" s="1" t="str">
        <f t="shared" si="79"/>
        <v>tos013jueves</v>
      </c>
      <c r="H186" t="s">
        <v>15</v>
      </c>
      <c r="I186">
        <f t="shared" si="70"/>
        <v>7</v>
      </c>
      <c r="J186">
        <f t="shared" si="71"/>
        <v>3</v>
      </c>
      <c r="K186" t="s">
        <v>27</v>
      </c>
      <c r="L186" t="str">
        <f t="shared" si="64"/>
        <v>Julio</v>
      </c>
      <c r="M186" t="s">
        <v>28</v>
      </c>
      <c r="N186" t="str">
        <f t="shared" si="65"/>
        <v>{ nombre: "Tiempo Ordinario, Semana 13 Jueves", archivo: "/salterios/src/evan/audios/tos013jueves.mp3", fecha: `${year}-07-3` },</v>
      </c>
    </row>
    <row r="187" spans="1:14" x14ac:dyDescent="0.25">
      <c r="A187" t="s">
        <v>0</v>
      </c>
      <c r="B187" t="str">
        <f t="shared" si="74"/>
        <v>ordinario</v>
      </c>
      <c r="C187" t="s">
        <v>2</v>
      </c>
      <c r="D187" s="2">
        <f t="shared" si="80"/>
        <v>13</v>
      </c>
      <c r="E187" t="s">
        <v>7</v>
      </c>
      <c r="F187" t="s">
        <v>17</v>
      </c>
      <c r="G187" s="1" t="str">
        <f t="shared" si="79"/>
        <v>tos013viernes</v>
      </c>
      <c r="H187" t="s">
        <v>15</v>
      </c>
      <c r="I187">
        <f t="shared" si="70"/>
        <v>7</v>
      </c>
      <c r="J187">
        <f t="shared" si="71"/>
        <v>4</v>
      </c>
      <c r="K187" t="s">
        <v>27</v>
      </c>
      <c r="L187" t="str">
        <f t="shared" si="64"/>
        <v>Julio</v>
      </c>
      <c r="M187" t="s">
        <v>28</v>
      </c>
      <c r="N187" t="str">
        <f t="shared" si="65"/>
        <v>{ nombre: "Tiempo Ordinario, Semana 13 Viernes", archivo: "/salterios/src/evan/audios/tos013viernes.mp3", fecha: `${year}-07-4` },</v>
      </c>
    </row>
    <row r="188" spans="1:14" x14ac:dyDescent="0.25">
      <c r="A188" t="s">
        <v>0</v>
      </c>
      <c r="B188" t="str">
        <f t="shared" si="74"/>
        <v>ordinario</v>
      </c>
      <c r="C188" t="s">
        <v>2</v>
      </c>
      <c r="D188" s="2">
        <f t="shared" si="80"/>
        <v>13</v>
      </c>
      <c r="E188" t="s">
        <v>8</v>
      </c>
      <c r="F188" t="s">
        <v>17</v>
      </c>
      <c r="G188" s="1" t="str">
        <f t="shared" si="79"/>
        <v>tos013sabado</v>
      </c>
      <c r="H188" t="s">
        <v>15</v>
      </c>
      <c r="I188">
        <f t="shared" si="70"/>
        <v>7</v>
      </c>
      <c r="J188">
        <f t="shared" si="71"/>
        <v>5</v>
      </c>
      <c r="K188" t="s">
        <v>27</v>
      </c>
      <c r="L188" t="str">
        <f t="shared" si="64"/>
        <v>Julio</v>
      </c>
      <c r="M188" t="s">
        <v>28</v>
      </c>
      <c r="N188" t="str">
        <f t="shared" si="65"/>
        <v>{ nombre: "Tiempo Ordinario, Semana 13 Sabado", archivo: "/salterios/src/evan/audios/tos013sabado.mp3", fecha: `${year}-07-5` },</v>
      </c>
    </row>
    <row r="189" spans="1:14" x14ac:dyDescent="0.25">
      <c r="A189" t="s">
        <v>0</v>
      </c>
      <c r="B189" t="str">
        <f t="shared" si="74"/>
        <v>ordinario</v>
      </c>
      <c r="C189" t="s">
        <v>2</v>
      </c>
      <c r="D189" s="2">
        <f>+D188+1</f>
        <v>14</v>
      </c>
      <c r="E189" t="s">
        <v>9</v>
      </c>
      <c r="F189" t="s">
        <v>17</v>
      </c>
      <c r="G189" s="1" t="str">
        <f>_xlfn.CONCAT(LEFT(A189,1),LEFT(B189,1),LEFT(C189,1),"0",D189,E189)</f>
        <v>tos014domingo</v>
      </c>
      <c r="H189" t="s">
        <v>15</v>
      </c>
      <c r="I189">
        <f t="shared" si="70"/>
        <v>7</v>
      </c>
      <c r="J189">
        <f t="shared" si="71"/>
        <v>6</v>
      </c>
      <c r="K189" t="s">
        <v>27</v>
      </c>
      <c r="L189" t="str">
        <f t="shared" si="64"/>
        <v>Julio</v>
      </c>
      <c r="M189" t="s">
        <v>28</v>
      </c>
      <c r="N189" t="str">
        <f t="shared" si="65"/>
        <v>{ nombre: "Tiempo Ordinario, Semana 14 Domingo", archivo: "/salterios/src/evan/audios/tos014domingo.mp3", fecha: `${year}-07-6` },</v>
      </c>
    </row>
    <row r="190" spans="1:14" x14ac:dyDescent="0.25">
      <c r="A190" t="s">
        <v>0</v>
      </c>
      <c r="B190" t="str">
        <f t="shared" si="74"/>
        <v>ordinario</v>
      </c>
      <c r="C190" t="s">
        <v>2</v>
      </c>
      <c r="D190" s="2">
        <f>D189</f>
        <v>14</v>
      </c>
      <c r="E190" t="s">
        <v>3</v>
      </c>
      <c r="F190" t="s">
        <v>17</v>
      </c>
      <c r="G190" s="1" t="str">
        <f t="shared" ref="G190:G195" si="81">_xlfn.CONCAT(LEFT(A190,1),LEFT(B190,1),LEFT(C190,1),"0",D190,E190)</f>
        <v>tos014lunes</v>
      </c>
      <c r="H190" t="s">
        <v>15</v>
      </c>
      <c r="I190">
        <f t="shared" si="70"/>
        <v>7</v>
      </c>
      <c r="J190">
        <f t="shared" si="71"/>
        <v>7</v>
      </c>
      <c r="K190" t="s">
        <v>27</v>
      </c>
      <c r="L190" t="str">
        <f t="shared" si="64"/>
        <v>Julio</v>
      </c>
      <c r="M190" t="s">
        <v>28</v>
      </c>
      <c r="N190" t="str">
        <f t="shared" si="65"/>
        <v>{ nombre: "Tiempo Ordinario, Semana 14 Lunes", archivo: "/salterios/src/evan/audios/tos014lunes.mp3", fecha: `${year}-07-7` },</v>
      </c>
    </row>
    <row r="191" spans="1:14" x14ac:dyDescent="0.25">
      <c r="A191" t="s">
        <v>0</v>
      </c>
      <c r="B191" t="str">
        <f t="shared" si="74"/>
        <v>ordinario</v>
      </c>
      <c r="C191" t="s">
        <v>2</v>
      </c>
      <c r="D191" s="2">
        <f t="shared" ref="D191:D195" si="82">D190</f>
        <v>14</v>
      </c>
      <c r="E191" t="s">
        <v>4</v>
      </c>
      <c r="F191" t="s">
        <v>17</v>
      </c>
      <c r="G191" s="1" t="str">
        <f t="shared" si="81"/>
        <v>tos014martes</v>
      </c>
      <c r="H191" t="s">
        <v>15</v>
      </c>
      <c r="I191">
        <f t="shared" si="70"/>
        <v>7</v>
      </c>
      <c r="J191">
        <f t="shared" si="71"/>
        <v>8</v>
      </c>
      <c r="K191" t="s">
        <v>27</v>
      </c>
      <c r="L191" t="str">
        <f t="shared" si="64"/>
        <v>Julio</v>
      </c>
      <c r="M191" t="s">
        <v>28</v>
      </c>
      <c r="N191" t="str">
        <f t="shared" si="65"/>
        <v>{ nombre: "Tiempo Ordinario, Semana 14 Martes", archivo: "/salterios/src/evan/audios/tos014martes.mp3", fecha: `${year}-07-8` },</v>
      </c>
    </row>
    <row r="192" spans="1:14" x14ac:dyDescent="0.25">
      <c r="A192" t="s">
        <v>0</v>
      </c>
      <c r="B192" t="str">
        <f t="shared" si="74"/>
        <v>ordinario</v>
      </c>
      <c r="C192" t="s">
        <v>2</v>
      </c>
      <c r="D192" s="2">
        <f t="shared" si="82"/>
        <v>14</v>
      </c>
      <c r="E192" t="s">
        <v>5</v>
      </c>
      <c r="F192" t="s">
        <v>17</v>
      </c>
      <c r="G192" s="1" t="str">
        <f t="shared" si="81"/>
        <v>tos014miercoles</v>
      </c>
      <c r="H192" t="s">
        <v>15</v>
      </c>
      <c r="I192">
        <f t="shared" si="70"/>
        <v>7</v>
      </c>
      <c r="J192">
        <f t="shared" si="71"/>
        <v>9</v>
      </c>
      <c r="K192" t="s">
        <v>27</v>
      </c>
      <c r="L192" t="str">
        <f t="shared" si="64"/>
        <v>Julio</v>
      </c>
      <c r="M192" t="s">
        <v>28</v>
      </c>
      <c r="N192" t="str">
        <f t="shared" si="65"/>
        <v>{ nombre: "Tiempo Ordinario, Semana 14 Miercoles", archivo: "/salterios/src/evan/audios/tos014miercoles.mp3", fecha: `${year}-07-9` },</v>
      </c>
    </row>
    <row r="193" spans="1:14" x14ac:dyDescent="0.25">
      <c r="A193" t="s">
        <v>0</v>
      </c>
      <c r="B193" t="str">
        <f t="shared" si="74"/>
        <v>ordinario</v>
      </c>
      <c r="C193" t="s">
        <v>2</v>
      </c>
      <c r="D193" s="2">
        <f t="shared" si="82"/>
        <v>14</v>
      </c>
      <c r="E193" t="s">
        <v>6</v>
      </c>
      <c r="F193" t="s">
        <v>17</v>
      </c>
      <c r="G193" s="1" t="str">
        <f t="shared" si="81"/>
        <v>tos014jueves</v>
      </c>
      <c r="H193" t="s">
        <v>15</v>
      </c>
      <c r="I193">
        <f t="shared" si="70"/>
        <v>7</v>
      </c>
      <c r="J193">
        <f t="shared" si="71"/>
        <v>10</v>
      </c>
      <c r="K193" t="s">
        <v>27</v>
      </c>
      <c r="L193" t="str">
        <f t="shared" si="64"/>
        <v>Julio</v>
      </c>
      <c r="M193" t="s">
        <v>28</v>
      </c>
      <c r="N193" t="str">
        <f t="shared" si="65"/>
        <v>{ nombre: "Tiempo Ordinario, Semana 14 Jueves", archivo: "/salterios/src/evan/audios/tos014jueves.mp3", fecha: `${year}-07-10` },</v>
      </c>
    </row>
    <row r="194" spans="1:14" x14ac:dyDescent="0.25">
      <c r="A194" t="s">
        <v>0</v>
      </c>
      <c r="B194" t="str">
        <f t="shared" si="74"/>
        <v>ordinario</v>
      </c>
      <c r="C194" t="s">
        <v>2</v>
      </c>
      <c r="D194" s="2">
        <f t="shared" si="82"/>
        <v>14</v>
      </c>
      <c r="E194" t="s">
        <v>7</v>
      </c>
      <c r="F194" t="s">
        <v>17</v>
      </c>
      <c r="G194" s="1" t="str">
        <f t="shared" si="81"/>
        <v>tos014viernes</v>
      </c>
      <c r="H194" t="s">
        <v>15</v>
      </c>
      <c r="I194">
        <f t="shared" si="70"/>
        <v>7</v>
      </c>
      <c r="J194">
        <f t="shared" si="71"/>
        <v>11</v>
      </c>
      <c r="K194" t="s">
        <v>27</v>
      </c>
      <c r="L194" t="str">
        <f t="shared" si="64"/>
        <v>Julio</v>
      </c>
      <c r="M194" t="s">
        <v>28</v>
      </c>
      <c r="N194" t="str">
        <f t="shared" si="65"/>
        <v>{ nombre: "Tiempo Ordinario, Semana 14 Viernes", archivo: "/salterios/src/evan/audios/tos014viernes.mp3", fecha: `${year}-07-11` },</v>
      </c>
    </row>
    <row r="195" spans="1:14" x14ac:dyDescent="0.25">
      <c r="A195" t="s">
        <v>0</v>
      </c>
      <c r="B195" t="str">
        <f t="shared" si="74"/>
        <v>ordinario</v>
      </c>
      <c r="C195" t="s">
        <v>2</v>
      </c>
      <c r="D195" s="2">
        <f t="shared" si="82"/>
        <v>14</v>
      </c>
      <c r="E195" t="s">
        <v>8</v>
      </c>
      <c r="F195" t="s">
        <v>17</v>
      </c>
      <c r="G195" s="1" t="str">
        <f t="shared" si="81"/>
        <v>tos014sabado</v>
      </c>
      <c r="H195" t="s">
        <v>15</v>
      </c>
      <c r="I195">
        <f t="shared" si="70"/>
        <v>7</v>
      </c>
      <c r="J195">
        <f t="shared" si="71"/>
        <v>12</v>
      </c>
      <c r="K195" t="s">
        <v>27</v>
      </c>
      <c r="L195" t="str">
        <f t="shared" si="64"/>
        <v>Julio</v>
      </c>
      <c r="M195" t="s">
        <v>28</v>
      </c>
      <c r="N195" t="str">
        <f t="shared" si="65"/>
        <v>{ nombre: "Tiempo Ordinario, Semana 14 Sabado", archivo: "/salterios/src/evan/audios/tos014sabado.mp3", fecha: `${year}-07-12` },</v>
      </c>
    </row>
    <row r="196" spans="1:14" x14ac:dyDescent="0.25">
      <c r="A196" t="s">
        <v>0</v>
      </c>
      <c r="B196" t="str">
        <f t="shared" si="74"/>
        <v>ordinario</v>
      </c>
      <c r="C196" t="s">
        <v>2</v>
      </c>
      <c r="D196" s="2">
        <f>+D195+1</f>
        <v>15</v>
      </c>
      <c r="E196" t="s">
        <v>9</v>
      </c>
      <c r="F196" t="s">
        <v>17</v>
      </c>
      <c r="G196" s="1" t="str">
        <f>_xlfn.CONCAT(LEFT(A196,1),LEFT(B196,1),LEFT(C196,1),"0",D196,E196)</f>
        <v>tos015domingo</v>
      </c>
      <c r="H196" t="s">
        <v>15</v>
      </c>
      <c r="I196">
        <f t="shared" si="70"/>
        <v>7</v>
      </c>
      <c r="J196">
        <f t="shared" si="71"/>
        <v>13</v>
      </c>
      <c r="K196" t="s">
        <v>27</v>
      </c>
      <c r="L196" t="str">
        <f t="shared" si="64"/>
        <v>Julio</v>
      </c>
      <c r="M196" t="s">
        <v>28</v>
      </c>
      <c r="N196" t="str">
        <f t="shared" si="65"/>
        <v>{ nombre: "Tiempo Ordinario, Semana 15 Domingo", archivo: "/salterios/src/evan/audios/tos015domingo.mp3", fecha: `${year}-07-13` },</v>
      </c>
    </row>
    <row r="197" spans="1:14" x14ac:dyDescent="0.25">
      <c r="A197" t="s">
        <v>0</v>
      </c>
      <c r="B197" t="str">
        <f t="shared" si="74"/>
        <v>ordinario</v>
      </c>
      <c r="C197" t="s">
        <v>2</v>
      </c>
      <c r="D197" s="2">
        <f>D196</f>
        <v>15</v>
      </c>
      <c r="E197" t="s">
        <v>3</v>
      </c>
      <c r="F197" t="s">
        <v>17</v>
      </c>
      <c r="G197" s="1" t="str">
        <f t="shared" ref="G197:G202" si="83">_xlfn.CONCAT(LEFT(A197,1),LEFT(B197,1),LEFT(C197,1),"0",D197,E197)</f>
        <v>tos015lunes</v>
      </c>
      <c r="H197" t="s">
        <v>15</v>
      </c>
      <c r="I197">
        <f t="shared" si="70"/>
        <v>7</v>
      </c>
      <c r="J197">
        <f t="shared" si="71"/>
        <v>14</v>
      </c>
      <c r="K197" t="s">
        <v>27</v>
      </c>
      <c r="L197" t="str">
        <f t="shared" si="64"/>
        <v>Julio</v>
      </c>
      <c r="M197" t="s">
        <v>28</v>
      </c>
      <c r="N197" t="str">
        <f t="shared" si="65"/>
        <v>{ nombre: "Tiempo Ordinario, Semana 15 Lunes", archivo: "/salterios/src/evan/audios/tos015lunes.mp3", fecha: `${year}-07-14` },</v>
      </c>
    </row>
    <row r="198" spans="1:14" x14ac:dyDescent="0.25">
      <c r="A198" t="s">
        <v>0</v>
      </c>
      <c r="B198" t="str">
        <f t="shared" si="74"/>
        <v>ordinario</v>
      </c>
      <c r="C198" t="s">
        <v>2</v>
      </c>
      <c r="D198" s="2">
        <f t="shared" ref="D198:D202" si="84">D197</f>
        <v>15</v>
      </c>
      <c r="E198" t="s">
        <v>4</v>
      </c>
      <c r="F198" t="s">
        <v>17</v>
      </c>
      <c r="G198" s="1" t="str">
        <f t="shared" si="83"/>
        <v>tos015martes</v>
      </c>
      <c r="H198" t="s">
        <v>15</v>
      </c>
      <c r="I198">
        <f t="shared" si="70"/>
        <v>7</v>
      </c>
      <c r="J198">
        <f t="shared" si="71"/>
        <v>15</v>
      </c>
      <c r="K198" t="s">
        <v>27</v>
      </c>
      <c r="L198" t="str">
        <f t="shared" si="64"/>
        <v>Julio</v>
      </c>
      <c r="M198" t="s">
        <v>28</v>
      </c>
      <c r="N198" t="str">
        <f t="shared" si="65"/>
        <v>{ nombre: "Tiempo Ordinario, Semana 15 Martes", archivo: "/salterios/src/evan/audios/tos015martes.mp3", fecha: `${year}-07-15` },</v>
      </c>
    </row>
    <row r="199" spans="1:14" x14ac:dyDescent="0.25">
      <c r="A199" t="s">
        <v>0</v>
      </c>
      <c r="B199" t="str">
        <f t="shared" si="74"/>
        <v>ordinario</v>
      </c>
      <c r="C199" t="s">
        <v>2</v>
      </c>
      <c r="D199" s="2">
        <f t="shared" si="84"/>
        <v>15</v>
      </c>
      <c r="E199" t="s">
        <v>5</v>
      </c>
      <c r="F199" t="s">
        <v>17</v>
      </c>
      <c r="G199" s="1" t="str">
        <f t="shared" si="83"/>
        <v>tos015miercoles</v>
      </c>
      <c r="H199" t="s">
        <v>15</v>
      </c>
      <c r="I199">
        <f t="shared" si="70"/>
        <v>7</v>
      </c>
      <c r="J199">
        <f t="shared" si="71"/>
        <v>16</v>
      </c>
      <c r="K199" t="s">
        <v>27</v>
      </c>
      <c r="L199" t="str">
        <f t="shared" si="64"/>
        <v>Julio</v>
      </c>
      <c r="M199" t="s">
        <v>28</v>
      </c>
      <c r="N199" t="str">
        <f t="shared" si="65"/>
        <v>{ nombre: "Tiempo Ordinario, Semana 15 Miercoles", archivo: "/salterios/src/evan/audios/tos015miercoles.mp3", fecha: `${year}-07-16` },</v>
      </c>
    </row>
    <row r="200" spans="1:14" x14ac:dyDescent="0.25">
      <c r="A200" t="s">
        <v>0</v>
      </c>
      <c r="B200" t="str">
        <f t="shared" si="74"/>
        <v>ordinario</v>
      </c>
      <c r="C200" t="s">
        <v>2</v>
      </c>
      <c r="D200" s="2">
        <f t="shared" si="84"/>
        <v>15</v>
      </c>
      <c r="E200" t="s">
        <v>6</v>
      </c>
      <c r="F200" t="s">
        <v>17</v>
      </c>
      <c r="G200" s="1" t="str">
        <f t="shared" si="83"/>
        <v>tos015jueves</v>
      </c>
      <c r="H200" t="s">
        <v>15</v>
      </c>
      <c r="I200">
        <f t="shared" si="70"/>
        <v>7</v>
      </c>
      <c r="J200">
        <f t="shared" si="71"/>
        <v>17</v>
      </c>
      <c r="K200" t="s">
        <v>27</v>
      </c>
      <c r="L200" t="str">
        <f t="shared" si="64"/>
        <v>Julio</v>
      </c>
      <c r="M200" t="s">
        <v>28</v>
      </c>
      <c r="N200" t="str">
        <f t="shared" si="65"/>
        <v>{ nombre: "Tiempo Ordinario, Semana 15 Jueves", archivo: "/salterios/src/evan/audios/tos015jueves.mp3", fecha: `${year}-07-17` },</v>
      </c>
    </row>
    <row r="201" spans="1:14" x14ac:dyDescent="0.25">
      <c r="A201" t="s">
        <v>0</v>
      </c>
      <c r="B201" t="str">
        <f t="shared" si="74"/>
        <v>ordinario</v>
      </c>
      <c r="C201" t="s">
        <v>2</v>
      </c>
      <c r="D201" s="2">
        <f t="shared" si="84"/>
        <v>15</v>
      </c>
      <c r="E201" t="s">
        <v>7</v>
      </c>
      <c r="F201" t="s">
        <v>17</v>
      </c>
      <c r="G201" s="1" t="str">
        <f t="shared" si="83"/>
        <v>tos015viernes</v>
      </c>
      <c r="H201" t="s">
        <v>15</v>
      </c>
      <c r="I201">
        <f t="shared" si="70"/>
        <v>7</v>
      </c>
      <c r="J201">
        <f t="shared" si="71"/>
        <v>18</v>
      </c>
      <c r="K201" t="s">
        <v>27</v>
      </c>
      <c r="L201" t="str">
        <f t="shared" si="64"/>
        <v>Julio</v>
      </c>
      <c r="M201" t="s">
        <v>28</v>
      </c>
      <c r="N201" t="str">
        <f t="shared" si="65"/>
        <v>{ nombre: "Tiempo Ordinario, Semana 15 Viernes", archivo: "/salterios/src/evan/audios/tos015viernes.mp3", fecha: `${year}-07-18` },</v>
      </c>
    </row>
    <row r="202" spans="1:14" x14ac:dyDescent="0.25">
      <c r="A202" t="s">
        <v>0</v>
      </c>
      <c r="B202" t="str">
        <f t="shared" si="74"/>
        <v>ordinario</v>
      </c>
      <c r="C202" t="s">
        <v>2</v>
      </c>
      <c r="D202" s="2">
        <f t="shared" si="84"/>
        <v>15</v>
      </c>
      <c r="E202" t="s">
        <v>8</v>
      </c>
      <c r="F202" t="s">
        <v>17</v>
      </c>
      <c r="G202" s="1" t="str">
        <f t="shared" si="83"/>
        <v>tos015sabado</v>
      </c>
      <c r="H202" t="s">
        <v>15</v>
      </c>
      <c r="I202">
        <f t="shared" si="70"/>
        <v>7</v>
      </c>
      <c r="J202">
        <f t="shared" si="71"/>
        <v>19</v>
      </c>
      <c r="K202" t="s">
        <v>27</v>
      </c>
      <c r="L202" t="str">
        <f t="shared" si="64"/>
        <v>Julio</v>
      </c>
      <c r="M202" t="s">
        <v>28</v>
      </c>
      <c r="N202" t="str">
        <f t="shared" si="65"/>
        <v>{ nombre: "Tiempo Ordinario, Semana 15 Sabado", archivo: "/salterios/src/evan/audios/tos015sabado.mp3", fecha: `${year}-07-19` },</v>
      </c>
    </row>
    <row r="203" spans="1:14" x14ac:dyDescent="0.25">
      <c r="A203" t="s">
        <v>0</v>
      </c>
      <c r="B203" t="str">
        <f t="shared" si="74"/>
        <v>ordinario</v>
      </c>
      <c r="C203" t="s">
        <v>2</v>
      </c>
      <c r="D203" s="2">
        <f>+D202+1</f>
        <v>16</v>
      </c>
      <c r="E203" t="s">
        <v>9</v>
      </c>
      <c r="F203" t="s">
        <v>17</v>
      </c>
      <c r="G203" s="1" t="str">
        <f>_xlfn.CONCAT(LEFT(A203,1),LEFT(B203,1),LEFT(C203,1),"0",D203,E203)</f>
        <v>tos016domingo</v>
      </c>
      <c r="H203" t="s">
        <v>15</v>
      </c>
      <c r="I203">
        <f t="shared" si="70"/>
        <v>7</v>
      </c>
      <c r="J203">
        <f t="shared" si="71"/>
        <v>20</v>
      </c>
      <c r="K203" t="s">
        <v>27</v>
      </c>
      <c r="L203" t="str">
        <f t="shared" si="64"/>
        <v>Julio</v>
      </c>
      <c r="M203" t="s">
        <v>28</v>
      </c>
      <c r="N203" t="str">
        <f t="shared" si="65"/>
        <v>{ nombre: "Tiempo Ordinario, Semana 16 Domingo", archivo: "/salterios/src/evan/audios/tos016domingo.mp3", fecha: `${year}-07-20` },</v>
      </c>
    </row>
    <row r="204" spans="1:14" x14ac:dyDescent="0.25">
      <c r="A204" t="s">
        <v>0</v>
      </c>
      <c r="B204" t="str">
        <f t="shared" si="74"/>
        <v>ordinario</v>
      </c>
      <c r="C204" t="s">
        <v>2</v>
      </c>
      <c r="D204" s="2">
        <f>D203</f>
        <v>16</v>
      </c>
      <c r="E204" t="s">
        <v>3</v>
      </c>
      <c r="F204" t="s">
        <v>17</v>
      </c>
      <c r="G204" s="1" t="str">
        <f t="shared" ref="G204:G209" si="85">_xlfn.CONCAT(LEFT(A204,1),LEFT(B204,1),LEFT(C204,1),"0",D204,E204)</f>
        <v>tos016lunes</v>
      </c>
      <c r="H204" t="s">
        <v>15</v>
      </c>
      <c r="I204">
        <f t="shared" si="70"/>
        <v>7</v>
      </c>
      <c r="J204">
        <f t="shared" si="71"/>
        <v>21</v>
      </c>
      <c r="K204" t="s">
        <v>27</v>
      </c>
      <c r="L204" t="str">
        <f t="shared" si="64"/>
        <v>Julio</v>
      </c>
      <c r="M204" t="s">
        <v>28</v>
      </c>
      <c r="N204" t="str">
        <f t="shared" si="65"/>
        <v>{ nombre: "Tiempo Ordinario, Semana 16 Lunes", archivo: "/salterios/src/evan/audios/tos016lunes.mp3", fecha: `${year}-07-21` },</v>
      </c>
    </row>
    <row r="205" spans="1:14" x14ac:dyDescent="0.25">
      <c r="A205" t="s">
        <v>0</v>
      </c>
      <c r="B205" t="str">
        <f t="shared" si="74"/>
        <v>ordinario</v>
      </c>
      <c r="C205" t="s">
        <v>2</v>
      </c>
      <c r="D205" s="2">
        <f t="shared" ref="D205:D209" si="86">D204</f>
        <v>16</v>
      </c>
      <c r="E205" t="s">
        <v>4</v>
      </c>
      <c r="F205" t="s">
        <v>17</v>
      </c>
      <c r="G205" s="1" t="str">
        <f t="shared" si="85"/>
        <v>tos016martes</v>
      </c>
      <c r="H205" t="s">
        <v>15</v>
      </c>
      <c r="I205">
        <f t="shared" si="70"/>
        <v>7</v>
      </c>
      <c r="J205">
        <f t="shared" si="71"/>
        <v>22</v>
      </c>
      <c r="K205" t="s">
        <v>27</v>
      </c>
      <c r="L205" t="str">
        <f t="shared" si="64"/>
        <v>Julio</v>
      </c>
      <c r="M205" t="s">
        <v>28</v>
      </c>
      <c r="N205" t="str">
        <f t="shared" si="65"/>
        <v>{ nombre: "Tiempo Ordinario, Semana 16 Martes", archivo: "/salterios/src/evan/audios/tos016martes.mp3", fecha: `${year}-07-22` },</v>
      </c>
    </row>
    <row r="206" spans="1:14" x14ac:dyDescent="0.25">
      <c r="A206" t="s">
        <v>0</v>
      </c>
      <c r="B206" t="str">
        <f t="shared" si="74"/>
        <v>ordinario</v>
      </c>
      <c r="C206" t="s">
        <v>2</v>
      </c>
      <c r="D206" s="2">
        <f t="shared" si="86"/>
        <v>16</v>
      </c>
      <c r="E206" t="s">
        <v>5</v>
      </c>
      <c r="F206" t="s">
        <v>17</v>
      </c>
      <c r="G206" s="1" t="str">
        <f t="shared" si="85"/>
        <v>tos016miercoles</v>
      </c>
      <c r="H206" t="s">
        <v>15</v>
      </c>
      <c r="I206">
        <f t="shared" si="70"/>
        <v>7</v>
      </c>
      <c r="J206">
        <f t="shared" si="71"/>
        <v>23</v>
      </c>
      <c r="K206" t="s">
        <v>27</v>
      </c>
      <c r="L206" t="str">
        <f t="shared" ref="L206:L269" si="87">IF(I206=1,"Enero",
IF(I206=2,"Febrero",
IF(I206=3,"Marzo",
IF(I206=4,"Abril",
IF(I206=5,"Mayo",
IF(I206=6,"Junio",
IF(I206=7,"Julio",
IF(I206=8,"Agosto",
IF(I206=9,"Septiembre",
IF(I206=10,"Octubre",
IF(I206=11,"Noviembre",
IF(I206=12,"Diciembre",""))))))))))))</f>
        <v>Julio</v>
      </c>
      <c r="M206" t="s">
        <v>28</v>
      </c>
      <c r="N206" t="str">
        <f t="shared" si="65"/>
        <v>{ nombre: "Tiempo Ordinario, Semana 16 Miercoles", archivo: "/salterios/src/evan/audios/tos016miercoles.mp3", fecha: `${year}-07-23` },</v>
      </c>
    </row>
    <row r="207" spans="1:14" x14ac:dyDescent="0.25">
      <c r="A207" t="s">
        <v>0</v>
      </c>
      <c r="B207" t="str">
        <f t="shared" si="74"/>
        <v>ordinario</v>
      </c>
      <c r="C207" t="s">
        <v>2</v>
      </c>
      <c r="D207" s="2">
        <f t="shared" si="86"/>
        <v>16</v>
      </c>
      <c r="E207" t="s">
        <v>6</v>
      </c>
      <c r="F207" t="s">
        <v>17</v>
      </c>
      <c r="G207" s="1" t="str">
        <f t="shared" si="85"/>
        <v>tos016jueves</v>
      </c>
      <c r="H207" t="s">
        <v>15</v>
      </c>
      <c r="I207">
        <f t="shared" si="70"/>
        <v>7</v>
      </c>
      <c r="J207">
        <f t="shared" si="71"/>
        <v>24</v>
      </c>
      <c r="K207" t="s">
        <v>27</v>
      </c>
      <c r="L207" t="str">
        <f t="shared" si="87"/>
        <v>Julio</v>
      </c>
      <c r="M207" t="s">
        <v>28</v>
      </c>
      <c r="N207" t="str">
        <f t="shared" si="65"/>
        <v>{ nombre: "Tiempo Ordinario, Semana 16 Jueves", archivo: "/salterios/src/evan/audios/tos016jueves.mp3", fecha: `${year}-07-24` },</v>
      </c>
    </row>
    <row r="208" spans="1:14" x14ac:dyDescent="0.25">
      <c r="A208" t="s">
        <v>0</v>
      </c>
      <c r="B208" t="str">
        <f t="shared" si="74"/>
        <v>ordinario</v>
      </c>
      <c r="C208" t="s">
        <v>2</v>
      </c>
      <c r="D208" s="2">
        <f t="shared" si="86"/>
        <v>16</v>
      </c>
      <c r="E208" t="s">
        <v>7</v>
      </c>
      <c r="F208" t="s">
        <v>17</v>
      </c>
      <c r="G208" s="1" t="str">
        <f t="shared" si="85"/>
        <v>tos016viernes</v>
      </c>
      <c r="H208" t="s">
        <v>15</v>
      </c>
      <c r="I208">
        <f t="shared" si="70"/>
        <v>7</v>
      </c>
      <c r="J208">
        <f t="shared" si="71"/>
        <v>25</v>
      </c>
      <c r="K208" t="s">
        <v>27</v>
      </c>
      <c r="L208" t="str">
        <f t="shared" si="87"/>
        <v>Julio</v>
      </c>
      <c r="M208" t="s">
        <v>28</v>
      </c>
      <c r="N208" t="str">
        <f t="shared" ref="N208:N271" si="88">_xlfn.CONCAT("{ nombre: ",H208,PROPER(A208)," ",PROPER(B208),", ",PROPER(C208)," ",D208," ",PROPER(E208),""",",F208,G208,".mp3",H208,", fecha: `${year}-",0,I208,"-",J208,"` },")</f>
        <v>{ nombre: "Tiempo Ordinario, Semana 16 Viernes", archivo: "/salterios/src/evan/audios/tos016viernes.mp3", fecha: `${year}-07-25` },</v>
      </c>
    </row>
    <row r="209" spans="1:14" x14ac:dyDescent="0.25">
      <c r="A209" t="s">
        <v>0</v>
      </c>
      <c r="B209" t="str">
        <f t="shared" si="74"/>
        <v>ordinario</v>
      </c>
      <c r="C209" t="s">
        <v>2</v>
      </c>
      <c r="D209" s="2">
        <f t="shared" si="86"/>
        <v>16</v>
      </c>
      <c r="E209" t="s">
        <v>8</v>
      </c>
      <c r="F209" t="s">
        <v>17</v>
      </c>
      <c r="G209" s="1" t="str">
        <f t="shared" si="85"/>
        <v>tos016sabado</v>
      </c>
      <c r="H209" t="s">
        <v>15</v>
      </c>
      <c r="I209">
        <f t="shared" si="70"/>
        <v>7</v>
      </c>
      <c r="J209">
        <f t="shared" si="71"/>
        <v>26</v>
      </c>
      <c r="K209" t="s">
        <v>27</v>
      </c>
      <c r="L209" t="str">
        <f t="shared" si="87"/>
        <v>Julio</v>
      </c>
      <c r="M209" t="s">
        <v>28</v>
      </c>
      <c r="N209" t="str">
        <f t="shared" si="88"/>
        <v>{ nombre: "Tiempo Ordinario, Semana 16 Sabado", archivo: "/salterios/src/evan/audios/tos016sabado.mp3", fecha: `${year}-07-26` },</v>
      </c>
    </row>
    <row r="210" spans="1:14" x14ac:dyDescent="0.25">
      <c r="A210" t="s">
        <v>0</v>
      </c>
      <c r="B210" t="str">
        <f t="shared" si="74"/>
        <v>ordinario</v>
      </c>
      <c r="C210" t="s">
        <v>2</v>
      </c>
      <c r="D210" s="2">
        <f>+D209+1</f>
        <v>17</v>
      </c>
      <c r="E210" t="s">
        <v>9</v>
      </c>
      <c r="F210" t="s">
        <v>17</v>
      </c>
      <c r="G210" s="1" t="str">
        <f>_xlfn.CONCAT(LEFT(A210,1),LEFT(B210,1),LEFT(C210,1),"0",D210,E210)</f>
        <v>tos017domingo</v>
      </c>
      <c r="H210" t="s">
        <v>15</v>
      </c>
      <c r="I210">
        <f t="shared" si="70"/>
        <v>7</v>
      </c>
      <c r="J210">
        <f t="shared" si="71"/>
        <v>27</v>
      </c>
      <c r="K210" t="s">
        <v>27</v>
      </c>
      <c r="L210" t="str">
        <f t="shared" si="87"/>
        <v>Julio</v>
      </c>
      <c r="M210" t="s">
        <v>28</v>
      </c>
      <c r="N210" t="str">
        <f t="shared" si="88"/>
        <v>{ nombre: "Tiempo Ordinario, Semana 17 Domingo", archivo: "/salterios/src/evan/audios/tos017domingo.mp3", fecha: `${year}-07-27` },</v>
      </c>
    </row>
    <row r="211" spans="1:14" x14ac:dyDescent="0.25">
      <c r="A211" t="s">
        <v>0</v>
      </c>
      <c r="B211" t="str">
        <f t="shared" si="74"/>
        <v>ordinario</v>
      </c>
      <c r="C211" t="s">
        <v>2</v>
      </c>
      <c r="D211" s="2">
        <f>D210</f>
        <v>17</v>
      </c>
      <c r="E211" t="s">
        <v>3</v>
      </c>
      <c r="F211" t="s">
        <v>17</v>
      </c>
      <c r="G211" s="1" t="str">
        <f t="shared" ref="G211:G216" si="89">_xlfn.CONCAT(LEFT(A211,1),LEFT(B211,1),LEFT(C211,1),"0",D211,E211)</f>
        <v>tos017lunes</v>
      </c>
      <c r="H211" t="s">
        <v>15</v>
      </c>
      <c r="I211">
        <f t="shared" si="70"/>
        <v>7</v>
      </c>
      <c r="J211">
        <f t="shared" si="71"/>
        <v>28</v>
      </c>
      <c r="K211" t="s">
        <v>27</v>
      </c>
      <c r="L211" t="str">
        <f t="shared" si="87"/>
        <v>Julio</v>
      </c>
      <c r="M211" t="s">
        <v>28</v>
      </c>
      <c r="N211" t="str">
        <f t="shared" si="88"/>
        <v>{ nombre: "Tiempo Ordinario, Semana 17 Lunes", archivo: "/salterios/src/evan/audios/tos017lunes.mp3", fecha: `${year}-07-28` },</v>
      </c>
    </row>
    <row r="212" spans="1:14" x14ac:dyDescent="0.25">
      <c r="A212" t="s">
        <v>0</v>
      </c>
      <c r="B212" t="str">
        <f t="shared" si="74"/>
        <v>ordinario</v>
      </c>
      <c r="C212" t="s">
        <v>2</v>
      </c>
      <c r="D212" s="2">
        <f t="shared" ref="D212:D216" si="90">D211</f>
        <v>17</v>
      </c>
      <c r="E212" t="s">
        <v>4</v>
      </c>
      <c r="F212" t="s">
        <v>17</v>
      </c>
      <c r="G212" s="1" t="str">
        <f t="shared" si="89"/>
        <v>tos017martes</v>
      </c>
      <c r="H212" t="s">
        <v>15</v>
      </c>
      <c r="I212">
        <f t="shared" si="70"/>
        <v>7</v>
      </c>
      <c r="J212">
        <f t="shared" si="71"/>
        <v>29</v>
      </c>
      <c r="K212" t="s">
        <v>27</v>
      </c>
      <c r="L212" t="str">
        <f t="shared" si="87"/>
        <v>Julio</v>
      </c>
      <c r="M212" t="s">
        <v>28</v>
      </c>
      <c r="N212" t="str">
        <f t="shared" si="88"/>
        <v>{ nombre: "Tiempo Ordinario, Semana 17 Martes", archivo: "/salterios/src/evan/audios/tos017martes.mp3", fecha: `${year}-07-29` },</v>
      </c>
    </row>
    <row r="213" spans="1:14" x14ac:dyDescent="0.25">
      <c r="A213" t="s">
        <v>0</v>
      </c>
      <c r="B213" t="str">
        <f t="shared" si="74"/>
        <v>ordinario</v>
      </c>
      <c r="C213" t="s">
        <v>2</v>
      </c>
      <c r="D213" s="2">
        <f t="shared" si="90"/>
        <v>17</v>
      </c>
      <c r="E213" t="s">
        <v>5</v>
      </c>
      <c r="F213" t="s">
        <v>17</v>
      </c>
      <c r="G213" s="1" t="str">
        <f t="shared" si="89"/>
        <v>tos017miercoles</v>
      </c>
      <c r="H213" t="s">
        <v>15</v>
      </c>
      <c r="I213">
        <f t="shared" si="70"/>
        <v>7</v>
      </c>
      <c r="J213">
        <f t="shared" si="71"/>
        <v>30</v>
      </c>
      <c r="K213" t="s">
        <v>27</v>
      </c>
      <c r="L213" t="str">
        <f t="shared" si="87"/>
        <v>Julio</v>
      </c>
      <c r="M213" t="s">
        <v>28</v>
      </c>
      <c r="N213" t="str">
        <f t="shared" si="88"/>
        <v>{ nombre: "Tiempo Ordinario, Semana 17 Miercoles", archivo: "/salterios/src/evan/audios/tos017miercoles.mp3", fecha: `${year}-07-30` },</v>
      </c>
    </row>
    <row r="214" spans="1:14" x14ac:dyDescent="0.25">
      <c r="A214" t="s">
        <v>0</v>
      </c>
      <c r="B214" t="str">
        <f t="shared" si="74"/>
        <v>ordinario</v>
      </c>
      <c r="C214" t="s">
        <v>2</v>
      </c>
      <c r="D214" s="2">
        <f t="shared" si="90"/>
        <v>17</v>
      </c>
      <c r="E214" t="s">
        <v>6</v>
      </c>
      <c r="F214" t="s">
        <v>17</v>
      </c>
      <c r="G214" s="1" t="str">
        <f t="shared" si="89"/>
        <v>tos017jueves</v>
      </c>
      <c r="H214" t="s">
        <v>15</v>
      </c>
      <c r="I214">
        <f t="shared" si="70"/>
        <v>7</v>
      </c>
      <c r="J214">
        <f t="shared" si="71"/>
        <v>31</v>
      </c>
      <c r="K214" t="s">
        <v>27</v>
      </c>
      <c r="L214" t="str">
        <f t="shared" si="87"/>
        <v>Julio</v>
      </c>
      <c r="M214" t="s">
        <v>28</v>
      </c>
      <c r="N214" t="str">
        <f t="shared" si="88"/>
        <v>{ nombre: "Tiempo Ordinario, Semana 17 Jueves", archivo: "/salterios/src/evan/audios/tos017jueves.mp3", fecha: `${year}-07-31` },</v>
      </c>
    </row>
    <row r="215" spans="1:14" x14ac:dyDescent="0.25">
      <c r="A215" t="s">
        <v>0</v>
      </c>
      <c r="B215" t="str">
        <f t="shared" si="74"/>
        <v>ordinario</v>
      </c>
      <c r="C215" t="s">
        <v>2</v>
      </c>
      <c r="D215" s="2">
        <f t="shared" si="90"/>
        <v>17</v>
      </c>
      <c r="E215" t="s">
        <v>7</v>
      </c>
      <c r="F215" t="s">
        <v>17</v>
      </c>
      <c r="G215" s="1" t="str">
        <f t="shared" si="89"/>
        <v>tos017viernes</v>
      </c>
      <c r="H215" t="s">
        <v>15</v>
      </c>
      <c r="I215">
        <v>8</v>
      </c>
      <c r="J215">
        <v>1</v>
      </c>
      <c r="K215" t="s">
        <v>27</v>
      </c>
      <c r="L215" t="str">
        <f t="shared" si="87"/>
        <v>Agosto</v>
      </c>
      <c r="M215" t="s">
        <v>28</v>
      </c>
      <c r="N215" t="str">
        <f t="shared" si="88"/>
        <v>{ nombre: "Tiempo Ordinario, Semana 17 Viernes", archivo: "/salterios/src/evan/audios/tos017viernes.mp3", fecha: `${year}-08-1` },</v>
      </c>
    </row>
    <row r="216" spans="1:14" x14ac:dyDescent="0.25">
      <c r="A216" t="s">
        <v>0</v>
      </c>
      <c r="B216" t="str">
        <f t="shared" si="74"/>
        <v>ordinario</v>
      </c>
      <c r="C216" t="s">
        <v>2</v>
      </c>
      <c r="D216" s="2">
        <f t="shared" si="90"/>
        <v>17</v>
      </c>
      <c r="E216" t="s">
        <v>8</v>
      </c>
      <c r="F216" t="s">
        <v>17</v>
      </c>
      <c r="G216" s="1" t="str">
        <f t="shared" si="89"/>
        <v>tos017sabado</v>
      </c>
      <c r="H216" t="s">
        <v>15</v>
      </c>
      <c r="I216">
        <f t="shared" si="70"/>
        <v>8</v>
      </c>
      <c r="J216">
        <f t="shared" si="71"/>
        <v>2</v>
      </c>
      <c r="K216" t="s">
        <v>27</v>
      </c>
      <c r="L216" t="str">
        <f t="shared" si="87"/>
        <v>Agosto</v>
      </c>
      <c r="M216" t="s">
        <v>28</v>
      </c>
      <c r="N216" t="str">
        <f t="shared" si="88"/>
        <v>{ nombre: "Tiempo Ordinario, Semana 17 Sabado", archivo: "/salterios/src/evan/audios/tos017sabado.mp3", fecha: `${year}-08-2` },</v>
      </c>
    </row>
    <row r="217" spans="1:14" x14ac:dyDescent="0.25">
      <c r="A217" t="s">
        <v>0</v>
      </c>
      <c r="B217" t="str">
        <f t="shared" si="74"/>
        <v>ordinario</v>
      </c>
      <c r="C217" t="s">
        <v>2</v>
      </c>
      <c r="D217" s="2">
        <f>+D216+1</f>
        <v>18</v>
      </c>
      <c r="E217" t="s">
        <v>9</v>
      </c>
      <c r="F217" t="s">
        <v>17</v>
      </c>
      <c r="G217" s="1" t="str">
        <f>_xlfn.CONCAT(LEFT(A217,1),LEFT(B217,1),LEFT(C217,1),"0",D217,E217)</f>
        <v>tos018domingo</v>
      </c>
      <c r="H217" t="s">
        <v>15</v>
      </c>
      <c r="I217">
        <f t="shared" si="70"/>
        <v>8</v>
      </c>
      <c r="J217">
        <f t="shared" si="71"/>
        <v>3</v>
      </c>
      <c r="K217" t="s">
        <v>27</v>
      </c>
      <c r="L217" t="str">
        <f t="shared" si="87"/>
        <v>Agosto</v>
      </c>
      <c r="M217" t="s">
        <v>28</v>
      </c>
      <c r="N217" t="str">
        <f t="shared" si="88"/>
        <v>{ nombre: "Tiempo Ordinario, Semana 18 Domingo", archivo: "/salterios/src/evan/audios/tos018domingo.mp3", fecha: `${year}-08-3` },</v>
      </c>
    </row>
    <row r="218" spans="1:14" x14ac:dyDescent="0.25">
      <c r="A218" t="s">
        <v>0</v>
      </c>
      <c r="B218" t="str">
        <f t="shared" si="74"/>
        <v>ordinario</v>
      </c>
      <c r="C218" t="s">
        <v>2</v>
      </c>
      <c r="D218" s="2">
        <f>D217</f>
        <v>18</v>
      </c>
      <c r="E218" t="s">
        <v>3</v>
      </c>
      <c r="F218" t="s">
        <v>17</v>
      </c>
      <c r="G218" s="1" t="str">
        <f t="shared" ref="G218:G223" si="91">_xlfn.CONCAT(LEFT(A218,1),LEFT(B218,1),LEFT(C218,1),"0",D218,E218)</f>
        <v>tos018lunes</v>
      </c>
      <c r="H218" t="s">
        <v>15</v>
      </c>
      <c r="I218">
        <f t="shared" si="70"/>
        <v>8</v>
      </c>
      <c r="J218">
        <f t="shared" si="71"/>
        <v>4</v>
      </c>
      <c r="K218" t="s">
        <v>27</v>
      </c>
      <c r="L218" t="str">
        <f t="shared" si="87"/>
        <v>Agosto</v>
      </c>
      <c r="M218" t="s">
        <v>28</v>
      </c>
      <c r="N218" t="str">
        <f t="shared" si="88"/>
        <v>{ nombre: "Tiempo Ordinario, Semana 18 Lunes", archivo: "/salterios/src/evan/audios/tos018lunes.mp3", fecha: `${year}-08-4` },</v>
      </c>
    </row>
    <row r="219" spans="1:14" x14ac:dyDescent="0.25">
      <c r="A219" t="s">
        <v>0</v>
      </c>
      <c r="B219" t="str">
        <f t="shared" si="74"/>
        <v>ordinario</v>
      </c>
      <c r="C219" t="s">
        <v>2</v>
      </c>
      <c r="D219" s="2">
        <f t="shared" ref="D219:D223" si="92">D218</f>
        <v>18</v>
      </c>
      <c r="E219" t="s">
        <v>4</v>
      </c>
      <c r="F219" t="s">
        <v>17</v>
      </c>
      <c r="G219" s="1" t="str">
        <f t="shared" si="91"/>
        <v>tos018martes</v>
      </c>
      <c r="H219" t="s">
        <v>15</v>
      </c>
      <c r="I219">
        <f t="shared" si="70"/>
        <v>8</v>
      </c>
      <c r="J219">
        <f t="shared" si="71"/>
        <v>5</v>
      </c>
      <c r="K219" t="s">
        <v>27</v>
      </c>
      <c r="L219" t="str">
        <f t="shared" si="87"/>
        <v>Agosto</v>
      </c>
      <c r="M219" t="s">
        <v>28</v>
      </c>
      <c r="N219" t="str">
        <f t="shared" si="88"/>
        <v>{ nombre: "Tiempo Ordinario, Semana 18 Martes", archivo: "/salterios/src/evan/audios/tos018martes.mp3", fecha: `${year}-08-5` },</v>
      </c>
    </row>
    <row r="220" spans="1:14" x14ac:dyDescent="0.25">
      <c r="A220" t="s">
        <v>0</v>
      </c>
      <c r="B220" t="str">
        <f t="shared" si="74"/>
        <v>ordinario</v>
      </c>
      <c r="C220" t="s">
        <v>2</v>
      </c>
      <c r="D220" s="2">
        <f t="shared" si="92"/>
        <v>18</v>
      </c>
      <c r="E220" t="s">
        <v>5</v>
      </c>
      <c r="F220" t="s">
        <v>17</v>
      </c>
      <c r="G220" s="1" t="str">
        <f t="shared" si="91"/>
        <v>tos018miercoles</v>
      </c>
      <c r="H220" t="s">
        <v>15</v>
      </c>
      <c r="I220">
        <f t="shared" si="70"/>
        <v>8</v>
      </c>
      <c r="J220">
        <f t="shared" si="71"/>
        <v>6</v>
      </c>
      <c r="K220" t="s">
        <v>27</v>
      </c>
      <c r="L220" t="str">
        <f t="shared" si="87"/>
        <v>Agosto</v>
      </c>
      <c r="M220" t="s">
        <v>28</v>
      </c>
      <c r="N220" t="str">
        <f t="shared" si="88"/>
        <v>{ nombre: "Tiempo Ordinario, Semana 18 Miercoles", archivo: "/salterios/src/evan/audios/tos018miercoles.mp3", fecha: `${year}-08-6` },</v>
      </c>
    </row>
    <row r="221" spans="1:14" x14ac:dyDescent="0.25">
      <c r="A221" t="s">
        <v>0</v>
      </c>
      <c r="B221" t="str">
        <f t="shared" si="74"/>
        <v>ordinario</v>
      </c>
      <c r="C221" t="s">
        <v>2</v>
      </c>
      <c r="D221" s="2">
        <f t="shared" si="92"/>
        <v>18</v>
      </c>
      <c r="E221" t="s">
        <v>6</v>
      </c>
      <c r="F221" t="s">
        <v>17</v>
      </c>
      <c r="G221" s="1" t="str">
        <f t="shared" si="91"/>
        <v>tos018jueves</v>
      </c>
      <c r="H221" t="s">
        <v>15</v>
      </c>
      <c r="I221">
        <f t="shared" si="70"/>
        <v>8</v>
      </c>
      <c r="J221">
        <f t="shared" si="71"/>
        <v>7</v>
      </c>
      <c r="K221" t="s">
        <v>27</v>
      </c>
      <c r="L221" t="str">
        <f t="shared" si="87"/>
        <v>Agosto</v>
      </c>
      <c r="M221" t="s">
        <v>28</v>
      </c>
      <c r="N221" t="str">
        <f t="shared" si="88"/>
        <v>{ nombre: "Tiempo Ordinario, Semana 18 Jueves", archivo: "/salterios/src/evan/audios/tos018jueves.mp3", fecha: `${year}-08-7` },</v>
      </c>
    </row>
    <row r="222" spans="1:14" x14ac:dyDescent="0.25">
      <c r="A222" t="s">
        <v>0</v>
      </c>
      <c r="B222" t="str">
        <f t="shared" si="74"/>
        <v>ordinario</v>
      </c>
      <c r="C222" t="s">
        <v>2</v>
      </c>
      <c r="D222" s="2">
        <f t="shared" si="92"/>
        <v>18</v>
      </c>
      <c r="E222" t="s">
        <v>7</v>
      </c>
      <c r="F222" t="s">
        <v>17</v>
      </c>
      <c r="G222" s="1" t="str">
        <f t="shared" si="91"/>
        <v>tos018viernes</v>
      </c>
      <c r="H222" t="s">
        <v>15</v>
      </c>
      <c r="I222">
        <f t="shared" si="70"/>
        <v>8</v>
      </c>
      <c r="J222">
        <f t="shared" si="71"/>
        <v>8</v>
      </c>
      <c r="K222" t="s">
        <v>27</v>
      </c>
      <c r="L222" t="str">
        <f t="shared" si="87"/>
        <v>Agosto</v>
      </c>
      <c r="M222" t="s">
        <v>28</v>
      </c>
      <c r="N222" t="str">
        <f t="shared" si="88"/>
        <v>{ nombre: "Tiempo Ordinario, Semana 18 Viernes", archivo: "/salterios/src/evan/audios/tos018viernes.mp3", fecha: `${year}-08-8` },</v>
      </c>
    </row>
    <row r="223" spans="1:14" x14ac:dyDescent="0.25">
      <c r="A223" t="s">
        <v>0</v>
      </c>
      <c r="B223" t="str">
        <f t="shared" si="74"/>
        <v>ordinario</v>
      </c>
      <c r="C223" t="s">
        <v>2</v>
      </c>
      <c r="D223" s="2">
        <f t="shared" si="92"/>
        <v>18</v>
      </c>
      <c r="E223" t="s">
        <v>8</v>
      </c>
      <c r="F223" t="s">
        <v>17</v>
      </c>
      <c r="G223" s="1" t="str">
        <f t="shared" si="91"/>
        <v>tos018sabado</v>
      </c>
      <c r="H223" t="s">
        <v>15</v>
      </c>
      <c r="I223">
        <f t="shared" ref="I223:I251" si="93">I222</f>
        <v>8</v>
      </c>
      <c r="J223">
        <f t="shared" ref="J223:J251" si="94">+J222+1</f>
        <v>9</v>
      </c>
      <c r="K223" t="s">
        <v>27</v>
      </c>
      <c r="L223" t="str">
        <f t="shared" si="87"/>
        <v>Agosto</v>
      </c>
      <c r="M223" t="s">
        <v>28</v>
      </c>
      <c r="N223" t="str">
        <f t="shared" si="88"/>
        <v>{ nombre: "Tiempo Ordinario, Semana 18 Sabado", archivo: "/salterios/src/evan/audios/tos018sabado.mp3", fecha: `${year}-08-9` },</v>
      </c>
    </row>
    <row r="224" spans="1:14" x14ac:dyDescent="0.25">
      <c r="A224" t="s">
        <v>0</v>
      </c>
      <c r="B224" t="str">
        <f t="shared" si="74"/>
        <v>ordinario</v>
      </c>
      <c r="C224" t="s">
        <v>2</v>
      </c>
      <c r="D224" s="2">
        <f>+D223+1</f>
        <v>19</v>
      </c>
      <c r="E224" t="s">
        <v>9</v>
      </c>
      <c r="F224" t="s">
        <v>17</v>
      </c>
      <c r="G224" s="1" t="str">
        <f>_xlfn.CONCAT(LEFT(A224,1),LEFT(B224,1),LEFT(C224,1),"0",D224,E224)</f>
        <v>tos019domingo</v>
      </c>
      <c r="H224" t="s">
        <v>15</v>
      </c>
      <c r="I224">
        <f t="shared" si="93"/>
        <v>8</v>
      </c>
      <c r="J224">
        <f t="shared" si="94"/>
        <v>10</v>
      </c>
      <c r="K224" t="s">
        <v>27</v>
      </c>
      <c r="L224" t="str">
        <f t="shared" si="87"/>
        <v>Agosto</v>
      </c>
      <c r="M224" t="s">
        <v>28</v>
      </c>
      <c r="N224" t="str">
        <f t="shared" si="88"/>
        <v>{ nombre: "Tiempo Ordinario, Semana 19 Domingo", archivo: "/salterios/src/evan/audios/tos019domingo.mp3", fecha: `${year}-08-10` },</v>
      </c>
    </row>
    <row r="225" spans="1:14" x14ac:dyDescent="0.25">
      <c r="A225" t="s">
        <v>0</v>
      </c>
      <c r="B225" t="str">
        <f t="shared" si="74"/>
        <v>ordinario</v>
      </c>
      <c r="C225" t="s">
        <v>2</v>
      </c>
      <c r="D225" s="2">
        <f>D224</f>
        <v>19</v>
      </c>
      <c r="E225" t="s">
        <v>3</v>
      </c>
      <c r="F225" t="s">
        <v>17</v>
      </c>
      <c r="G225" s="1" t="str">
        <f t="shared" ref="G225:G230" si="95">_xlfn.CONCAT(LEFT(A225,1),LEFT(B225,1),LEFT(C225,1),"0",D225,E225)</f>
        <v>tos019lunes</v>
      </c>
      <c r="H225" t="s">
        <v>15</v>
      </c>
      <c r="I225">
        <f t="shared" si="93"/>
        <v>8</v>
      </c>
      <c r="J225">
        <f t="shared" si="94"/>
        <v>11</v>
      </c>
      <c r="K225" t="s">
        <v>27</v>
      </c>
      <c r="L225" t="str">
        <f t="shared" si="87"/>
        <v>Agosto</v>
      </c>
      <c r="M225" t="s">
        <v>28</v>
      </c>
      <c r="N225" t="str">
        <f t="shared" si="88"/>
        <v>{ nombre: "Tiempo Ordinario, Semana 19 Lunes", archivo: "/salterios/src/evan/audios/tos019lunes.mp3", fecha: `${year}-08-11` },</v>
      </c>
    </row>
    <row r="226" spans="1:14" x14ac:dyDescent="0.25">
      <c r="A226" t="s">
        <v>0</v>
      </c>
      <c r="B226" t="str">
        <f t="shared" si="74"/>
        <v>ordinario</v>
      </c>
      <c r="C226" t="s">
        <v>2</v>
      </c>
      <c r="D226" s="2">
        <f t="shared" ref="D226:D230" si="96">D225</f>
        <v>19</v>
      </c>
      <c r="E226" t="s">
        <v>4</v>
      </c>
      <c r="F226" t="s">
        <v>17</v>
      </c>
      <c r="G226" s="1" t="str">
        <f t="shared" si="95"/>
        <v>tos019martes</v>
      </c>
      <c r="H226" t="s">
        <v>15</v>
      </c>
      <c r="I226">
        <f t="shared" si="93"/>
        <v>8</v>
      </c>
      <c r="J226">
        <f t="shared" si="94"/>
        <v>12</v>
      </c>
      <c r="K226" t="s">
        <v>27</v>
      </c>
      <c r="L226" t="str">
        <f t="shared" si="87"/>
        <v>Agosto</v>
      </c>
      <c r="M226" t="s">
        <v>28</v>
      </c>
      <c r="N226" t="str">
        <f t="shared" si="88"/>
        <v>{ nombre: "Tiempo Ordinario, Semana 19 Martes", archivo: "/salterios/src/evan/audios/tos019martes.mp3", fecha: `${year}-08-12` },</v>
      </c>
    </row>
    <row r="227" spans="1:14" x14ac:dyDescent="0.25">
      <c r="A227" t="s">
        <v>0</v>
      </c>
      <c r="B227" t="str">
        <f t="shared" si="74"/>
        <v>ordinario</v>
      </c>
      <c r="C227" t="s">
        <v>2</v>
      </c>
      <c r="D227" s="2">
        <f t="shared" si="96"/>
        <v>19</v>
      </c>
      <c r="E227" t="s">
        <v>5</v>
      </c>
      <c r="F227" t="s">
        <v>17</v>
      </c>
      <c r="G227" s="1" t="str">
        <f t="shared" si="95"/>
        <v>tos019miercoles</v>
      </c>
      <c r="H227" t="s">
        <v>15</v>
      </c>
      <c r="I227">
        <f t="shared" si="93"/>
        <v>8</v>
      </c>
      <c r="J227">
        <f t="shared" si="94"/>
        <v>13</v>
      </c>
      <c r="K227" t="s">
        <v>27</v>
      </c>
      <c r="L227" t="str">
        <f t="shared" si="87"/>
        <v>Agosto</v>
      </c>
      <c r="M227" t="s">
        <v>28</v>
      </c>
      <c r="N227" t="str">
        <f t="shared" si="88"/>
        <v>{ nombre: "Tiempo Ordinario, Semana 19 Miercoles", archivo: "/salterios/src/evan/audios/tos019miercoles.mp3", fecha: `${year}-08-13` },</v>
      </c>
    </row>
    <row r="228" spans="1:14" x14ac:dyDescent="0.25">
      <c r="A228" t="s">
        <v>0</v>
      </c>
      <c r="B228" t="str">
        <f t="shared" si="74"/>
        <v>ordinario</v>
      </c>
      <c r="C228" t="s">
        <v>2</v>
      </c>
      <c r="D228" s="2">
        <f t="shared" si="96"/>
        <v>19</v>
      </c>
      <c r="E228" t="s">
        <v>6</v>
      </c>
      <c r="F228" t="s">
        <v>17</v>
      </c>
      <c r="G228" s="1" t="str">
        <f t="shared" si="95"/>
        <v>tos019jueves</v>
      </c>
      <c r="H228" t="s">
        <v>15</v>
      </c>
      <c r="I228">
        <f t="shared" si="93"/>
        <v>8</v>
      </c>
      <c r="J228">
        <f t="shared" si="94"/>
        <v>14</v>
      </c>
      <c r="K228" t="s">
        <v>27</v>
      </c>
      <c r="L228" t="str">
        <f t="shared" si="87"/>
        <v>Agosto</v>
      </c>
      <c r="M228" t="s">
        <v>28</v>
      </c>
      <c r="N228" t="str">
        <f t="shared" si="88"/>
        <v>{ nombre: "Tiempo Ordinario, Semana 19 Jueves", archivo: "/salterios/src/evan/audios/tos019jueves.mp3", fecha: `${year}-08-14` },</v>
      </c>
    </row>
    <row r="229" spans="1:14" x14ac:dyDescent="0.25">
      <c r="A229" t="s">
        <v>0</v>
      </c>
      <c r="B229" t="str">
        <f t="shared" ref="B229:B294" si="97">B228</f>
        <v>ordinario</v>
      </c>
      <c r="C229" t="s">
        <v>2</v>
      </c>
      <c r="D229" s="2">
        <f t="shared" si="96"/>
        <v>19</v>
      </c>
      <c r="E229" t="s">
        <v>7</v>
      </c>
      <c r="F229" t="s">
        <v>17</v>
      </c>
      <c r="G229" s="1" t="str">
        <f t="shared" si="95"/>
        <v>tos019viernes</v>
      </c>
      <c r="H229" t="s">
        <v>15</v>
      </c>
      <c r="I229">
        <f t="shared" si="93"/>
        <v>8</v>
      </c>
      <c r="J229">
        <f t="shared" si="94"/>
        <v>15</v>
      </c>
      <c r="K229" t="s">
        <v>27</v>
      </c>
      <c r="L229" t="str">
        <f t="shared" si="87"/>
        <v>Agosto</v>
      </c>
      <c r="M229" t="s">
        <v>28</v>
      </c>
      <c r="N229" t="str">
        <f t="shared" si="88"/>
        <v>{ nombre: "Tiempo Ordinario, Semana 19 Viernes", archivo: "/salterios/src/evan/audios/tos019viernes.mp3", fecha: `${year}-08-15` },</v>
      </c>
    </row>
    <row r="230" spans="1:14" x14ac:dyDescent="0.25">
      <c r="A230" t="s">
        <v>0</v>
      </c>
      <c r="B230" t="str">
        <f t="shared" si="97"/>
        <v>ordinario</v>
      </c>
      <c r="C230" t="s">
        <v>2</v>
      </c>
      <c r="D230" s="2">
        <f t="shared" si="96"/>
        <v>19</v>
      </c>
      <c r="E230" t="s">
        <v>8</v>
      </c>
      <c r="F230" t="s">
        <v>17</v>
      </c>
      <c r="G230" s="1" t="str">
        <f t="shared" si="95"/>
        <v>tos019sabado</v>
      </c>
      <c r="H230" t="s">
        <v>15</v>
      </c>
      <c r="I230">
        <f t="shared" si="93"/>
        <v>8</v>
      </c>
      <c r="J230">
        <f t="shared" si="94"/>
        <v>16</v>
      </c>
      <c r="K230" t="s">
        <v>27</v>
      </c>
      <c r="L230" t="str">
        <f t="shared" si="87"/>
        <v>Agosto</v>
      </c>
      <c r="M230" t="s">
        <v>28</v>
      </c>
      <c r="N230" t="str">
        <f t="shared" si="88"/>
        <v>{ nombre: "Tiempo Ordinario, Semana 19 Sabado", archivo: "/salterios/src/evan/audios/tos019sabado.mp3", fecha: `${year}-08-16` },</v>
      </c>
    </row>
    <row r="231" spans="1:14" x14ac:dyDescent="0.25">
      <c r="A231" t="s">
        <v>0</v>
      </c>
      <c r="B231" t="str">
        <f t="shared" si="97"/>
        <v>ordinario</v>
      </c>
      <c r="C231" t="s">
        <v>2</v>
      </c>
      <c r="D231" s="2">
        <f>+D230+1</f>
        <v>20</v>
      </c>
      <c r="E231" t="s">
        <v>9</v>
      </c>
      <c r="F231" t="s">
        <v>17</v>
      </c>
      <c r="G231" s="1" t="str">
        <f>_xlfn.CONCAT(LEFT(A231,1),LEFT(B231,1),LEFT(C231,1),"0",D231,E231)</f>
        <v>tos020domingo</v>
      </c>
      <c r="H231" t="s">
        <v>15</v>
      </c>
      <c r="I231">
        <f t="shared" si="93"/>
        <v>8</v>
      </c>
      <c r="J231">
        <f t="shared" si="94"/>
        <v>17</v>
      </c>
      <c r="K231" t="s">
        <v>27</v>
      </c>
      <c r="L231" t="str">
        <f t="shared" si="87"/>
        <v>Agosto</v>
      </c>
      <c r="M231" t="s">
        <v>28</v>
      </c>
      <c r="N231" t="str">
        <f t="shared" si="88"/>
        <v>{ nombre: "Tiempo Ordinario, Semana 20 Domingo", archivo: "/salterios/src/evan/audios/tos020domingo.mp3", fecha: `${year}-08-17` },</v>
      </c>
    </row>
    <row r="232" spans="1:14" x14ac:dyDescent="0.25">
      <c r="A232" t="s">
        <v>0</v>
      </c>
      <c r="B232" t="str">
        <f t="shared" si="97"/>
        <v>ordinario</v>
      </c>
      <c r="C232" t="s">
        <v>2</v>
      </c>
      <c r="D232" s="2">
        <f>D231</f>
        <v>20</v>
      </c>
      <c r="E232" t="s">
        <v>3</v>
      </c>
      <c r="F232" t="s">
        <v>17</v>
      </c>
      <c r="G232" s="1" t="str">
        <f t="shared" ref="G232:G237" si="98">_xlfn.CONCAT(LEFT(A232,1),LEFT(B232,1),LEFT(C232,1),"0",D232,E232)</f>
        <v>tos020lunes</v>
      </c>
      <c r="H232" t="s">
        <v>15</v>
      </c>
      <c r="I232">
        <f t="shared" si="93"/>
        <v>8</v>
      </c>
      <c r="J232">
        <f t="shared" si="94"/>
        <v>18</v>
      </c>
      <c r="K232" t="s">
        <v>27</v>
      </c>
      <c r="L232" t="str">
        <f t="shared" si="87"/>
        <v>Agosto</v>
      </c>
      <c r="M232" t="s">
        <v>28</v>
      </c>
      <c r="N232" t="str">
        <f t="shared" si="88"/>
        <v>{ nombre: "Tiempo Ordinario, Semana 20 Lunes", archivo: "/salterios/src/evan/audios/tos020lunes.mp3", fecha: `${year}-08-18` },</v>
      </c>
    </row>
    <row r="233" spans="1:14" x14ac:dyDescent="0.25">
      <c r="A233" t="s">
        <v>0</v>
      </c>
      <c r="B233" t="str">
        <f t="shared" si="97"/>
        <v>ordinario</v>
      </c>
      <c r="C233" t="s">
        <v>2</v>
      </c>
      <c r="D233" s="2">
        <f t="shared" ref="D233:D237" si="99">D232</f>
        <v>20</v>
      </c>
      <c r="E233" t="s">
        <v>4</v>
      </c>
      <c r="F233" t="s">
        <v>17</v>
      </c>
      <c r="G233" s="1" t="str">
        <f t="shared" si="98"/>
        <v>tos020martes</v>
      </c>
      <c r="H233" t="s">
        <v>15</v>
      </c>
      <c r="I233">
        <f t="shared" si="93"/>
        <v>8</v>
      </c>
      <c r="J233">
        <f t="shared" si="94"/>
        <v>19</v>
      </c>
      <c r="K233" t="s">
        <v>27</v>
      </c>
      <c r="L233" t="str">
        <f t="shared" si="87"/>
        <v>Agosto</v>
      </c>
      <c r="M233" t="s">
        <v>28</v>
      </c>
      <c r="N233" t="str">
        <f t="shared" si="88"/>
        <v>{ nombre: "Tiempo Ordinario, Semana 20 Martes", archivo: "/salterios/src/evan/audios/tos020martes.mp3", fecha: `${year}-08-19` },</v>
      </c>
    </row>
    <row r="234" spans="1:14" x14ac:dyDescent="0.25">
      <c r="A234" t="s">
        <v>0</v>
      </c>
      <c r="B234" t="str">
        <f t="shared" si="97"/>
        <v>ordinario</v>
      </c>
      <c r="C234" t="s">
        <v>2</v>
      </c>
      <c r="D234" s="2">
        <f t="shared" si="99"/>
        <v>20</v>
      </c>
      <c r="E234" t="s">
        <v>5</v>
      </c>
      <c r="F234" t="s">
        <v>17</v>
      </c>
      <c r="G234" s="1" t="str">
        <f t="shared" si="98"/>
        <v>tos020miercoles</v>
      </c>
      <c r="H234" t="s">
        <v>15</v>
      </c>
      <c r="I234">
        <f t="shared" si="93"/>
        <v>8</v>
      </c>
      <c r="J234">
        <f t="shared" si="94"/>
        <v>20</v>
      </c>
      <c r="K234" t="s">
        <v>27</v>
      </c>
      <c r="L234" t="str">
        <f t="shared" si="87"/>
        <v>Agosto</v>
      </c>
      <c r="M234" t="s">
        <v>28</v>
      </c>
      <c r="N234" t="str">
        <f t="shared" si="88"/>
        <v>{ nombre: "Tiempo Ordinario, Semana 20 Miercoles", archivo: "/salterios/src/evan/audios/tos020miercoles.mp3", fecha: `${year}-08-20` },</v>
      </c>
    </row>
    <row r="235" spans="1:14" x14ac:dyDescent="0.25">
      <c r="A235" t="s">
        <v>0</v>
      </c>
      <c r="B235" t="str">
        <f t="shared" si="97"/>
        <v>ordinario</v>
      </c>
      <c r="C235" t="s">
        <v>2</v>
      </c>
      <c r="D235" s="2">
        <f t="shared" si="99"/>
        <v>20</v>
      </c>
      <c r="E235" t="s">
        <v>6</v>
      </c>
      <c r="F235" t="s">
        <v>17</v>
      </c>
      <c r="G235" s="1" t="str">
        <f t="shared" si="98"/>
        <v>tos020jueves</v>
      </c>
      <c r="H235" t="s">
        <v>15</v>
      </c>
      <c r="I235">
        <f t="shared" si="93"/>
        <v>8</v>
      </c>
      <c r="J235">
        <f t="shared" si="94"/>
        <v>21</v>
      </c>
      <c r="K235" t="s">
        <v>27</v>
      </c>
      <c r="L235" t="str">
        <f t="shared" si="87"/>
        <v>Agosto</v>
      </c>
      <c r="M235" t="s">
        <v>28</v>
      </c>
      <c r="N235" t="str">
        <f t="shared" si="88"/>
        <v>{ nombre: "Tiempo Ordinario, Semana 20 Jueves", archivo: "/salterios/src/evan/audios/tos020jueves.mp3", fecha: `${year}-08-21` },</v>
      </c>
    </row>
    <row r="236" spans="1:14" x14ac:dyDescent="0.25">
      <c r="A236" t="s">
        <v>0</v>
      </c>
      <c r="B236" t="str">
        <f t="shared" si="97"/>
        <v>ordinario</v>
      </c>
      <c r="C236" t="s">
        <v>2</v>
      </c>
      <c r="D236" s="2">
        <f t="shared" si="99"/>
        <v>20</v>
      </c>
      <c r="E236" t="s">
        <v>7</v>
      </c>
      <c r="F236" t="s">
        <v>17</v>
      </c>
      <c r="G236" s="1" t="str">
        <f t="shared" si="98"/>
        <v>tos020viernes</v>
      </c>
      <c r="H236" t="s">
        <v>15</v>
      </c>
      <c r="I236">
        <f t="shared" si="93"/>
        <v>8</v>
      </c>
      <c r="J236">
        <f t="shared" si="94"/>
        <v>22</v>
      </c>
      <c r="K236" t="s">
        <v>27</v>
      </c>
      <c r="L236" t="str">
        <f t="shared" si="87"/>
        <v>Agosto</v>
      </c>
      <c r="M236" t="s">
        <v>28</v>
      </c>
      <c r="N236" t="str">
        <f t="shared" si="88"/>
        <v>{ nombre: "Tiempo Ordinario, Semana 20 Viernes", archivo: "/salterios/src/evan/audios/tos020viernes.mp3", fecha: `${year}-08-22` },</v>
      </c>
    </row>
    <row r="237" spans="1:14" x14ac:dyDescent="0.25">
      <c r="A237" t="s">
        <v>0</v>
      </c>
      <c r="B237" t="str">
        <f t="shared" si="97"/>
        <v>ordinario</v>
      </c>
      <c r="C237" t="s">
        <v>2</v>
      </c>
      <c r="D237" s="2">
        <f t="shared" si="99"/>
        <v>20</v>
      </c>
      <c r="E237" t="s">
        <v>8</v>
      </c>
      <c r="F237" t="s">
        <v>17</v>
      </c>
      <c r="G237" s="1" t="str">
        <f t="shared" si="98"/>
        <v>tos020sabado</v>
      </c>
      <c r="H237" t="s">
        <v>15</v>
      </c>
      <c r="I237">
        <f t="shared" si="93"/>
        <v>8</v>
      </c>
      <c r="J237">
        <f t="shared" si="94"/>
        <v>23</v>
      </c>
      <c r="K237" t="s">
        <v>27</v>
      </c>
      <c r="L237" t="str">
        <f t="shared" si="87"/>
        <v>Agosto</v>
      </c>
      <c r="M237" t="s">
        <v>28</v>
      </c>
      <c r="N237" t="str">
        <f t="shared" si="88"/>
        <v>{ nombre: "Tiempo Ordinario, Semana 20 Sabado", archivo: "/salterios/src/evan/audios/tos020sabado.mp3", fecha: `${year}-08-23` },</v>
      </c>
    </row>
    <row r="238" spans="1:14" x14ac:dyDescent="0.25">
      <c r="A238" t="s">
        <v>0</v>
      </c>
      <c r="B238" t="str">
        <f t="shared" si="97"/>
        <v>ordinario</v>
      </c>
      <c r="C238" t="s">
        <v>2</v>
      </c>
      <c r="D238" s="2">
        <f>+D237+1</f>
        <v>21</v>
      </c>
      <c r="E238" t="s">
        <v>9</v>
      </c>
      <c r="F238" t="s">
        <v>17</v>
      </c>
      <c r="G238" s="1" t="str">
        <f>_xlfn.CONCAT(LEFT(A238,1),LEFT(B238,1),LEFT(C238,1),"0",D238,E238)</f>
        <v>tos021domingo</v>
      </c>
      <c r="H238" t="s">
        <v>15</v>
      </c>
      <c r="I238">
        <f t="shared" si="93"/>
        <v>8</v>
      </c>
      <c r="J238">
        <f t="shared" si="94"/>
        <v>24</v>
      </c>
      <c r="K238" t="s">
        <v>27</v>
      </c>
      <c r="L238" t="str">
        <f t="shared" si="87"/>
        <v>Agosto</v>
      </c>
      <c r="M238" t="s">
        <v>28</v>
      </c>
      <c r="N238" t="str">
        <f t="shared" si="88"/>
        <v>{ nombre: "Tiempo Ordinario, Semana 21 Domingo", archivo: "/salterios/src/evan/audios/tos021domingo.mp3", fecha: `${year}-08-24` },</v>
      </c>
    </row>
    <row r="239" spans="1:14" x14ac:dyDescent="0.25">
      <c r="A239" t="s">
        <v>0</v>
      </c>
      <c r="B239" t="str">
        <f t="shared" si="97"/>
        <v>ordinario</v>
      </c>
      <c r="C239" t="s">
        <v>2</v>
      </c>
      <c r="D239" s="2">
        <f>D238</f>
        <v>21</v>
      </c>
      <c r="E239" t="s">
        <v>3</v>
      </c>
      <c r="F239" t="s">
        <v>17</v>
      </c>
      <c r="G239" s="1" t="str">
        <f t="shared" ref="G239:G244" si="100">_xlfn.CONCAT(LEFT(A239,1),LEFT(B239,1),LEFT(C239,1),"0",D239,E239)</f>
        <v>tos021lunes</v>
      </c>
      <c r="H239" t="s">
        <v>15</v>
      </c>
      <c r="I239">
        <f t="shared" si="93"/>
        <v>8</v>
      </c>
      <c r="J239">
        <f t="shared" si="94"/>
        <v>25</v>
      </c>
      <c r="K239" t="s">
        <v>27</v>
      </c>
      <c r="L239" t="str">
        <f t="shared" si="87"/>
        <v>Agosto</v>
      </c>
      <c r="M239" t="s">
        <v>28</v>
      </c>
      <c r="N239" t="str">
        <f t="shared" si="88"/>
        <v>{ nombre: "Tiempo Ordinario, Semana 21 Lunes", archivo: "/salterios/src/evan/audios/tos021lunes.mp3", fecha: `${year}-08-25` },</v>
      </c>
    </row>
    <row r="240" spans="1:14" x14ac:dyDescent="0.25">
      <c r="A240" t="s">
        <v>0</v>
      </c>
      <c r="B240" t="str">
        <f t="shared" si="97"/>
        <v>ordinario</v>
      </c>
      <c r="C240" t="s">
        <v>2</v>
      </c>
      <c r="D240" s="2">
        <f t="shared" ref="D240:D244" si="101">D239</f>
        <v>21</v>
      </c>
      <c r="E240" t="s">
        <v>4</v>
      </c>
      <c r="F240" t="s">
        <v>17</v>
      </c>
      <c r="G240" s="1" t="str">
        <f t="shared" si="100"/>
        <v>tos021martes</v>
      </c>
      <c r="H240" t="s">
        <v>15</v>
      </c>
      <c r="I240">
        <f t="shared" si="93"/>
        <v>8</v>
      </c>
      <c r="J240">
        <f t="shared" si="94"/>
        <v>26</v>
      </c>
      <c r="K240" t="s">
        <v>27</v>
      </c>
      <c r="L240" t="str">
        <f t="shared" si="87"/>
        <v>Agosto</v>
      </c>
      <c r="M240" t="s">
        <v>28</v>
      </c>
      <c r="N240" t="str">
        <f t="shared" si="88"/>
        <v>{ nombre: "Tiempo Ordinario, Semana 21 Martes", archivo: "/salterios/src/evan/audios/tos021martes.mp3", fecha: `${year}-08-26` },</v>
      </c>
    </row>
    <row r="241" spans="1:14" x14ac:dyDescent="0.25">
      <c r="A241" t="s">
        <v>0</v>
      </c>
      <c r="B241" t="str">
        <f t="shared" si="97"/>
        <v>ordinario</v>
      </c>
      <c r="C241" t="s">
        <v>2</v>
      </c>
      <c r="D241" s="2">
        <f t="shared" si="101"/>
        <v>21</v>
      </c>
      <c r="E241" t="s">
        <v>5</v>
      </c>
      <c r="F241" t="s">
        <v>17</v>
      </c>
      <c r="G241" s="1" t="str">
        <f t="shared" si="100"/>
        <v>tos021miercoles</v>
      </c>
      <c r="H241" t="s">
        <v>15</v>
      </c>
      <c r="I241">
        <f t="shared" si="93"/>
        <v>8</v>
      </c>
      <c r="J241">
        <f t="shared" si="94"/>
        <v>27</v>
      </c>
      <c r="K241" t="s">
        <v>27</v>
      </c>
      <c r="L241" t="str">
        <f t="shared" si="87"/>
        <v>Agosto</v>
      </c>
      <c r="M241" t="s">
        <v>28</v>
      </c>
      <c r="N241" t="str">
        <f t="shared" si="88"/>
        <v>{ nombre: "Tiempo Ordinario, Semana 21 Miercoles", archivo: "/salterios/src/evan/audios/tos021miercoles.mp3", fecha: `${year}-08-27` },</v>
      </c>
    </row>
    <row r="242" spans="1:14" x14ac:dyDescent="0.25">
      <c r="A242" t="s">
        <v>0</v>
      </c>
      <c r="B242" t="str">
        <f t="shared" si="97"/>
        <v>ordinario</v>
      </c>
      <c r="C242" t="s">
        <v>2</v>
      </c>
      <c r="D242" s="2">
        <f t="shared" si="101"/>
        <v>21</v>
      </c>
      <c r="E242" t="s">
        <v>6</v>
      </c>
      <c r="F242" t="s">
        <v>17</v>
      </c>
      <c r="G242" s="1" t="str">
        <f t="shared" si="100"/>
        <v>tos021jueves</v>
      </c>
      <c r="H242" t="s">
        <v>15</v>
      </c>
      <c r="I242">
        <f t="shared" si="93"/>
        <v>8</v>
      </c>
      <c r="J242">
        <f t="shared" si="94"/>
        <v>28</v>
      </c>
      <c r="K242" t="s">
        <v>27</v>
      </c>
      <c r="L242" t="str">
        <f t="shared" si="87"/>
        <v>Agosto</v>
      </c>
      <c r="M242" t="s">
        <v>28</v>
      </c>
      <c r="N242" t="str">
        <f t="shared" si="88"/>
        <v>{ nombre: "Tiempo Ordinario, Semana 21 Jueves", archivo: "/salterios/src/evan/audios/tos021jueves.mp3", fecha: `${year}-08-28` },</v>
      </c>
    </row>
    <row r="243" spans="1:14" x14ac:dyDescent="0.25">
      <c r="A243" t="s">
        <v>0</v>
      </c>
      <c r="B243" t="str">
        <f t="shared" si="97"/>
        <v>ordinario</v>
      </c>
      <c r="C243" t="s">
        <v>2</v>
      </c>
      <c r="D243" s="2">
        <f t="shared" si="101"/>
        <v>21</v>
      </c>
      <c r="E243" t="s">
        <v>7</v>
      </c>
      <c r="F243" t="s">
        <v>17</v>
      </c>
      <c r="G243" s="1" t="str">
        <f t="shared" si="100"/>
        <v>tos021viernes</v>
      </c>
      <c r="H243" t="s">
        <v>15</v>
      </c>
      <c r="I243">
        <f t="shared" si="93"/>
        <v>8</v>
      </c>
      <c r="J243">
        <f t="shared" si="94"/>
        <v>29</v>
      </c>
      <c r="K243" t="s">
        <v>27</v>
      </c>
      <c r="L243" t="str">
        <f t="shared" si="87"/>
        <v>Agosto</v>
      </c>
      <c r="M243" t="s">
        <v>28</v>
      </c>
      <c r="N243" t="str">
        <f t="shared" si="88"/>
        <v>{ nombre: "Tiempo Ordinario, Semana 21 Viernes", archivo: "/salterios/src/evan/audios/tos021viernes.mp3", fecha: `${year}-08-29` },</v>
      </c>
    </row>
    <row r="244" spans="1:14" x14ac:dyDescent="0.25">
      <c r="A244" t="s">
        <v>0</v>
      </c>
      <c r="B244" t="str">
        <f t="shared" si="97"/>
        <v>ordinario</v>
      </c>
      <c r="C244" t="s">
        <v>2</v>
      </c>
      <c r="D244" s="2">
        <f t="shared" si="101"/>
        <v>21</v>
      </c>
      <c r="E244" t="s">
        <v>8</v>
      </c>
      <c r="F244" t="s">
        <v>17</v>
      </c>
      <c r="G244" s="1" t="str">
        <f t="shared" si="100"/>
        <v>tos021sabado</v>
      </c>
      <c r="H244" t="s">
        <v>15</v>
      </c>
      <c r="I244">
        <f t="shared" si="93"/>
        <v>8</v>
      </c>
      <c r="J244">
        <f t="shared" si="94"/>
        <v>30</v>
      </c>
      <c r="K244" t="s">
        <v>27</v>
      </c>
      <c r="L244" t="str">
        <f t="shared" si="87"/>
        <v>Agosto</v>
      </c>
      <c r="M244" t="s">
        <v>28</v>
      </c>
      <c r="N244" t="str">
        <f t="shared" si="88"/>
        <v>{ nombre: "Tiempo Ordinario, Semana 21 Sabado", archivo: "/salterios/src/evan/audios/tos021sabado.mp3", fecha: `${year}-08-30` },</v>
      </c>
    </row>
    <row r="245" spans="1:14" x14ac:dyDescent="0.25">
      <c r="A245" t="s">
        <v>0</v>
      </c>
      <c r="B245" t="str">
        <f t="shared" si="97"/>
        <v>ordinario</v>
      </c>
      <c r="C245" t="s">
        <v>2</v>
      </c>
      <c r="D245" s="2">
        <f>+D244+1</f>
        <v>22</v>
      </c>
      <c r="E245" t="s">
        <v>9</v>
      </c>
      <c r="F245" t="s">
        <v>17</v>
      </c>
      <c r="G245" s="1" t="str">
        <f>_xlfn.CONCAT(LEFT(A245,1),LEFT(B245,1),LEFT(C245,1),"0",D245,E245)</f>
        <v>tos022domingo</v>
      </c>
      <c r="H245" t="s">
        <v>15</v>
      </c>
      <c r="I245">
        <f t="shared" si="93"/>
        <v>8</v>
      </c>
      <c r="J245">
        <f t="shared" si="94"/>
        <v>31</v>
      </c>
      <c r="K245" t="s">
        <v>27</v>
      </c>
      <c r="L245" t="str">
        <f t="shared" si="87"/>
        <v>Agosto</v>
      </c>
      <c r="M245" t="s">
        <v>28</v>
      </c>
      <c r="N245" t="str">
        <f t="shared" si="88"/>
        <v>{ nombre: "Tiempo Ordinario, Semana 22 Domingo", archivo: "/salterios/src/evan/audios/tos022domingo.mp3", fecha: `${year}-08-31` },</v>
      </c>
    </row>
    <row r="246" spans="1:14" x14ac:dyDescent="0.25">
      <c r="A246" t="s">
        <v>0</v>
      </c>
      <c r="B246" t="str">
        <f t="shared" si="97"/>
        <v>ordinario</v>
      </c>
      <c r="C246" t="s">
        <v>2</v>
      </c>
      <c r="D246" s="2">
        <f>D245</f>
        <v>22</v>
      </c>
      <c r="E246" t="s">
        <v>3</v>
      </c>
      <c r="F246" t="s">
        <v>17</v>
      </c>
      <c r="G246" s="1" t="str">
        <f t="shared" ref="G246:G251" si="102">_xlfn.CONCAT(LEFT(A246,1),LEFT(B246,1),LEFT(C246,1),"0",D246,E246)</f>
        <v>tos022lunes</v>
      </c>
      <c r="H246" t="s">
        <v>15</v>
      </c>
      <c r="I246">
        <v>9</v>
      </c>
      <c r="J246">
        <v>1</v>
      </c>
      <c r="K246" t="s">
        <v>27</v>
      </c>
      <c r="L246" t="str">
        <f t="shared" si="87"/>
        <v>Septiembre</v>
      </c>
      <c r="M246" t="s">
        <v>28</v>
      </c>
      <c r="N246" t="str">
        <f t="shared" si="88"/>
        <v>{ nombre: "Tiempo Ordinario, Semana 22 Lunes", archivo: "/salterios/src/evan/audios/tos022lunes.mp3", fecha: `${year}-09-1` },</v>
      </c>
    </row>
    <row r="247" spans="1:14" x14ac:dyDescent="0.25">
      <c r="A247" t="s">
        <v>0</v>
      </c>
      <c r="B247" t="str">
        <f t="shared" si="97"/>
        <v>ordinario</v>
      </c>
      <c r="C247" t="s">
        <v>2</v>
      </c>
      <c r="D247" s="2">
        <f t="shared" ref="D247:D251" si="103">D246</f>
        <v>22</v>
      </c>
      <c r="E247" t="s">
        <v>4</v>
      </c>
      <c r="F247" t="s">
        <v>17</v>
      </c>
      <c r="G247" s="1" t="str">
        <f t="shared" si="102"/>
        <v>tos022martes</v>
      </c>
      <c r="H247" t="s">
        <v>15</v>
      </c>
      <c r="I247">
        <f t="shared" si="93"/>
        <v>9</v>
      </c>
      <c r="J247">
        <f t="shared" si="94"/>
        <v>2</v>
      </c>
      <c r="K247" t="s">
        <v>27</v>
      </c>
      <c r="L247" t="str">
        <f t="shared" si="87"/>
        <v>Septiembre</v>
      </c>
      <c r="M247" t="s">
        <v>28</v>
      </c>
      <c r="N247" t="str">
        <f t="shared" si="88"/>
        <v>{ nombre: "Tiempo Ordinario, Semana 22 Martes", archivo: "/salterios/src/evan/audios/tos022martes.mp3", fecha: `${year}-09-2` },</v>
      </c>
    </row>
    <row r="248" spans="1:14" x14ac:dyDescent="0.25">
      <c r="A248" t="s">
        <v>0</v>
      </c>
      <c r="B248" t="str">
        <f t="shared" si="97"/>
        <v>ordinario</v>
      </c>
      <c r="C248" t="s">
        <v>2</v>
      </c>
      <c r="D248" s="2">
        <f t="shared" si="103"/>
        <v>22</v>
      </c>
      <c r="E248" t="s">
        <v>5</v>
      </c>
      <c r="F248" t="s">
        <v>17</v>
      </c>
      <c r="G248" s="1" t="str">
        <f t="shared" si="102"/>
        <v>tos022miercoles</v>
      </c>
      <c r="H248" t="s">
        <v>15</v>
      </c>
      <c r="I248">
        <f t="shared" si="93"/>
        <v>9</v>
      </c>
      <c r="J248">
        <f t="shared" si="94"/>
        <v>3</v>
      </c>
      <c r="K248" t="s">
        <v>27</v>
      </c>
      <c r="L248" t="str">
        <f t="shared" si="87"/>
        <v>Septiembre</v>
      </c>
      <c r="M248" t="s">
        <v>28</v>
      </c>
      <c r="N248" t="str">
        <f t="shared" si="88"/>
        <v>{ nombre: "Tiempo Ordinario, Semana 22 Miercoles", archivo: "/salterios/src/evan/audios/tos022miercoles.mp3", fecha: `${year}-09-3` },</v>
      </c>
    </row>
    <row r="249" spans="1:14" x14ac:dyDescent="0.25">
      <c r="A249" t="s">
        <v>0</v>
      </c>
      <c r="B249" t="str">
        <f t="shared" si="97"/>
        <v>ordinario</v>
      </c>
      <c r="C249" t="s">
        <v>2</v>
      </c>
      <c r="D249" s="2">
        <f t="shared" si="103"/>
        <v>22</v>
      </c>
      <c r="E249" t="s">
        <v>6</v>
      </c>
      <c r="F249" t="s">
        <v>17</v>
      </c>
      <c r="G249" s="1" t="str">
        <f t="shared" si="102"/>
        <v>tos022jueves</v>
      </c>
      <c r="H249" t="s">
        <v>15</v>
      </c>
      <c r="I249">
        <f t="shared" si="93"/>
        <v>9</v>
      </c>
      <c r="J249">
        <f t="shared" si="94"/>
        <v>4</v>
      </c>
      <c r="K249" t="s">
        <v>27</v>
      </c>
      <c r="L249" t="str">
        <f t="shared" si="87"/>
        <v>Septiembre</v>
      </c>
      <c r="M249" t="s">
        <v>28</v>
      </c>
      <c r="N249" t="str">
        <f t="shared" si="88"/>
        <v>{ nombre: "Tiempo Ordinario, Semana 22 Jueves", archivo: "/salterios/src/evan/audios/tos022jueves.mp3", fecha: `${year}-09-4` },</v>
      </c>
    </row>
    <row r="250" spans="1:14" x14ac:dyDescent="0.25">
      <c r="A250" t="s">
        <v>0</v>
      </c>
      <c r="B250" t="str">
        <f t="shared" si="97"/>
        <v>ordinario</v>
      </c>
      <c r="C250" t="s">
        <v>2</v>
      </c>
      <c r="D250" s="2">
        <f t="shared" si="103"/>
        <v>22</v>
      </c>
      <c r="E250" t="s">
        <v>7</v>
      </c>
      <c r="F250" t="s">
        <v>17</v>
      </c>
      <c r="G250" s="1" t="str">
        <f t="shared" si="102"/>
        <v>tos022viernes</v>
      </c>
      <c r="H250" t="s">
        <v>15</v>
      </c>
      <c r="I250">
        <f t="shared" si="93"/>
        <v>9</v>
      </c>
      <c r="J250">
        <f t="shared" si="94"/>
        <v>5</v>
      </c>
      <c r="K250" t="s">
        <v>27</v>
      </c>
      <c r="L250" t="str">
        <f t="shared" si="87"/>
        <v>Septiembre</v>
      </c>
      <c r="M250" t="s">
        <v>28</v>
      </c>
      <c r="N250" t="str">
        <f t="shared" si="88"/>
        <v>{ nombre: "Tiempo Ordinario, Semana 22 Viernes", archivo: "/salterios/src/evan/audios/tos022viernes.mp3", fecha: `${year}-09-5` },</v>
      </c>
    </row>
    <row r="251" spans="1:14" x14ac:dyDescent="0.25">
      <c r="A251" t="s">
        <v>0</v>
      </c>
      <c r="B251" t="str">
        <f t="shared" si="97"/>
        <v>ordinario</v>
      </c>
      <c r="C251" t="s">
        <v>2</v>
      </c>
      <c r="D251" s="2">
        <f t="shared" si="103"/>
        <v>22</v>
      </c>
      <c r="E251" t="s">
        <v>8</v>
      </c>
      <c r="F251" t="s">
        <v>17</v>
      </c>
      <c r="G251" s="1" t="str">
        <f t="shared" si="102"/>
        <v>tos022sabado</v>
      </c>
      <c r="H251" t="s">
        <v>15</v>
      </c>
      <c r="I251">
        <f t="shared" si="93"/>
        <v>9</v>
      </c>
      <c r="J251">
        <f t="shared" si="94"/>
        <v>6</v>
      </c>
      <c r="K251" t="s">
        <v>27</v>
      </c>
      <c r="L251" t="str">
        <f t="shared" si="87"/>
        <v>Septiembre</v>
      </c>
      <c r="M251" t="s">
        <v>28</v>
      </c>
      <c r="N251" t="str">
        <f t="shared" si="88"/>
        <v>{ nombre: "Tiempo Ordinario, Semana 22 Sabado", archivo: "/salterios/src/evan/audios/tos022sabado.mp3", fecha: `${year}-09-6` },</v>
      </c>
    </row>
    <row r="252" spans="1:14" x14ac:dyDescent="0.25">
      <c r="A252" t="s">
        <v>0</v>
      </c>
      <c r="B252" t="str">
        <f t="shared" si="97"/>
        <v>ordinario</v>
      </c>
      <c r="C252" t="s">
        <v>2</v>
      </c>
      <c r="D252" s="2">
        <f>+D251+1</f>
        <v>23</v>
      </c>
      <c r="E252" t="s">
        <v>9</v>
      </c>
      <c r="F252" t="s">
        <v>17</v>
      </c>
      <c r="G252" s="1" t="str">
        <f>_xlfn.CONCAT(LEFT(A252,1),LEFT(B252,1),LEFT(C252,1),"0",D252,E252)</f>
        <v>tos023domingo</v>
      </c>
      <c r="H252" t="s">
        <v>15</v>
      </c>
      <c r="I252">
        <f t="shared" ref="I252:I315" si="104">I251</f>
        <v>9</v>
      </c>
      <c r="J252">
        <f t="shared" ref="J252:J315" si="105">+J251+1</f>
        <v>7</v>
      </c>
      <c r="K252" t="s">
        <v>27</v>
      </c>
      <c r="L252" t="str">
        <f t="shared" si="87"/>
        <v>Septiembre</v>
      </c>
      <c r="M252" t="s">
        <v>28</v>
      </c>
      <c r="N252" t="str">
        <f t="shared" si="88"/>
        <v>{ nombre: "Tiempo Ordinario, Semana 23 Domingo", archivo: "/salterios/src/evan/audios/tos023domingo.mp3", fecha: `${year}-09-7` },</v>
      </c>
    </row>
    <row r="253" spans="1:14" x14ac:dyDescent="0.25">
      <c r="A253" t="s">
        <v>0</v>
      </c>
      <c r="B253" t="str">
        <f t="shared" si="97"/>
        <v>ordinario</v>
      </c>
      <c r="C253" t="s">
        <v>2</v>
      </c>
      <c r="D253" s="2">
        <f>D252</f>
        <v>23</v>
      </c>
      <c r="E253" t="s">
        <v>3</v>
      </c>
      <c r="F253" t="s">
        <v>17</v>
      </c>
      <c r="G253" s="1" t="str">
        <f t="shared" ref="G253:G258" si="106">_xlfn.CONCAT(LEFT(A253,1),LEFT(B253,1),LEFT(C253,1),"0",D253,E253)</f>
        <v>tos023lunes</v>
      </c>
      <c r="H253" t="s">
        <v>15</v>
      </c>
      <c r="I253">
        <f t="shared" si="104"/>
        <v>9</v>
      </c>
      <c r="J253">
        <f t="shared" si="105"/>
        <v>8</v>
      </c>
      <c r="K253" t="s">
        <v>27</v>
      </c>
      <c r="L253" t="str">
        <f t="shared" si="87"/>
        <v>Septiembre</v>
      </c>
      <c r="M253" t="s">
        <v>28</v>
      </c>
      <c r="N253" t="str">
        <f t="shared" si="88"/>
        <v>{ nombre: "Tiempo Ordinario, Semana 23 Lunes", archivo: "/salterios/src/evan/audios/tos023lunes.mp3", fecha: `${year}-09-8` },</v>
      </c>
    </row>
    <row r="254" spans="1:14" x14ac:dyDescent="0.25">
      <c r="A254" t="s">
        <v>0</v>
      </c>
      <c r="B254" t="str">
        <f t="shared" si="97"/>
        <v>ordinario</v>
      </c>
      <c r="C254" t="s">
        <v>2</v>
      </c>
      <c r="D254" s="2">
        <f t="shared" ref="D254:D258" si="107">D253</f>
        <v>23</v>
      </c>
      <c r="E254" t="s">
        <v>4</v>
      </c>
      <c r="F254" t="s">
        <v>17</v>
      </c>
      <c r="G254" s="1" t="str">
        <f t="shared" si="106"/>
        <v>tos023martes</v>
      </c>
      <c r="H254" t="s">
        <v>15</v>
      </c>
      <c r="I254">
        <f t="shared" si="104"/>
        <v>9</v>
      </c>
      <c r="J254">
        <f t="shared" si="105"/>
        <v>9</v>
      </c>
      <c r="K254" t="s">
        <v>27</v>
      </c>
      <c r="L254" t="str">
        <f t="shared" si="87"/>
        <v>Septiembre</v>
      </c>
      <c r="M254" t="s">
        <v>28</v>
      </c>
      <c r="N254" t="str">
        <f t="shared" si="88"/>
        <v>{ nombre: "Tiempo Ordinario, Semana 23 Martes", archivo: "/salterios/src/evan/audios/tos023martes.mp3", fecha: `${year}-09-9` },</v>
      </c>
    </row>
    <row r="255" spans="1:14" x14ac:dyDescent="0.25">
      <c r="A255" t="s">
        <v>0</v>
      </c>
      <c r="B255" t="str">
        <f t="shared" si="97"/>
        <v>ordinario</v>
      </c>
      <c r="C255" t="s">
        <v>2</v>
      </c>
      <c r="D255" s="2">
        <f t="shared" si="107"/>
        <v>23</v>
      </c>
      <c r="E255" t="s">
        <v>5</v>
      </c>
      <c r="F255" t="s">
        <v>17</v>
      </c>
      <c r="G255" s="1" t="str">
        <f t="shared" si="106"/>
        <v>tos023miercoles</v>
      </c>
      <c r="H255" t="s">
        <v>15</v>
      </c>
      <c r="I255">
        <f t="shared" si="104"/>
        <v>9</v>
      </c>
      <c r="J255">
        <f t="shared" si="105"/>
        <v>10</v>
      </c>
      <c r="K255" t="s">
        <v>27</v>
      </c>
      <c r="L255" t="str">
        <f t="shared" si="87"/>
        <v>Septiembre</v>
      </c>
      <c r="M255" t="s">
        <v>28</v>
      </c>
      <c r="N255" t="str">
        <f t="shared" si="88"/>
        <v>{ nombre: "Tiempo Ordinario, Semana 23 Miercoles", archivo: "/salterios/src/evan/audios/tos023miercoles.mp3", fecha: `${year}-09-10` },</v>
      </c>
    </row>
    <row r="256" spans="1:14" x14ac:dyDescent="0.25">
      <c r="A256" t="s">
        <v>0</v>
      </c>
      <c r="B256" t="str">
        <f t="shared" si="97"/>
        <v>ordinario</v>
      </c>
      <c r="C256" t="s">
        <v>2</v>
      </c>
      <c r="D256" s="2">
        <f t="shared" si="107"/>
        <v>23</v>
      </c>
      <c r="E256" t="s">
        <v>6</v>
      </c>
      <c r="F256" t="s">
        <v>17</v>
      </c>
      <c r="G256" s="1" t="str">
        <f t="shared" si="106"/>
        <v>tos023jueves</v>
      </c>
      <c r="H256" t="s">
        <v>15</v>
      </c>
      <c r="I256">
        <f t="shared" si="104"/>
        <v>9</v>
      </c>
      <c r="J256">
        <f t="shared" si="105"/>
        <v>11</v>
      </c>
      <c r="K256" t="s">
        <v>27</v>
      </c>
      <c r="L256" t="str">
        <f t="shared" si="87"/>
        <v>Septiembre</v>
      </c>
      <c r="M256" t="s">
        <v>28</v>
      </c>
      <c r="N256" t="str">
        <f t="shared" si="88"/>
        <v>{ nombre: "Tiempo Ordinario, Semana 23 Jueves", archivo: "/salterios/src/evan/audios/tos023jueves.mp3", fecha: `${year}-09-11` },</v>
      </c>
    </row>
    <row r="257" spans="1:14" x14ac:dyDescent="0.25">
      <c r="A257" t="s">
        <v>0</v>
      </c>
      <c r="B257" t="str">
        <f t="shared" si="97"/>
        <v>ordinario</v>
      </c>
      <c r="C257" t="s">
        <v>2</v>
      </c>
      <c r="D257" s="2">
        <f t="shared" si="107"/>
        <v>23</v>
      </c>
      <c r="E257" t="s">
        <v>7</v>
      </c>
      <c r="F257" t="s">
        <v>17</v>
      </c>
      <c r="G257" s="1" t="str">
        <f t="shared" si="106"/>
        <v>tos023viernes</v>
      </c>
      <c r="H257" t="s">
        <v>15</v>
      </c>
      <c r="I257">
        <f t="shared" si="104"/>
        <v>9</v>
      </c>
      <c r="J257">
        <f t="shared" si="105"/>
        <v>12</v>
      </c>
      <c r="K257" t="s">
        <v>27</v>
      </c>
      <c r="L257" t="str">
        <f t="shared" si="87"/>
        <v>Septiembre</v>
      </c>
      <c r="M257" t="s">
        <v>28</v>
      </c>
      <c r="N257" t="str">
        <f t="shared" si="88"/>
        <v>{ nombre: "Tiempo Ordinario, Semana 23 Viernes", archivo: "/salterios/src/evan/audios/tos023viernes.mp3", fecha: `${year}-09-12` },</v>
      </c>
    </row>
    <row r="258" spans="1:14" x14ac:dyDescent="0.25">
      <c r="A258" t="s">
        <v>0</v>
      </c>
      <c r="B258" t="str">
        <f t="shared" si="97"/>
        <v>ordinario</v>
      </c>
      <c r="C258" t="s">
        <v>2</v>
      </c>
      <c r="D258" s="2">
        <f t="shared" si="107"/>
        <v>23</v>
      </c>
      <c r="E258" t="s">
        <v>8</v>
      </c>
      <c r="F258" t="s">
        <v>17</v>
      </c>
      <c r="G258" s="1" t="str">
        <f t="shared" si="106"/>
        <v>tos023sabado</v>
      </c>
      <c r="H258" t="s">
        <v>15</v>
      </c>
      <c r="I258">
        <f t="shared" si="104"/>
        <v>9</v>
      </c>
      <c r="J258">
        <f t="shared" si="105"/>
        <v>13</v>
      </c>
      <c r="K258" t="s">
        <v>27</v>
      </c>
      <c r="L258" t="str">
        <f t="shared" si="87"/>
        <v>Septiembre</v>
      </c>
      <c r="M258" t="s">
        <v>28</v>
      </c>
      <c r="N258" t="str">
        <f t="shared" si="88"/>
        <v>{ nombre: "Tiempo Ordinario, Semana 23 Sabado", archivo: "/salterios/src/evan/audios/tos023sabado.mp3", fecha: `${year}-09-13` },</v>
      </c>
    </row>
    <row r="259" spans="1:14" x14ac:dyDescent="0.25">
      <c r="A259" t="s">
        <v>0</v>
      </c>
      <c r="B259" t="str">
        <f t="shared" si="97"/>
        <v>ordinario</v>
      </c>
      <c r="C259" t="s">
        <v>2</v>
      </c>
      <c r="D259" s="2">
        <f>+D258+1</f>
        <v>24</v>
      </c>
      <c r="E259" t="s">
        <v>9</v>
      </c>
      <c r="F259" t="s">
        <v>17</v>
      </c>
      <c r="G259" s="1" t="str">
        <f>_xlfn.CONCAT(LEFT(A259,1),LEFT(B259,1),LEFT(C259,1),"0",D259,E259)</f>
        <v>tos024domingo</v>
      </c>
      <c r="H259" t="s">
        <v>15</v>
      </c>
      <c r="I259">
        <f t="shared" si="104"/>
        <v>9</v>
      </c>
      <c r="J259">
        <f t="shared" si="105"/>
        <v>14</v>
      </c>
      <c r="K259" t="s">
        <v>27</v>
      </c>
      <c r="L259" t="str">
        <f t="shared" si="87"/>
        <v>Septiembre</v>
      </c>
      <c r="M259" t="s">
        <v>28</v>
      </c>
      <c r="N259" t="str">
        <f t="shared" si="88"/>
        <v>{ nombre: "Tiempo Ordinario, Semana 24 Domingo", archivo: "/salterios/src/evan/audios/tos024domingo.mp3", fecha: `${year}-09-14` },</v>
      </c>
    </row>
    <row r="260" spans="1:14" x14ac:dyDescent="0.25">
      <c r="A260" t="s">
        <v>0</v>
      </c>
      <c r="B260" t="str">
        <f t="shared" si="97"/>
        <v>ordinario</v>
      </c>
      <c r="C260" t="s">
        <v>2</v>
      </c>
      <c r="D260" s="2">
        <f>D259</f>
        <v>24</v>
      </c>
      <c r="E260" t="s">
        <v>3</v>
      </c>
      <c r="F260" t="s">
        <v>17</v>
      </c>
      <c r="G260" s="1" t="str">
        <f t="shared" ref="G260:G265" si="108">_xlfn.CONCAT(LEFT(A260,1),LEFT(B260,1),LEFT(C260,1),"0",D260,E260)</f>
        <v>tos024lunes</v>
      </c>
      <c r="H260" t="s">
        <v>15</v>
      </c>
      <c r="I260">
        <f t="shared" si="104"/>
        <v>9</v>
      </c>
      <c r="J260">
        <f t="shared" si="105"/>
        <v>15</v>
      </c>
      <c r="K260" t="s">
        <v>27</v>
      </c>
      <c r="L260" t="str">
        <f t="shared" si="87"/>
        <v>Septiembre</v>
      </c>
      <c r="M260" t="s">
        <v>28</v>
      </c>
      <c r="N260" t="str">
        <f t="shared" si="88"/>
        <v>{ nombre: "Tiempo Ordinario, Semana 24 Lunes", archivo: "/salterios/src/evan/audios/tos024lunes.mp3", fecha: `${year}-09-15` },</v>
      </c>
    </row>
    <row r="261" spans="1:14" x14ac:dyDescent="0.25">
      <c r="A261" t="s">
        <v>0</v>
      </c>
      <c r="B261" t="str">
        <f t="shared" si="97"/>
        <v>ordinario</v>
      </c>
      <c r="C261" t="s">
        <v>2</v>
      </c>
      <c r="D261" s="2">
        <f t="shared" ref="D261:D265" si="109">D260</f>
        <v>24</v>
      </c>
      <c r="E261" t="s">
        <v>4</v>
      </c>
      <c r="F261" t="s">
        <v>17</v>
      </c>
      <c r="G261" s="1" t="str">
        <f t="shared" si="108"/>
        <v>tos024martes</v>
      </c>
      <c r="H261" t="s">
        <v>15</v>
      </c>
      <c r="I261">
        <f t="shared" si="104"/>
        <v>9</v>
      </c>
      <c r="J261">
        <f t="shared" si="105"/>
        <v>16</v>
      </c>
      <c r="K261" t="s">
        <v>27</v>
      </c>
      <c r="L261" t="str">
        <f t="shared" si="87"/>
        <v>Septiembre</v>
      </c>
      <c r="M261" t="s">
        <v>28</v>
      </c>
      <c r="N261" t="str">
        <f t="shared" si="88"/>
        <v>{ nombre: "Tiempo Ordinario, Semana 24 Martes", archivo: "/salterios/src/evan/audios/tos024martes.mp3", fecha: `${year}-09-16` },</v>
      </c>
    </row>
    <row r="262" spans="1:14" x14ac:dyDescent="0.25">
      <c r="A262" t="s">
        <v>0</v>
      </c>
      <c r="B262" t="str">
        <f t="shared" si="97"/>
        <v>ordinario</v>
      </c>
      <c r="C262" t="s">
        <v>2</v>
      </c>
      <c r="D262" s="2">
        <f t="shared" si="109"/>
        <v>24</v>
      </c>
      <c r="E262" t="s">
        <v>5</v>
      </c>
      <c r="F262" t="s">
        <v>17</v>
      </c>
      <c r="G262" s="1" t="str">
        <f t="shared" si="108"/>
        <v>tos024miercoles</v>
      </c>
      <c r="H262" t="s">
        <v>15</v>
      </c>
      <c r="I262">
        <f t="shared" si="104"/>
        <v>9</v>
      </c>
      <c r="J262">
        <f t="shared" si="105"/>
        <v>17</v>
      </c>
      <c r="K262" t="s">
        <v>27</v>
      </c>
      <c r="L262" t="str">
        <f t="shared" si="87"/>
        <v>Septiembre</v>
      </c>
      <c r="M262" t="s">
        <v>28</v>
      </c>
      <c r="N262" t="str">
        <f t="shared" si="88"/>
        <v>{ nombre: "Tiempo Ordinario, Semana 24 Miercoles", archivo: "/salterios/src/evan/audios/tos024miercoles.mp3", fecha: `${year}-09-17` },</v>
      </c>
    </row>
    <row r="263" spans="1:14" x14ac:dyDescent="0.25">
      <c r="A263" t="s">
        <v>0</v>
      </c>
      <c r="B263" t="str">
        <f t="shared" si="97"/>
        <v>ordinario</v>
      </c>
      <c r="C263" t="s">
        <v>2</v>
      </c>
      <c r="D263" s="2">
        <f t="shared" si="109"/>
        <v>24</v>
      </c>
      <c r="E263" t="s">
        <v>6</v>
      </c>
      <c r="F263" t="s">
        <v>17</v>
      </c>
      <c r="G263" s="1" t="str">
        <f t="shared" si="108"/>
        <v>tos024jueves</v>
      </c>
      <c r="H263" t="s">
        <v>15</v>
      </c>
      <c r="I263">
        <f t="shared" si="104"/>
        <v>9</v>
      </c>
      <c r="J263">
        <f t="shared" si="105"/>
        <v>18</v>
      </c>
      <c r="K263" t="s">
        <v>27</v>
      </c>
      <c r="L263" t="str">
        <f t="shared" si="87"/>
        <v>Septiembre</v>
      </c>
      <c r="M263" t="s">
        <v>28</v>
      </c>
      <c r="N263" t="str">
        <f t="shared" si="88"/>
        <v>{ nombre: "Tiempo Ordinario, Semana 24 Jueves", archivo: "/salterios/src/evan/audios/tos024jueves.mp3", fecha: `${year}-09-18` },</v>
      </c>
    </row>
    <row r="264" spans="1:14" x14ac:dyDescent="0.25">
      <c r="A264" t="s">
        <v>0</v>
      </c>
      <c r="B264" t="str">
        <f t="shared" si="97"/>
        <v>ordinario</v>
      </c>
      <c r="C264" t="s">
        <v>2</v>
      </c>
      <c r="D264" s="2">
        <f t="shared" si="109"/>
        <v>24</v>
      </c>
      <c r="E264" t="s">
        <v>7</v>
      </c>
      <c r="F264" t="s">
        <v>17</v>
      </c>
      <c r="G264" s="1" t="str">
        <f t="shared" si="108"/>
        <v>tos024viernes</v>
      </c>
      <c r="H264" t="s">
        <v>15</v>
      </c>
      <c r="I264">
        <f t="shared" si="104"/>
        <v>9</v>
      </c>
      <c r="J264">
        <f t="shared" si="105"/>
        <v>19</v>
      </c>
      <c r="K264" t="s">
        <v>27</v>
      </c>
      <c r="L264" t="str">
        <f t="shared" si="87"/>
        <v>Septiembre</v>
      </c>
      <c r="M264" t="s">
        <v>28</v>
      </c>
      <c r="N264" t="str">
        <f t="shared" si="88"/>
        <v>{ nombre: "Tiempo Ordinario, Semana 24 Viernes", archivo: "/salterios/src/evan/audios/tos024viernes.mp3", fecha: `${year}-09-19` },</v>
      </c>
    </row>
    <row r="265" spans="1:14" x14ac:dyDescent="0.25">
      <c r="A265" t="s">
        <v>0</v>
      </c>
      <c r="B265" t="str">
        <f t="shared" si="97"/>
        <v>ordinario</v>
      </c>
      <c r="C265" t="s">
        <v>2</v>
      </c>
      <c r="D265" s="2">
        <f t="shared" si="109"/>
        <v>24</v>
      </c>
      <c r="E265" t="s">
        <v>8</v>
      </c>
      <c r="F265" t="s">
        <v>17</v>
      </c>
      <c r="G265" s="1" t="str">
        <f t="shared" si="108"/>
        <v>tos024sabado</v>
      </c>
      <c r="H265" t="s">
        <v>15</v>
      </c>
      <c r="I265">
        <f t="shared" si="104"/>
        <v>9</v>
      </c>
      <c r="J265">
        <f t="shared" si="105"/>
        <v>20</v>
      </c>
      <c r="K265" t="s">
        <v>27</v>
      </c>
      <c r="L265" t="str">
        <f t="shared" si="87"/>
        <v>Septiembre</v>
      </c>
      <c r="M265" t="s">
        <v>28</v>
      </c>
      <c r="N265" t="str">
        <f t="shared" si="88"/>
        <v>{ nombre: "Tiempo Ordinario, Semana 24 Sabado", archivo: "/salterios/src/evan/audios/tos024sabado.mp3", fecha: `${year}-09-20` },</v>
      </c>
    </row>
    <row r="266" spans="1:14" x14ac:dyDescent="0.25">
      <c r="A266" t="s">
        <v>0</v>
      </c>
      <c r="B266" t="str">
        <f t="shared" si="97"/>
        <v>ordinario</v>
      </c>
      <c r="C266" t="s">
        <v>2</v>
      </c>
      <c r="D266" s="2">
        <f>+D265+1</f>
        <v>25</v>
      </c>
      <c r="E266" t="s">
        <v>9</v>
      </c>
      <c r="F266" t="s">
        <v>17</v>
      </c>
      <c r="G266" s="1" t="str">
        <f>_xlfn.CONCAT(LEFT(A266,1),LEFT(B266,1),LEFT(C266,1),"0",D266,E266)</f>
        <v>tos025domingo</v>
      </c>
      <c r="H266" t="s">
        <v>15</v>
      </c>
      <c r="I266">
        <f t="shared" si="104"/>
        <v>9</v>
      </c>
      <c r="J266">
        <f t="shared" si="105"/>
        <v>21</v>
      </c>
      <c r="K266" t="s">
        <v>27</v>
      </c>
      <c r="L266" t="str">
        <f t="shared" si="87"/>
        <v>Septiembre</v>
      </c>
      <c r="M266" t="s">
        <v>28</v>
      </c>
      <c r="N266" t="str">
        <f t="shared" si="88"/>
        <v>{ nombre: "Tiempo Ordinario, Semana 25 Domingo", archivo: "/salterios/src/evan/audios/tos025domingo.mp3", fecha: `${year}-09-21` },</v>
      </c>
    </row>
    <row r="267" spans="1:14" x14ac:dyDescent="0.25">
      <c r="A267" t="s">
        <v>0</v>
      </c>
      <c r="B267" t="str">
        <f t="shared" si="97"/>
        <v>ordinario</v>
      </c>
      <c r="C267" t="s">
        <v>2</v>
      </c>
      <c r="D267" s="2">
        <f>D266</f>
        <v>25</v>
      </c>
      <c r="E267" t="s">
        <v>3</v>
      </c>
      <c r="F267" t="s">
        <v>17</v>
      </c>
      <c r="G267" s="1" t="str">
        <f t="shared" ref="G267:G272" si="110">_xlfn.CONCAT(LEFT(A267,1),LEFT(B267,1),LEFT(C267,1),"0",D267,E267)</f>
        <v>tos025lunes</v>
      </c>
      <c r="H267" t="s">
        <v>15</v>
      </c>
      <c r="I267">
        <f t="shared" si="104"/>
        <v>9</v>
      </c>
      <c r="J267">
        <f t="shared" si="105"/>
        <v>22</v>
      </c>
      <c r="K267" t="s">
        <v>27</v>
      </c>
      <c r="L267" t="str">
        <f t="shared" si="87"/>
        <v>Septiembre</v>
      </c>
      <c r="M267" t="s">
        <v>28</v>
      </c>
      <c r="N267" t="str">
        <f t="shared" si="88"/>
        <v>{ nombre: "Tiempo Ordinario, Semana 25 Lunes", archivo: "/salterios/src/evan/audios/tos025lunes.mp3", fecha: `${year}-09-22` },</v>
      </c>
    </row>
    <row r="268" spans="1:14" x14ac:dyDescent="0.25">
      <c r="A268" t="s">
        <v>0</v>
      </c>
      <c r="B268" t="str">
        <f t="shared" si="97"/>
        <v>ordinario</v>
      </c>
      <c r="C268" t="s">
        <v>2</v>
      </c>
      <c r="D268" s="2">
        <f t="shared" ref="D268:D272" si="111">D267</f>
        <v>25</v>
      </c>
      <c r="E268" t="s">
        <v>4</v>
      </c>
      <c r="F268" t="s">
        <v>17</v>
      </c>
      <c r="G268" s="1" t="str">
        <f t="shared" si="110"/>
        <v>tos025martes</v>
      </c>
      <c r="H268" t="s">
        <v>15</v>
      </c>
      <c r="I268">
        <f t="shared" si="104"/>
        <v>9</v>
      </c>
      <c r="J268">
        <f t="shared" si="105"/>
        <v>23</v>
      </c>
      <c r="K268" t="s">
        <v>27</v>
      </c>
      <c r="L268" t="str">
        <f t="shared" si="87"/>
        <v>Septiembre</v>
      </c>
      <c r="M268" t="s">
        <v>28</v>
      </c>
      <c r="N268" t="str">
        <f t="shared" si="88"/>
        <v>{ nombre: "Tiempo Ordinario, Semana 25 Martes", archivo: "/salterios/src/evan/audios/tos025martes.mp3", fecha: `${year}-09-23` },</v>
      </c>
    </row>
    <row r="269" spans="1:14" x14ac:dyDescent="0.25">
      <c r="A269" t="s">
        <v>0</v>
      </c>
      <c r="B269" t="str">
        <f t="shared" si="97"/>
        <v>ordinario</v>
      </c>
      <c r="C269" t="s">
        <v>2</v>
      </c>
      <c r="D269" s="2">
        <f t="shared" si="111"/>
        <v>25</v>
      </c>
      <c r="E269" t="s">
        <v>5</v>
      </c>
      <c r="F269" t="s">
        <v>17</v>
      </c>
      <c r="G269" s="1" t="str">
        <f t="shared" si="110"/>
        <v>tos025miercoles</v>
      </c>
      <c r="H269" t="s">
        <v>15</v>
      </c>
      <c r="I269">
        <f t="shared" si="104"/>
        <v>9</v>
      </c>
      <c r="J269">
        <f t="shared" si="105"/>
        <v>24</v>
      </c>
      <c r="K269" t="s">
        <v>27</v>
      </c>
      <c r="L269" t="str">
        <f t="shared" si="87"/>
        <v>Septiembre</v>
      </c>
      <c r="M269" t="s">
        <v>28</v>
      </c>
      <c r="N269" t="str">
        <f t="shared" si="88"/>
        <v>{ nombre: "Tiempo Ordinario, Semana 25 Miercoles", archivo: "/salterios/src/evan/audios/tos025miercoles.mp3", fecha: `${year}-09-24` },</v>
      </c>
    </row>
    <row r="270" spans="1:14" x14ac:dyDescent="0.25">
      <c r="A270" t="s">
        <v>0</v>
      </c>
      <c r="B270" t="str">
        <f t="shared" si="97"/>
        <v>ordinario</v>
      </c>
      <c r="C270" t="s">
        <v>2</v>
      </c>
      <c r="D270" s="2">
        <f t="shared" si="111"/>
        <v>25</v>
      </c>
      <c r="E270" t="s">
        <v>6</v>
      </c>
      <c r="F270" t="s">
        <v>17</v>
      </c>
      <c r="G270" s="1" t="str">
        <f t="shared" si="110"/>
        <v>tos025jueves</v>
      </c>
      <c r="H270" t="s">
        <v>15</v>
      </c>
      <c r="I270">
        <f t="shared" si="104"/>
        <v>9</v>
      </c>
      <c r="J270">
        <f t="shared" si="105"/>
        <v>25</v>
      </c>
      <c r="K270" t="s">
        <v>27</v>
      </c>
      <c r="L270" t="str">
        <f t="shared" ref="L270:L333" si="112">IF(I270=1,"Enero",
IF(I270=2,"Febrero",
IF(I270=3,"Marzo",
IF(I270=4,"Abril",
IF(I270=5,"Mayo",
IF(I270=6,"Junio",
IF(I270=7,"Julio",
IF(I270=8,"Agosto",
IF(I270=9,"Septiembre",
IF(I270=10,"Octubre",
IF(I270=11,"Noviembre",
IF(I270=12,"Diciembre",""))))))))))))</f>
        <v>Septiembre</v>
      </c>
      <c r="M270" t="s">
        <v>28</v>
      </c>
      <c r="N270" t="str">
        <f t="shared" si="88"/>
        <v>{ nombre: "Tiempo Ordinario, Semana 25 Jueves", archivo: "/salterios/src/evan/audios/tos025jueves.mp3", fecha: `${year}-09-25` },</v>
      </c>
    </row>
    <row r="271" spans="1:14" x14ac:dyDescent="0.25">
      <c r="A271" t="s">
        <v>0</v>
      </c>
      <c r="B271" t="str">
        <f t="shared" si="97"/>
        <v>ordinario</v>
      </c>
      <c r="C271" t="s">
        <v>2</v>
      </c>
      <c r="D271" s="2">
        <f t="shared" si="111"/>
        <v>25</v>
      </c>
      <c r="E271" t="s">
        <v>7</v>
      </c>
      <c r="F271" t="s">
        <v>17</v>
      </c>
      <c r="G271" s="1" t="str">
        <f t="shared" si="110"/>
        <v>tos025viernes</v>
      </c>
      <c r="H271" t="s">
        <v>15</v>
      </c>
      <c r="I271">
        <f t="shared" si="104"/>
        <v>9</v>
      </c>
      <c r="J271">
        <f t="shared" si="105"/>
        <v>26</v>
      </c>
      <c r="K271" t="s">
        <v>27</v>
      </c>
      <c r="L271" t="str">
        <f t="shared" si="112"/>
        <v>Septiembre</v>
      </c>
      <c r="M271" t="s">
        <v>28</v>
      </c>
      <c r="N271" t="str">
        <f t="shared" si="88"/>
        <v>{ nombre: "Tiempo Ordinario, Semana 25 Viernes", archivo: "/salterios/src/evan/audios/tos025viernes.mp3", fecha: `${year}-09-26` },</v>
      </c>
    </row>
    <row r="272" spans="1:14" x14ac:dyDescent="0.25">
      <c r="A272" t="s">
        <v>0</v>
      </c>
      <c r="B272" t="str">
        <f t="shared" si="97"/>
        <v>ordinario</v>
      </c>
      <c r="C272" t="s">
        <v>2</v>
      </c>
      <c r="D272" s="2">
        <f t="shared" si="111"/>
        <v>25</v>
      </c>
      <c r="E272" t="s">
        <v>8</v>
      </c>
      <c r="F272" t="s">
        <v>17</v>
      </c>
      <c r="G272" s="1" t="str">
        <f t="shared" si="110"/>
        <v>tos025sabado</v>
      </c>
      <c r="H272" t="s">
        <v>15</v>
      </c>
      <c r="I272">
        <f t="shared" si="104"/>
        <v>9</v>
      </c>
      <c r="J272">
        <f t="shared" si="105"/>
        <v>27</v>
      </c>
      <c r="K272" t="s">
        <v>27</v>
      </c>
      <c r="L272" t="str">
        <f t="shared" si="112"/>
        <v>Septiembre</v>
      </c>
      <c r="M272" t="s">
        <v>28</v>
      </c>
      <c r="N272" t="str">
        <f t="shared" ref="N272:N335" si="113">_xlfn.CONCAT("{ nombre: ",H272,PROPER(A272)," ",PROPER(B272),", ",PROPER(C272)," ",D272," ",PROPER(E272),""",",F272,G272,".mp3",H272,", fecha: `${year}-",0,I272,"-",J272,"` },")</f>
        <v>{ nombre: "Tiempo Ordinario, Semana 25 Sabado", archivo: "/salterios/src/evan/audios/tos025sabado.mp3", fecha: `${year}-09-27` },</v>
      </c>
    </row>
    <row r="273" spans="1:14" x14ac:dyDescent="0.25">
      <c r="A273" t="s">
        <v>0</v>
      </c>
      <c r="B273" t="str">
        <f t="shared" si="97"/>
        <v>ordinario</v>
      </c>
      <c r="C273" t="s">
        <v>2</v>
      </c>
      <c r="D273" s="2">
        <f>+D272+1</f>
        <v>26</v>
      </c>
      <c r="E273" t="s">
        <v>9</v>
      </c>
      <c r="F273" t="s">
        <v>17</v>
      </c>
      <c r="G273" s="1" t="str">
        <f>_xlfn.CONCAT(LEFT(A273,1),LEFT(B273,1),LEFT(C273,1),"0",D273,E273)</f>
        <v>tos026domingo</v>
      </c>
      <c r="H273" t="s">
        <v>15</v>
      </c>
      <c r="I273">
        <f t="shared" si="104"/>
        <v>9</v>
      </c>
      <c r="J273">
        <f t="shared" si="105"/>
        <v>28</v>
      </c>
      <c r="K273" t="s">
        <v>27</v>
      </c>
      <c r="L273" t="str">
        <f t="shared" si="112"/>
        <v>Septiembre</v>
      </c>
      <c r="M273" t="s">
        <v>28</v>
      </c>
      <c r="N273" t="str">
        <f t="shared" si="113"/>
        <v>{ nombre: "Tiempo Ordinario, Semana 26 Domingo", archivo: "/salterios/src/evan/audios/tos026domingo.mp3", fecha: `${year}-09-28` },</v>
      </c>
    </row>
    <row r="274" spans="1:14" x14ac:dyDescent="0.25">
      <c r="A274" t="s">
        <v>0</v>
      </c>
      <c r="B274" t="str">
        <f t="shared" si="97"/>
        <v>ordinario</v>
      </c>
      <c r="C274" t="s">
        <v>2</v>
      </c>
      <c r="D274" s="2">
        <f>D273</f>
        <v>26</v>
      </c>
      <c r="E274" t="s">
        <v>3</v>
      </c>
      <c r="F274" t="s">
        <v>17</v>
      </c>
      <c r="G274" s="1" t="str">
        <f t="shared" ref="G274:G279" si="114">_xlfn.CONCAT(LEFT(A274,1),LEFT(B274,1),LEFT(C274,1),"0",D274,E274)</f>
        <v>tos026lunes</v>
      </c>
      <c r="H274" t="s">
        <v>15</v>
      </c>
      <c r="I274">
        <f t="shared" si="104"/>
        <v>9</v>
      </c>
      <c r="J274">
        <f t="shared" si="105"/>
        <v>29</v>
      </c>
      <c r="K274" t="s">
        <v>27</v>
      </c>
      <c r="L274" t="str">
        <f t="shared" si="112"/>
        <v>Septiembre</v>
      </c>
      <c r="M274" t="s">
        <v>28</v>
      </c>
      <c r="N274" t="str">
        <f t="shared" si="113"/>
        <v>{ nombre: "Tiempo Ordinario, Semana 26 Lunes", archivo: "/salterios/src/evan/audios/tos026lunes.mp3", fecha: `${year}-09-29` },</v>
      </c>
    </row>
    <row r="275" spans="1:14" x14ac:dyDescent="0.25">
      <c r="A275" t="s">
        <v>0</v>
      </c>
      <c r="B275" t="str">
        <f t="shared" si="97"/>
        <v>ordinario</v>
      </c>
      <c r="C275" t="s">
        <v>2</v>
      </c>
      <c r="D275" s="2">
        <f t="shared" ref="D275:D279" si="115">D274</f>
        <v>26</v>
      </c>
      <c r="E275" t="s">
        <v>4</v>
      </c>
      <c r="F275" t="s">
        <v>17</v>
      </c>
      <c r="G275" s="1" t="str">
        <f t="shared" si="114"/>
        <v>tos026martes</v>
      </c>
      <c r="H275" t="s">
        <v>15</v>
      </c>
      <c r="I275">
        <f t="shared" si="104"/>
        <v>9</v>
      </c>
      <c r="J275">
        <f t="shared" si="105"/>
        <v>30</v>
      </c>
      <c r="K275" t="s">
        <v>27</v>
      </c>
      <c r="L275" t="str">
        <f t="shared" si="112"/>
        <v>Septiembre</v>
      </c>
      <c r="M275" t="s">
        <v>28</v>
      </c>
      <c r="N275" t="str">
        <f t="shared" si="113"/>
        <v>{ nombre: "Tiempo Ordinario, Semana 26 Martes", archivo: "/salterios/src/evan/audios/tos026martes.mp3", fecha: `${year}-09-30` },</v>
      </c>
    </row>
    <row r="276" spans="1:14" x14ac:dyDescent="0.25">
      <c r="A276" t="s">
        <v>0</v>
      </c>
      <c r="B276" t="str">
        <f t="shared" si="97"/>
        <v>ordinario</v>
      </c>
      <c r="C276" t="s">
        <v>2</v>
      </c>
      <c r="D276" s="2">
        <f t="shared" si="115"/>
        <v>26</v>
      </c>
      <c r="E276" t="s">
        <v>5</v>
      </c>
      <c r="F276" t="s">
        <v>17</v>
      </c>
      <c r="G276" s="1" t="str">
        <f t="shared" si="114"/>
        <v>tos026miercoles</v>
      </c>
      <c r="H276" t="s">
        <v>15</v>
      </c>
      <c r="I276">
        <v>10</v>
      </c>
      <c r="J276">
        <v>1</v>
      </c>
      <c r="K276" t="s">
        <v>27</v>
      </c>
      <c r="L276" t="str">
        <f t="shared" si="112"/>
        <v>Octubre</v>
      </c>
      <c r="M276" t="s">
        <v>28</v>
      </c>
      <c r="N276" t="str">
        <f t="shared" si="113"/>
        <v>{ nombre: "Tiempo Ordinario, Semana 26 Miercoles", archivo: "/salterios/src/evan/audios/tos026miercoles.mp3", fecha: `${year}-010-1` },</v>
      </c>
    </row>
    <row r="277" spans="1:14" x14ac:dyDescent="0.25">
      <c r="A277" t="s">
        <v>0</v>
      </c>
      <c r="B277" t="str">
        <f t="shared" si="97"/>
        <v>ordinario</v>
      </c>
      <c r="C277" t="s">
        <v>2</v>
      </c>
      <c r="D277" s="2">
        <f t="shared" si="115"/>
        <v>26</v>
      </c>
      <c r="E277" t="s">
        <v>6</v>
      </c>
      <c r="F277" t="s">
        <v>17</v>
      </c>
      <c r="G277" s="1" t="str">
        <f t="shared" si="114"/>
        <v>tos026jueves</v>
      </c>
      <c r="H277" t="s">
        <v>15</v>
      </c>
      <c r="I277">
        <f t="shared" si="104"/>
        <v>10</v>
      </c>
      <c r="J277">
        <f t="shared" si="105"/>
        <v>2</v>
      </c>
      <c r="K277" t="s">
        <v>27</v>
      </c>
      <c r="L277" t="str">
        <f t="shared" si="112"/>
        <v>Octubre</v>
      </c>
      <c r="M277" t="s">
        <v>28</v>
      </c>
      <c r="N277" t="str">
        <f t="shared" si="113"/>
        <v>{ nombre: "Tiempo Ordinario, Semana 26 Jueves", archivo: "/salterios/src/evan/audios/tos026jueves.mp3", fecha: `${year}-010-2` },</v>
      </c>
    </row>
    <row r="278" spans="1:14" x14ac:dyDescent="0.25">
      <c r="A278" t="s">
        <v>0</v>
      </c>
      <c r="B278" t="str">
        <f t="shared" si="97"/>
        <v>ordinario</v>
      </c>
      <c r="C278" t="s">
        <v>2</v>
      </c>
      <c r="D278" s="2">
        <f t="shared" si="115"/>
        <v>26</v>
      </c>
      <c r="E278" t="s">
        <v>7</v>
      </c>
      <c r="F278" t="s">
        <v>17</v>
      </c>
      <c r="G278" s="1" t="str">
        <f t="shared" si="114"/>
        <v>tos026viernes</v>
      </c>
      <c r="H278" t="s">
        <v>15</v>
      </c>
      <c r="I278">
        <f t="shared" si="104"/>
        <v>10</v>
      </c>
      <c r="J278">
        <f t="shared" si="105"/>
        <v>3</v>
      </c>
      <c r="K278" t="s">
        <v>27</v>
      </c>
      <c r="L278" t="str">
        <f t="shared" si="112"/>
        <v>Octubre</v>
      </c>
      <c r="M278" t="s">
        <v>28</v>
      </c>
      <c r="N278" t="str">
        <f t="shared" si="113"/>
        <v>{ nombre: "Tiempo Ordinario, Semana 26 Viernes", archivo: "/salterios/src/evan/audios/tos026viernes.mp3", fecha: `${year}-010-3` },</v>
      </c>
    </row>
    <row r="279" spans="1:14" x14ac:dyDescent="0.25">
      <c r="A279" t="s">
        <v>0</v>
      </c>
      <c r="B279" t="str">
        <f t="shared" si="97"/>
        <v>ordinario</v>
      </c>
      <c r="C279" t="s">
        <v>2</v>
      </c>
      <c r="D279" s="2">
        <f t="shared" si="115"/>
        <v>26</v>
      </c>
      <c r="E279" t="s">
        <v>8</v>
      </c>
      <c r="F279" t="s">
        <v>17</v>
      </c>
      <c r="G279" s="1" t="str">
        <f t="shared" si="114"/>
        <v>tos026sabado</v>
      </c>
      <c r="H279" t="s">
        <v>15</v>
      </c>
      <c r="I279">
        <f t="shared" si="104"/>
        <v>10</v>
      </c>
      <c r="J279">
        <f t="shared" si="105"/>
        <v>4</v>
      </c>
      <c r="K279" t="s">
        <v>27</v>
      </c>
      <c r="L279" t="str">
        <f t="shared" si="112"/>
        <v>Octubre</v>
      </c>
      <c r="M279" t="s">
        <v>28</v>
      </c>
      <c r="N279" t="str">
        <f t="shared" si="113"/>
        <v>{ nombre: "Tiempo Ordinario, Semana 26 Sabado", archivo: "/salterios/src/evan/audios/tos026sabado.mp3", fecha: `${year}-010-4` },</v>
      </c>
    </row>
    <row r="280" spans="1:14" x14ac:dyDescent="0.25">
      <c r="A280" t="s">
        <v>0</v>
      </c>
      <c r="B280" t="str">
        <f t="shared" si="97"/>
        <v>ordinario</v>
      </c>
      <c r="C280" t="s">
        <v>2</v>
      </c>
      <c r="D280" s="2">
        <f>+D279+1</f>
        <v>27</v>
      </c>
      <c r="E280" t="s">
        <v>9</v>
      </c>
      <c r="F280" t="s">
        <v>17</v>
      </c>
      <c r="G280" s="1" t="str">
        <f>_xlfn.CONCAT(LEFT(A280,1),LEFT(B280,1),LEFT(C280,1),"0",D280,E280)</f>
        <v>tos027domingo</v>
      </c>
      <c r="H280" t="s">
        <v>15</v>
      </c>
      <c r="I280">
        <f t="shared" si="104"/>
        <v>10</v>
      </c>
      <c r="J280">
        <f t="shared" si="105"/>
        <v>5</v>
      </c>
      <c r="K280" t="s">
        <v>27</v>
      </c>
      <c r="L280" t="str">
        <f t="shared" si="112"/>
        <v>Octubre</v>
      </c>
      <c r="M280" t="s">
        <v>28</v>
      </c>
      <c r="N280" t="str">
        <f t="shared" si="113"/>
        <v>{ nombre: "Tiempo Ordinario, Semana 27 Domingo", archivo: "/salterios/src/evan/audios/tos027domingo.mp3", fecha: `${year}-010-5` },</v>
      </c>
    </row>
    <row r="281" spans="1:14" x14ac:dyDescent="0.25">
      <c r="A281" t="s">
        <v>0</v>
      </c>
      <c r="B281" t="str">
        <f t="shared" si="97"/>
        <v>ordinario</v>
      </c>
      <c r="C281" t="s">
        <v>2</v>
      </c>
      <c r="D281" s="2">
        <f>D280</f>
        <v>27</v>
      </c>
      <c r="E281" t="s">
        <v>3</v>
      </c>
      <c r="F281" t="s">
        <v>17</v>
      </c>
      <c r="G281" s="1" t="str">
        <f t="shared" ref="G281:G286" si="116">_xlfn.CONCAT(LEFT(A281,1),LEFT(B281,1),LEFT(C281,1),"0",D281,E281)</f>
        <v>tos027lunes</v>
      </c>
      <c r="H281" t="s">
        <v>15</v>
      </c>
      <c r="I281">
        <f t="shared" si="104"/>
        <v>10</v>
      </c>
      <c r="J281">
        <f t="shared" si="105"/>
        <v>6</v>
      </c>
      <c r="K281" t="s">
        <v>27</v>
      </c>
      <c r="L281" t="str">
        <f t="shared" si="112"/>
        <v>Octubre</v>
      </c>
      <c r="M281" t="s">
        <v>28</v>
      </c>
      <c r="N281" t="str">
        <f t="shared" si="113"/>
        <v>{ nombre: "Tiempo Ordinario, Semana 27 Lunes", archivo: "/salterios/src/evan/audios/tos027lunes.mp3", fecha: `${year}-010-6` },</v>
      </c>
    </row>
    <row r="282" spans="1:14" x14ac:dyDescent="0.25">
      <c r="A282" t="s">
        <v>0</v>
      </c>
      <c r="B282" t="str">
        <f t="shared" si="97"/>
        <v>ordinario</v>
      </c>
      <c r="C282" t="s">
        <v>2</v>
      </c>
      <c r="D282" s="2">
        <f t="shared" ref="D282:D286" si="117">D281</f>
        <v>27</v>
      </c>
      <c r="E282" t="s">
        <v>4</v>
      </c>
      <c r="F282" t="s">
        <v>17</v>
      </c>
      <c r="G282" s="1" t="str">
        <f t="shared" si="116"/>
        <v>tos027martes</v>
      </c>
      <c r="H282" t="s">
        <v>15</v>
      </c>
      <c r="I282">
        <f t="shared" si="104"/>
        <v>10</v>
      </c>
      <c r="J282">
        <f t="shared" si="105"/>
        <v>7</v>
      </c>
      <c r="K282" t="s">
        <v>27</v>
      </c>
      <c r="L282" t="str">
        <f t="shared" si="112"/>
        <v>Octubre</v>
      </c>
      <c r="M282" t="s">
        <v>28</v>
      </c>
      <c r="N282" t="str">
        <f t="shared" si="113"/>
        <v>{ nombre: "Tiempo Ordinario, Semana 27 Martes", archivo: "/salterios/src/evan/audios/tos027martes.mp3", fecha: `${year}-010-7` },</v>
      </c>
    </row>
    <row r="283" spans="1:14" x14ac:dyDescent="0.25">
      <c r="A283" t="s">
        <v>0</v>
      </c>
      <c r="B283" t="str">
        <f t="shared" si="97"/>
        <v>ordinario</v>
      </c>
      <c r="C283" t="s">
        <v>2</v>
      </c>
      <c r="D283" s="2">
        <f t="shared" si="117"/>
        <v>27</v>
      </c>
      <c r="E283" t="s">
        <v>5</v>
      </c>
      <c r="F283" t="s">
        <v>17</v>
      </c>
      <c r="G283" s="1" t="str">
        <f t="shared" si="116"/>
        <v>tos027miercoles</v>
      </c>
      <c r="H283" t="s">
        <v>15</v>
      </c>
      <c r="I283">
        <f t="shared" si="104"/>
        <v>10</v>
      </c>
      <c r="J283">
        <f t="shared" si="105"/>
        <v>8</v>
      </c>
      <c r="K283" t="s">
        <v>27</v>
      </c>
      <c r="L283" t="str">
        <f t="shared" si="112"/>
        <v>Octubre</v>
      </c>
      <c r="M283" t="s">
        <v>28</v>
      </c>
      <c r="N283" t="str">
        <f t="shared" si="113"/>
        <v>{ nombre: "Tiempo Ordinario, Semana 27 Miercoles", archivo: "/salterios/src/evan/audios/tos027miercoles.mp3", fecha: `${year}-010-8` },</v>
      </c>
    </row>
    <row r="284" spans="1:14" x14ac:dyDescent="0.25">
      <c r="A284" t="s">
        <v>0</v>
      </c>
      <c r="B284" t="str">
        <f t="shared" si="97"/>
        <v>ordinario</v>
      </c>
      <c r="C284" t="s">
        <v>2</v>
      </c>
      <c r="D284" s="2">
        <f t="shared" si="117"/>
        <v>27</v>
      </c>
      <c r="E284" t="s">
        <v>6</v>
      </c>
      <c r="F284" t="s">
        <v>17</v>
      </c>
      <c r="G284" s="1" t="str">
        <f t="shared" si="116"/>
        <v>tos027jueves</v>
      </c>
      <c r="H284" t="s">
        <v>15</v>
      </c>
      <c r="I284">
        <f t="shared" si="104"/>
        <v>10</v>
      </c>
      <c r="J284">
        <f t="shared" si="105"/>
        <v>9</v>
      </c>
      <c r="K284" t="s">
        <v>27</v>
      </c>
      <c r="L284" t="str">
        <f t="shared" si="112"/>
        <v>Octubre</v>
      </c>
      <c r="M284" t="s">
        <v>28</v>
      </c>
      <c r="N284" t="str">
        <f t="shared" si="113"/>
        <v>{ nombre: "Tiempo Ordinario, Semana 27 Jueves", archivo: "/salterios/src/evan/audios/tos027jueves.mp3", fecha: `${year}-010-9` },</v>
      </c>
    </row>
    <row r="285" spans="1:14" x14ac:dyDescent="0.25">
      <c r="A285" t="s">
        <v>0</v>
      </c>
      <c r="B285" t="str">
        <f t="shared" si="97"/>
        <v>ordinario</v>
      </c>
      <c r="C285" t="s">
        <v>2</v>
      </c>
      <c r="D285" s="2">
        <f t="shared" si="117"/>
        <v>27</v>
      </c>
      <c r="E285" t="s">
        <v>7</v>
      </c>
      <c r="F285" t="s">
        <v>17</v>
      </c>
      <c r="G285" s="1" t="str">
        <f t="shared" si="116"/>
        <v>tos027viernes</v>
      </c>
      <c r="H285" t="s">
        <v>15</v>
      </c>
      <c r="I285">
        <f t="shared" si="104"/>
        <v>10</v>
      </c>
      <c r="J285">
        <f t="shared" si="105"/>
        <v>10</v>
      </c>
      <c r="K285" t="s">
        <v>27</v>
      </c>
      <c r="L285" t="str">
        <f t="shared" si="112"/>
        <v>Octubre</v>
      </c>
      <c r="M285" t="s">
        <v>28</v>
      </c>
      <c r="N285" t="str">
        <f t="shared" si="113"/>
        <v>{ nombre: "Tiempo Ordinario, Semana 27 Viernes", archivo: "/salterios/src/evan/audios/tos027viernes.mp3", fecha: `${year}-010-10` },</v>
      </c>
    </row>
    <row r="286" spans="1:14" x14ac:dyDescent="0.25">
      <c r="A286" t="s">
        <v>0</v>
      </c>
      <c r="B286" t="str">
        <f t="shared" si="97"/>
        <v>ordinario</v>
      </c>
      <c r="C286" t="s">
        <v>2</v>
      </c>
      <c r="D286" s="2">
        <f t="shared" si="117"/>
        <v>27</v>
      </c>
      <c r="E286" t="s">
        <v>8</v>
      </c>
      <c r="F286" t="s">
        <v>17</v>
      </c>
      <c r="G286" s="1" t="str">
        <f t="shared" si="116"/>
        <v>tos027sabado</v>
      </c>
      <c r="H286" t="s">
        <v>15</v>
      </c>
      <c r="I286">
        <f t="shared" si="104"/>
        <v>10</v>
      </c>
      <c r="J286">
        <f t="shared" si="105"/>
        <v>11</v>
      </c>
      <c r="K286" t="s">
        <v>27</v>
      </c>
      <c r="L286" t="str">
        <f t="shared" si="112"/>
        <v>Octubre</v>
      </c>
      <c r="M286" t="s">
        <v>28</v>
      </c>
      <c r="N286" t="str">
        <f t="shared" si="113"/>
        <v>{ nombre: "Tiempo Ordinario, Semana 27 Sabado", archivo: "/salterios/src/evan/audios/tos027sabado.mp3", fecha: `${year}-010-11` },</v>
      </c>
    </row>
    <row r="287" spans="1:14" x14ac:dyDescent="0.25">
      <c r="A287" t="s">
        <v>0</v>
      </c>
      <c r="B287" t="str">
        <f t="shared" si="97"/>
        <v>ordinario</v>
      </c>
      <c r="C287" t="s">
        <v>2</v>
      </c>
      <c r="D287" s="2">
        <f>+D286+1</f>
        <v>28</v>
      </c>
      <c r="E287" t="s">
        <v>9</v>
      </c>
      <c r="F287" t="s">
        <v>17</v>
      </c>
      <c r="G287" s="1" t="str">
        <f>_xlfn.CONCAT(LEFT(A287,1),LEFT(B287,1),LEFT(C287,1),"0",D287,E287)</f>
        <v>tos028domingo</v>
      </c>
      <c r="H287" t="s">
        <v>15</v>
      </c>
      <c r="I287">
        <f t="shared" si="104"/>
        <v>10</v>
      </c>
      <c r="J287">
        <f t="shared" si="105"/>
        <v>12</v>
      </c>
      <c r="K287" t="s">
        <v>27</v>
      </c>
      <c r="L287" t="str">
        <f t="shared" si="112"/>
        <v>Octubre</v>
      </c>
      <c r="M287" t="s">
        <v>28</v>
      </c>
      <c r="N287" t="str">
        <f t="shared" si="113"/>
        <v>{ nombre: "Tiempo Ordinario, Semana 28 Domingo", archivo: "/salterios/src/evan/audios/tos028domingo.mp3", fecha: `${year}-010-12` },</v>
      </c>
    </row>
    <row r="288" spans="1:14" x14ac:dyDescent="0.25">
      <c r="A288" t="s">
        <v>0</v>
      </c>
      <c r="B288" t="str">
        <f t="shared" si="97"/>
        <v>ordinario</v>
      </c>
      <c r="C288" t="s">
        <v>2</v>
      </c>
      <c r="D288" s="2">
        <f>D287</f>
        <v>28</v>
      </c>
      <c r="E288" t="s">
        <v>3</v>
      </c>
      <c r="F288" t="s">
        <v>17</v>
      </c>
      <c r="G288" s="1" t="str">
        <f t="shared" ref="G288:G293" si="118">_xlfn.CONCAT(LEFT(A288,1),LEFT(B288,1),LEFT(C288,1),"0",D288,E288)</f>
        <v>tos028lunes</v>
      </c>
      <c r="H288" t="s">
        <v>15</v>
      </c>
      <c r="I288">
        <f t="shared" si="104"/>
        <v>10</v>
      </c>
      <c r="J288">
        <f t="shared" si="105"/>
        <v>13</v>
      </c>
      <c r="K288" t="s">
        <v>27</v>
      </c>
      <c r="L288" t="str">
        <f t="shared" si="112"/>
        <v>Octubre</v>
      </c>
      <c r="M288" t="s">
        <v>28</v>
      </c>
      <c r="N288" t="str">
        <f t="shared" si="113"/>
        <v>{ nombre: "Tiempo Ordinario, Semana 28 Lunes", archivo: "/salterios/src/evan/audios/tos028lunes.mp3", fecha: `${year}-010-13` },</v>
      </c>
    </row>
    <row r="289" spans="1:14" x14ac:dyDescent="0.25">
      <c r="A289" t="s">
        <v>0</v>
      </c>
      <c r="B289" t="str">
        <f t="shared" si="97"/>
        <v>ordinario</v>
      </c>
      <c r="C289" t="s">
        <v>2</v>
      </c>
      <c r="D289" s="2">
        <f t="shared" ref="D289:D293" si="119">D288</f>
        <v>28</v>
      </c>
      <c r="E289" t="s">
        <v>4</v>
      </c>
      <c r="F289" t="s">
        <v>17</v>
      </c>
      <c r="G289" s="1" t="str">
        <f t="shared" si="118"/>
        <v>tos028martes</v>
      </c>
      <c r="H289" t="s">
        <v>15</v>
      </c>
      <c r="I289">
        <f t="shared" si="104"/>
        <v>10</v>
      </c>
      <c r="J289">
        <f t="shared" si="105"/>
        <v>14</v>
      </c>
      <c r="K289" t="s">
        <v>27</v>
      </c>
      <c r="L289" t="str">
        <f t="shared" si="112"/>
        <v>Octubre</v>
      </c>
      <c r="M289" t="s">
        <v>28</v>
      </c>
      <c r="N289" t="str">
        <f t="shared" si="113"/>
        <v>{ nombre: "Tiempo Ordinario, Semana 28 Martes", archivo: "/salterios/src/evan/audios/tos028martes.mp3", fecha: `${year}-010-14` },</v>
      </c>
    </row>
    <row r="290" spans="1:14" x14ac:dyDescent="0.25">
      <c r="A290" t="s">
        <v>0</v>
      </c>
      <c r="B290" t="str">
        <f t="shared" si="97"/>
        <v>ordinario</v>
      </c>
      <c r="C290" t="s">
        <v>2</v>
      </c>
      <c r="D290" s="2">
        <f t="shared" si="119"/>
        <v>28</v>
      </c>
      <c r="E290" t="s">
        <v>5</v>
      </c>
      <c r="F290" t="s">
        <v>17</v>
      </c>
      <c r="G290" s="1" t="str">
        <f t="shared" si="118"/>
        <v>tos028miercoles</v>
      </c>
      <c r="H290" t="s">
        <v>15</v>
      </c>
      <c r="I290">
        <f t="shared" si="104"/>
        <v>10</v>
      </c>
      <c r="J290">
        <f t="shared" si="105"/>
        <v>15</v>
      </c>
      <c r="K290" t="s">
        <v>27</v>
      </c>
      <c r="L290" t="str">
        <f t="shared" si="112"/>
        <v>Octubre</v>
      </c>
      <c r="M290" t="s">
        <v>28</v>
      </c>
      <c r="N290" t="str">
        <f t="shared" si="113"/>
        <v>{ nombre: "Tiempo Ordinario, Semana 28 Miercoles", archivo: "/salterios/src/evan/audios/tos028miercoles.mp3", fecha: `${year}-010-15` },</v>
      </c>
    </row>
    <row r="291" spans="1:14" x14ac:dyDescent="0.25">
      <c r="A291" t="s">
        <v>0</v>
      </c>
      <c r="B291" t="str">
        <f t="shared" si="97"/>
        <v>ordinario</v>
      </c>
      <c r="C291" t="s">
        <v>2</v>
      </c>
      <c r="D291" s="2">
        <f t="shared" si="119"/>
        <v>28</v>
      </c>
      <c r="E291" t="s">
        <v>6</v>
      </c>
      <c r="F291" t="s">
        <v>17</v>
      </c>
      <c r="G291" s="1" t="str">
        <f t="shared" si="118"/>
        <v>tos028jueves</v>
      </c>
      <c r="H291" t="s">
        <v>15</v>
      </c>
      <c r="I291">
        <f t="shared" si="104"/>
        <v>10</v>
      </c>
      <c r="J291">
        <f t="shared" si="105"/>
        <v>16</v>
      </c>
      <c r="K291" t="s">
        <v>27</v>
      </c>
      <c r="L291" t="str">
        <f t="shared" si="112"/>
        <v>Octubre</v>
      </c>
      <c r="M291" t="s">
        <v>28</v>
      </c>
      <c r="N291" t="str">
        <f t="shared" si="113"/>
        <v>{ nombre: "Tiempo Ordinario, Semana 28 Jueves", archivo: "/salterios/src/evan/audios/tos028jueves.mp3", fecha: `${year}-010-16` },</v>
      </c>
    </row>
    <row r="292" spans="1:14" x14ac:dyDescent="0.25">
      <c r="A292" t="s">
        <v>0</v>
      </c>
      <c r="B292" t="str">
        <f t="shared" si="97"/>
        <v>ordinario</v>
      </c>
      <c r="C292" t="s">
        <v>2</v>
      </c>
      <c r="D292" s="2">
        <f t="shared" si="119"/>
        <v>28</v>
      </c>
      <c r="E292" t="s">
        <v>7</v>
      </c>
      <c r="F292" t="s">
        <v>17</v>
      </c>
      <c r="G292" s="1" t="str">
        <f t="shared" si="118"/>
        <v>tos028viernes</v>
      </c>
      <c r="H292" t="s">
        <v>15</v>
      </c>
      <c r="I292">
        <f t="shared" si="104"/>
        <v>10</v>
      </c>
      <c r="J292">
        <f t="shared" si="105"/>
        <v>17</v>
      </c>
      <c r="K292" t="s">
        <v>27</v>
      </c>
      <c r="L292" t="str">
        <f t="shared" si="112"/>
        <v>Octubre</v>
      </c>
      <c r="M292" t="s">
        <v>28</v>
      </c>
      <c r="N292" t="str">
        <f t="shared" si="113"/>
        <v>{ nombre: "Tiempo Ordinario, Semana 28 Viernes", archivo: "/salterios/src/evan/audios/tos028viernes.mp3", fecha: `${year}-010-17` },</v>
      </c>
    </row>
    <row r="293" spans="1:14" x14ac:dyDescent="0.25">
      <c r="A293" t="s">
        <v>0</v>
      </c>
      <c r="B293" t="str">
        <f t="shared" ref="B293" si="120">B292</f>
        <v>ordinario</v>
      </c>
      <c r="C293" t="s">
        <v>2</v>
      </c>
      <c r="D293" s="2">
        <f t="shared" si="119"/>
        <v>28</v>
      </c>
      <c r="E293" t="s">
        <v>8</v>
      </c>
      <c r="F293" t="s">
        <v>17</v>
      </c>
      <c r="G293" s="1" t="str">
        <f t="shared" si="118"/>
        <v>tos028sabado</v>
      </c>
      <c r="H293" t="s">
        <v>15</v>
      </c>
      <c r="I293">
        <f t="shared" si="104"/>
        <v>10</v>
      </c>
      <c r="J293">
        <f t="shared" si="105"/>
        <v>18</v>
      </c>
      <c r="K293" t="s">
        <v>27</v>
      </c>
      <c r="L293" t="str">
        <f t="shared" si="112"/>
        <v>Octubre</v>
      </c>
      <c r="M293" t="s">
        <v>28</v>
      </c>
      <c r="N293" t="str">
        <f t="shared" si="113"/>
        <v>{ nombre: "Tiempo Ordinario, Semana 28 Sabado", archivo: "/salterios/src/evan/audios/tos028sabado.mp3", fecha: `${year}-010-18` },</v>
      </c>
    </row>
    <row r="294" spans="1:14" x14ac:dyDescent="0.25">
      <c r="A294" t="s">
        <v>0</v>
      </c>
      <c r="B294" t="str">
        <f t="shared" si="97"/>
        <v>ordinario</v>
      </c>
      <c r="C294" t="s">
        <v>2</v>
      </c>
      <c r="D294" s="2">
        <f>+D293+1</f>
        <v>29</v>
      </c>
      <c r="E294" t="s">
        <v>9</v>
      </c>
      <c r="F294" t="s">
        <v>17</v>
      </c>
      <c r="G294" s="1" t="str">
        <f>_xlfn.CONCAT(LEFT(A294,1),LEFT(B294,1),LEFT(C294,1),"0",D294,E294)</f>
        <v>tos029domingo</v>
      </c>
      <c r="H294" t="s">
        <v>15</v>
      </c>
      <c r="I294">
        <f t="shared" si="104"/>
        <v>10</v>
      </c>
      <c r="J294">
        <f t="shared" si="105"/>
        <v>19</v>
      </c>
      <c r="K294" t="s">
        <v>27</v>
      </c>
      <c r="L294" t="str">
        <f t="shared" si="112"/>
        <v>Octubre</v>
      </c>
      <c r="M294" t="s">
        <v>28</v>
      </c>
      <c r="N294" t="str">
        <f t="shared" si="113"/>
        <v>{ nombre: "Tiempo Ordinario, Semana 29 Domingo", archivo: "/salterios/src/evan/audios/tos029domingo.mp3", fecha: `${year}-010-19` },</v>
      </c>
    </row>
    <row r="295" spans="1:14" x14ac:dyDescent="0.25">
      <c r="A295" t="s">
        <v>0</v>
      </c>
      <c r="B295" t="str">
        <f t="shared" ref="B295:B335" si="121">B294</f>
        <v>ordinario</v>
      </c>
      <c r="C295" t="s">
        <v>2</v>
      </c>
      <c r="D295" s="2">
        <f>D294</f>
        <v>29</v>
      </c>
      <c r="E295" t="s">
        <v>3</v>
      </c>
      <c r="F295" t="s">
        <v>17</v>
      </c>
      <c r="G295" s="1" t="str">
        <f t="shared" ref="G295:G300" si="122">_xlfn.CONCAT(LEFT(A295,1),LEFT(B295,1),LEFT(C295,1),"0",D295,E295)</f>
        <v>tos029lunes</v>
      </c>
      <c r="H295" t="s">
        <v>15</v>
      </c>
      <c r="I295">
        <f t="shared" si="104"/>
        <v>10</v>
      </c>
      <c r="J295">
        <f t="shared" si="105"/>
        <v>20</v>
      </c>
      <c r="K295" t="s">
        <v>27</v>
      </c>
      <c r="L295" t="str">
        <f t="shared" si="112"/>
        <v>Octubre</v>
      </c>
      <c r="M295" t="s">
        <v>28</v>
      </c>
      <c r="N295" t="str">
        <f t="shared" si="113"/>
        <v>{ nombre: "Tiempo Ordinario, Semana 29 Lunes", archivo: "/salterios/src/evan/audios/tos029lunes.mp3", fecha: `${year}-010-20` },</v>
      </c>
    </row>
    <row r="296" spans="1:14" x14ac:dyDescent="0.25">
      <c r="A296" t="s">
        <v>0</v>
      </c>
      <c r="B296" t="str">
        <f t="shared" si="121"/>
        <v>ordinario</v>
      </c>
      <c r="C296" t="s">
        <v>2</v>
      </c>
      <c r="D296" s="2">
        <f t="shared" ref="D296:D300" si="123">D295</f>
        <v>29</v>
      </c>
      <c r="E296" t="s">
        <v>4</v>
      </c>
      <c r="F296" t="s">
        <v>17</v>
      </c>
      <c r="G296" s="1" t="str">
        <f t="shared" si="122"/>
        <v>tos029martes</v>
      </c>
      <c r="H296" t="s">
        <v>15</v>
      </c>
      <c r="I296">
        <f t="shared" si="104"/>
        <v>10</v>
      </c>
      <c r="J296">
        <f t="shared" si="105"/>
        <v>21</v>
      </c>
      <c r="K296" t="s">
        <v>27</v>
      </c>
      <c r="L296" t="str">
        <f t="shared" si="112"/>
        <v>Octubre</v>
      </c>
      <c r="M296" t="s">
        <v>28</v>
      </c>
      <c r="N296" t="str">
        <f t="shared" si="113"/>
        <v>{ nombre: "Tiempo Ordinario, Semana 29 Martes", archivo: "/salterios/src/evan/audios/tos029martes.mp3", fecha: `${year}-010-21` },</v>
      </c>
    </row>
    <row r="297" spans="1:14" x14ac:dyDescent="0.25">
      <c r="A297" t="s">
        <v>0</v>
      </c>
      <c r="B297" t="str">
        <f t="shared" si="121"/>
        <v>ordinario</v>
      </c>
      <c r="C297" t="s">
        <v>2</v>
      </c>
      <c r="D297" s="2">
        <f t="shared" si="123"/>
        <v>29</v>
      </c>
      <c r="E297" t="s">
        <v>5</v>
      </c>
      <c r="F297" t="s">
        <v>17</v>
      </c>
      <c r="G297" s="1" t="str">
        <f t="shared" si="122"/>
        <v>tos029miercoles</v>
      </c>
      <c r="H297" t="s">
        <v>15</v>
      </c>
      <c r="I297">
        <f t="shared" si="104"/>
        <v>10</v>
      </c>
      <c r="J297">
        <f t="shared" si="105"/>
        <v>22</v>
      </c>
      <c r="K297" t="s">
        <v>27</v>
      </c>
      <c r="L297" t="str">
        <f t="shared" si="112"/>
        <v>Octubre</v>
      </c>
      <c r="M297" t="s">
        <v>28</v>
      </c>
      <c r="N297" t="str">
        <f t="shared" si="113"/>
        <v>{ nombre: "Tiempo Ordinario, Semana 29 Miercoles", archivo: "/salterios/src/evan/audios/tos029miercoles.mp3", fecha: `${year}-010-22` },</v>
      </c>
    </row>
    <row r="298" spans="1:14" x14ac:dyDescent="0.25">
      <c r="A298" t="s">
        <v>0</v>
      </c>
      <c r="B298" t="str">
        <f t="shared" si="121"/>
        <v>ordinario</v>
      </c>
      <c r="C298" t="s">
        <v>2</v>
      </c>
      <c r="D298" s="2">
        <f t="shared" si="123"/>
        <v>29</v>
      </c>
      <c r="E298" t="s">
        <v>6</v>
      </c>
      <c r="F298" t="s">
        <v>17</v>
      </c>
      <c r="G298" s="1" t="str">
        <f t="shared" si="122"/>
        <v>tos029jueves</v>
      </c>
      <c r="H298" t="s">
        <v>15</v>
      </c>
      <c r="I298">
        <f t="shared" si="104"/>
        <v>10</v>
      </c>
      <c r="J298">
        <f t="shared" si="105"/>
        <v>23</v>
      </c>
      <c r="K298" t="s">
        <v>27</v>
      </c>
      <c r="L298" t="str">
        <f t="shared" si="112"/>
        <v>Octubre</v>
      </c>
      <c r="M298" t="s">
        <v>28</v>
      </c>
      <c r="N298" t="str">
        <f t="shared" si="113"/>
        <v>{ nombre: "Tiempo Ordinario, Semana 29 Jueves", archivo: "/salterios/src/evan/audios/tos029jueves.mp3", fecha: `${year}-010-23` },</v>
      </c>
    </row>
    <row r="299" spans="1:14" x14ac:dyDescent="0.25">
      <c r="A299" t="s">
        <v>0</v>
      </c>
      <c r="B299" t="str">
        <f t="shared" si="121"/>
        <v>ordinario</v>
      </c>
      <c r="C299" t="s">
        <v>2</v>
      </c>
      <c r="D299" s="2">
        <f t="shared" si="123"/>
        <v>29</v>
      </c>
      <c r="E299" t="s">
        <v>7</v>
      </c>
      <c r="F299" t="s">
        <v>17</v>
      </c>
      <c r="G299" s="1" t="str">
        <f t="shared" si="122"/>
        <v>tos029viernes</v>
      </c>
      <c r="H299" t="s">
        <v>15</v>
      </c>
      <c r="I299">
        <f t="shared" si="104"/>
        <v>10</v>
      </c>
      <c r="J299">
        <f t="shared" si="105"/>
        <v>24</v>
      </c>
      <c r="K299" t="s">
        <v>27</v>
      </c>
      <c r="L299" t="str">
        <f t="shared" si="112"/>
        <v>Octubre</v>
      </c>
      <c r="M299" t="s">
        <v>28</v>
      </c>
      <c r="N299" t="str">
        <f t="shared" si="113"/>
        <v>{ nombre: "Tiempo Ordinario, Semana 29 Viernes", archivo: "/salterios/src/evan/audios/tos029viernes.mp3", fecha: `${year}-010-24` },</v>
      </c>
    </row>
    <row r="300" spans="1:14" x14ac:dyDescent="0.25">
      <c r="A300" t="s">
        <v>0</v>
      </c>
      <c r="B300" t="str">
        <f t="shared" si="121"/>
        <v>ordinario</v>
      </c>
      <c r="C300" t="s">
        <v>2</v>
      </c>
      <c r="D300" s="2">
        <f t="shared" si="123"/>
        <v>29</v>
      </c>
      <c r="E300" t="s">
        <v>8</v>
      </c>
      <c r="F300" t="s">
        <v>17</v>
      </c>
      <c r="G300" s="1" t="str">
        <f t="shared" si="122"/>
        <v>tos029sabado</v>
      </c>
      <c r="H300" t="s">
        <v>15</v>
      </c>
      <c r="I300">
        <f t="shared" si="104"/>
        <v>10</v>
      </c>
      <c r="J300">
        <f t="shared" si="105"/>
        <v>25</v>
      </c>
      <c r="K300" t="s">
        <v>27</v>
      </c>
      <c r="L300" t="str">
        <f t="shared" si="112"/>
        <v>Octubre</v>
      </c>
      <c r="M300" t="s">
        <v>28</v>
      </c>
      <c r="N300" t="str">
        <f t="shared" si="113"/>
        <v>{ nombre: "Tiempo Ordinario, Semana 29 Sabado", archivo: "/salterios/src/evan/audios/tos029sabado.mp3", fecha: `${year}-010-25` },</v>
      </c>
    </row>
    <row r="301" spans="1:14" x14ac:dyDescent="0.25">
      <c r="A301" t="s">
        <v>0</v>
      </c>
      <c r="B301" t="str">
        <f t="shared" si="121"/>
        <v>ordinario</v>
      </c>
      <c r="C301" t="s">
        <v>2</v>
      </c>
      <c r="D301" s="2">
        <f>+D300+1</f>
        <v>30</v>
      </c>
      <c r="E301" t="s">
        <v>9</v>
      </c>
      <c r="F301" t="s">
        <v>17</v>
      </c>
      <c r="G301" s="1" t="str">
        <f>_xlfn.CONCAT(LEFT(A301,1),LEFT(B301,1),LEFT(C301,1),"0",D301,E301)</f>
        <v>tos030domingo</v>
      </c>
      <c r="H301" t="s">
        <v>15</v>
      </c>
      <c r="I301">
        <f t="shared" si="104"/>
        <v>10</v>
      </c>
      <c r="J301">
        <f t="shared" si="105"/>
        <v>26</v>
      </c>
      <c r="K301" t="s">
        <v>27</v>
      </c>
      <c r="L301" t="str">
        <f t="shared" si="112"/>
        <v>Octubre</v>
      </c>
      <c r="M301" t="s">
        <v>28</v>
      </c>
      <c r="N301" t="str">
        <f t="shared" si="113"/>
        <v>{ nombre: "Tiempo Ordinario, Semana 30 Domingo", archivo: "/salterios/src/evan/audios/tos030domingo.mp3", fecha: `${year}-010-26` },</v>
      </c>
    </row>
    <row r="302" spans="1:14" x14ac:dyDescent="0.25">
      <c r="A302" t="s">
        <v>0</v>
      </c>
      <c r="B302" t="str">
        <f t="shared" si="121"/>
        <v>ordinario</v>
      </c>
      <c r="C302" t="s">
        <v>2</v>
      </c>
      <c r="D302" s="2">
        <f>D301</f>
        <v>30</v>
      </c>
      <c r="E302" t="s">
        <v>3</v>
      </c>
      <c r="F302" t="s">
        <v>17</v>
      </c>
      <c r="G302" s="1" t="str">
        <f t="shared" ref="G302:G307" si="124">_xlfn.CONCAT(LEFT(A302,1),LEFT(B302,1),LEFT(C302,1),"0",D302,E302)</f>
        <v>tos030lunes</v>
      </c>
      <c r="H302" t="s">
        <v>15</v>
      </c>
      <c r="I302">
        <f t="shared" si="104"/>
        <v>10</v>
      </c>
      <c r="J302">
        <f t="shared" si="105"/>
        <v>27</v>
      </c>
      <c r="K302" t="s">
        <v>27</v>
      </c>
      <c r="L302" t="str">
        <f t="shared" si="112"/>
        <v>Octubre</v>
      </c>
      <c r="M302" t="s">
        <v>28</v>
      </c>
      <c r="N302" t="str">
        <f t="shared" si="113"/>
        <v>{ nombre: "Tiempo Ordinario, Semana 30 Lunes", archivo: "/salterios/src/evan/audios/tos030lunes.mp3", fecha: `${year}-010-27` },</v>
      </c>
    </row>
    <row r="303" spans="1:14" x14ac:dyDescent="0.25">
      <c r="A303" t="s">
        <v>0</v>
      </c>
      <c r="B303" t="str">
        <f t="shared" si="121"/>
        <v>ordinario</v>
      </c>
      <c r="C303" t="s">
        <v>2</v>
      </c>
      <c r="D303" s="2">
        <f t="shared" ref="D303:D307" si="125">D302</f>
        <v>30</v>
      </c>
      <c r="E303" t="s">
        <v>4</v>
      </c>
      <c r="F303" t="s">
        <v>17</v>
      </c>
      <c r="G303" s="1" t="str">
        <f t="shared" si="124"/>
        <v>tos030martes</v>
      </c>
      <c r="H303" t="s">
        <v>15</v>
      </c>
      <c r="I303">
        <f t="shared" si="104"/>
        <v>10</v>
      </c>
      <c r="J303">
        <f t="shared" si="105"/>
        <v>28</v>
      </c>
      <c r="K303" t="s">
        <v>27</v>
      </c>
      <c r="L303" t="str">
        <f t="shared" si="112"/>
        <v>Octubre</v>
      </c>
      <c r="M303" t="s">
        <v>28</v>
      </c>
      <c r="N303" t="str">
        <f t="shared" si="113"/>
        <v>{ nombre: "Tiempo Ordinario, Semana 30 Martes", archivo: "/salterios/src/evan/audios/tos030martes.mp3", fecha: `${year}-010-28` },</v>
      </c>
    </row>
    <row r="304" spans="1:14" x14ac:dyDescent="0.25">
      <c r="A304" t="s">
        <v>0</v>
      </c>
      <c r="B304" t="str">
        <f t="shared" si="121"/>
        <v>ordinario</v>
      </c>
      <c r="C304" t="s">
        <v>2</v>
      </c>
      <c r="D304" s="2">
        <f t="shared" si="125"/>
        <v>30</v>
      </c>
      <c r="E304" t="s">
        <v>5</v>
      </c>
      <c r="F304" t="s">
        <v>17</v>
      </c>
      <c r="G304" s="1" t="str">
        <f t="shared" si="124"/>
        <v>tos030miercoles</v>
      </c>
      <c r="H304" t="s">
        <v>15</v>
      </c>
      <c r="I304">
        <f t="shared" si="104"/>
        <v>10</v>
      </c>
      <c r="J304">
        <f t="shared" si="105"/>
        <v>29</v>
      </c>
      <c r="K304" t="s">
        <v>27</v>
      </c>
      <c r="L304" t="str">
        <f t="shared" si="112"/>
        <v>Octubre</v>
      </c>
      <c r="M304" t="s">
        <v>28</v>
      </c>
      <c r="N304" t="str">
        <f t="shared" si="113"/>
        <v>{ nombre: "Tiempo Ordinario, Semana 30 Miercoles", archivo: "/salterios/src/evan/audios/tos030miercoles.mp3", fecha: `${year}-010-29` },</v>
      </c>
    </row>
    <row r="305" spans="1:14" x14ac:dyDescent="0.25">
      <c r="A305" t="s">
        <v>0</v>
      </c>
      <c r="B305" t="str">
        <f t="shared" si="121"/>
        <v>ordinario</v>
      </c>
      <c r="C305" t="s">
        <v>2</v>
      </c>
      <c r="D305" s="2">
        <f t="shared" si="125"/>
        <v>30</v>
      </c>
      <c r="E305" t="s">
        <v>6</v>
      </c>
      <c r="F305" t="s">
        <v>17</v>
      </c>
      <c r="G305" s="1" t="str">
        <f t="shared" si="124"/>
        <v>tos030jueves</v>
      </c>
      <c r="H305" t="s">
        <v>15</v>
      </c>
      <c r="I305">
        <f t="shared" si="104"/>
        <v>10</v>
      </c>
      <c r="J305">
        <f t="shared" si="105"/>
        <v>30</v>
      </c>
      <c r="K305" t="s">
        <v>27</v>
      </c>
      <c r="L305" t="str">
        <f t="shared" si="112"/>
        <v>Octubre</v>
      </c>
      <c r="M305" t="s">
        <v>28</v>
      </c>
      <c r="N305" t="str">
        <f t="shared" si="113"/>
        <v>{ nombre: "Tiempo Ordinario, Semana 30 Jueves", archivo: "/salterios/src/evan/audios/tos030jueves.mp3", fecha: `${year}-010-30` },</v>
      </c>
    </row>
    <row r="306" spans="1:14" x14ac:dyDescent="0.25">
      <c r="A306" t="s">
        <v>0</v>
      </c>
      <c r="B306" t="str">
        <f t="shared" si="121"/>
        <v>ordinario</v>
      </c>
      <c r="C306" t="s">
        <v>2</v>
      </c>
      <c r="D306" s="2">
        <f t="shared" si="125"/>
        <v>30</v>
      </c>
      <c r="E306" t="s">
        <v>7</v>
      </c>
      <c r="F306" t="s">
        <v>17</v>
      </c>
      <c r="G306" s="1" t="str">
        <f t="shared" si="124"/>
        <v>tos030viernes</v>
      </c>
      <c r="H306" t="s">
        <v>15</v>
      </c>
      <c r="I306">
        <f t="shared" si="104"/>
        <v>10</v>
      </c>
      <c r="J306">
        <f t="shared" si="105"/>
        <v>31</v>
      </c>
      <c r="K306" t="s">
        <v>27</v>
      </c>
      <c r="L306" t="str">
        <f t="shared" si="112"/>
        <v>Octubre</v>
      </c>
      <c r="M306" t="s">
        <v>28</v>
      </c>
      <c r="N306" t="str">
        <f t="shared" si="113"/>
        <v>{ nombre: "Tiempo Ordinario, Semana 30 Viernes", archivo: "/salterios/src/evan/audios/tos030viernes.mp3", fecha: `${year}-010-31` },</v>
      </c>
    </row>
    <row r="307" spans="1:14" x14ac:dyDescent="0.25">
      <c r="A307" t="s">
        <v>0</v>
      </c>
      <c r="B307" t="str">
        <f t="shared" si="121"/>
        <v>ordinario</v>
      </c>
      <c r="C307" t="s">
        <v>2</v>
      </c>
      <c r="D307" s="2">
        <f t="shared" si="125"/>
        <v>30</v>
      </c>
      <c r="E307" t="s">
        <v>8</v>
      </c>
      <c r="F307" t="s">
        <v>17</v>
      </c>
      <c r="G307" s="1" t="str">
        <f t="shared" si="124"/>
        <v>tos030sabado</v>
      </c>
      <c r="H307" t="s">
        <v>15</v>
      </c>
      <c r="I307">
        <v>11</v>
      </c>
      <c r="J307">
        <v>1</v>
      </c>
      <c r="K307" t="s">
        <v>27</v>
      </c>
      <c r="L307" t="str">
        <f t="shared" si="112"/>
        <v>Noviembre</v>
      </c>
      <c r="M307" t="s">
        <v>28</v>
      </c>
      <c r="N307" t="str">
        <f t="shared" si="113"/>
        <v>{ nombre: "Tiempo Ordinario, Semana 30 Sabado", archivo: "/salterios/src/evan/audios/tos030sabado.mp3", fecha: `${year}-011-1` },</v>
      </c>
    </row>
    <row r="308" spans="1:14" x14ac:dyDescent="0.25">
      <c r="A308" t="s">
        <v>0</v>
      </c>
      <c r="B308" t="str">
        <f t="shared" si="121"/>
        <v>ordinario</v>
      </c>
      <c r="C308" t="s">
        <v>2</v>
      </c>
      <c r="D308" s="2">
        <f>+D307+1</f>
        <v>31</v>
      </c>
      <c r="E308" t="s">
        <v>9</v>
      </c>
      <c r="F308" t="s">
        <v>17</v>
      </c>
      <c r="G308" s="1" t="str">
        <f>_xlfn.CONCAT(LEFT(A308,1),LEFT(B308,1),LEFT(C308,1),"0",D308,E308)</f>
        <v>tos031domingo</v>
      </c>
      <c r="H308" t="s">
        <v>15</v>
      </c>
      <c r="I308">
        <f t="shared" si="104"/>
        <v>11</v>
      </c>
      <c r="J308">
        <f t="shared" si="105"/>
        <v>2</v>
      </c>
      <c r="K308" t="s">
        <v>27</v>
      </c>
      <c r="L308" t="str">
        <f t="shared" si="112"/>
        <v>Noviembre</v>
      </c>
      <c r="M308" t="s">
        <v>28</v>
      </c>
      <c r="N308" t="str">
        <f t="shared" si="113"/>
        <v>{ nombre: "Tiempo Ordinario, Semana 31 Domingo", archivo: "/salterios/src/evan/audios/tos031domingo.mp3", fecha: `${year}-011-2` },</v>
      </c>
    </row>
    <row r="309" spans="1:14" x14ac:dyDescent="0.25">
      <c r="A309" t="s">
        <v>0</v>
      </c>
      <c r="B309" t="str">
        <f t="shared" si="121"/>
        <v>ordinario</v>
      </c>
      <c r="C309" t="s">
        <v>2</v>
      </c>
      <c r="D309" s="2">
        <f>D308</f>
        <v>31</v>
      </c>
      <c r="E309" t="s">
        <v>3</v>
      </c>
      <c r="F309" t="s">
        <v>17</v>
      </c>
      <c r="G309" s="1" t="str">
        <f t="shared" ref="G309:G314" si="126">_xlfn.CONCAT(LEFT(A309,1),LEFT(B309,1),LEFT(C309,1),"0",D309,E309)</f>
        <v>tos031lunes</v>
      </c>
      <c r="H309" t="s">
        <v>15</v>
      </c>
      <c r="I309">
        <f t="shared" si="104"/>
        <v>11</v>
      </c>
      <c r="J309">
        <f t="shared" si="105"/>
        <v>3</v>
      </c>
      <c r="K309" t="s">
        <v>27</v>
      </c>
      <c r="L309" t="str">
        <f t="shared" si="112"/>
        <v>Noviembre</v>
      </c>
      <c r="M309" t="s">
        <v>28</v>
      </c>
      <c r="N309" t="str">
        <f t="shared" si="113"/>
        <v>{ nombre: "Tiempo Ordinario, Semana 31 Lunes", archivo: "/salterios/src/evan/audios/tos031lunes.mp3", fecha: `${year}-011-3` },</v>
      </c>
    </row>
    <row r="310" spans="1:14" x14ac:dyDescent="0.25">
      <c r="A310" t="s">
        <v>0</v>
      </c>
      <c r="B310" t="str">
        <f t="shared" si="121"/>
        <v>ordinario</v>
      </c>
      <c r="C310" t="s">
        <v>2</v>
      </c>
      <c r="D310" s="2">
        <f t="shared" ref="D310:D314" si="127">D309</f>
        <v>31</v>
      </c>
      <c r="E310" t="s">
        <v>4</v>
      </c>
      <c r="F310" t="s">
        <v>17</v>
      </c>
      <c r="G310" s="1" t="str">
        <f t="shared" si="126"/>
        <v>tos031martes</v>
      </c>
      <c r="H310" t="s">
        <v>15</v>
      </c>
      <c r="I310">
        <f t="shared" si="104"/>
        <v>11</v>
      </c>
      <c r="J310">
        <f t="shared" si="105"/>
        <v>4</v>
      </c>
      <c r="K310" t="s">
        <v>27</v>
      </c>
      <c r="L310" t="str">
        <f t="shared" si="112"/>
        <v>Noviembre</v>
      </c>
      <c r="M310" t="s">
        <v>28</v>
      </c>
      <c r="N310" t="str">
        <f t="shared" si="113"/>
        <v>{ nombre: "Tiempo Ordinario, Semana 31 Martes", archivo: "/salterios/src/evan/audios/tos031martes.mp3", fecha: `${year}-011-4` },</v>
      </c>
    </row>
    <row r="311" spans="1:14" x14ac:dyDescent="0.25">
      <c r="A311" t="s">
        <v>0</v>
      </c>
      <c r="B311" t="str">
        <f t="shared" si="121"/>
        <v>ordinario</v>
      </c>
      <c r="C311" t="s">
        <v>2</v>
      </c>
      <c r="D311" s="2">
        <f t="shared" si="127"/>
        <v>31</v>
      </c>
      <c r="E311" t="s">
        <v>5</v>
      </c>
      <c r="F311" t="s">
        <v>17</v>
      </c>
      <c r="G311" s="1" t="str">
        <f t="shared" si="126"/>
        <v>tos031miercoles</v>
      </c>
      <c r="H311" t="s">
        <v>15</v>
      </c>
      <c r="I311">
        <f t="shared" si="104"/>
        <v>11</v>
      </c>
      <c r="J311">
        <f t="shared" si="105"/>
        <v>5</v>
      </c>
      <c r="K311" t="s">
        <v>27</v>
      </c>
      <c r="L311" t="str">
        <f t="shared" si="112"/>
        <v>Noviembre</v>
      </c>
      <c r="M311" t="s">
        <v>28</v>
      </c>
      <c r="N311" t="str">
        <f t="shared" si="113"/>
        <v>{ nombre: "Tiempo Ordinario, Semana 31 Miercoles", archivo: "/salterios/src/evan/audios/tos031miercoles.mp3", fecha: `${year}-011-5` },</v>
      </c>
    </row>
    <row r="312" spans="1:14" x14ac:dyDescent="0.25">
      <c r="A312" t="s">
        <v>0</v>
      </c>
      <c r="B312" t="str">
        <f t="shared" si="121"/>
        <v>ordinario</v>
      </c>
      <c r="C312" t="s">
        <v>2</v>
      </c>
      <c r="D312" s="2">
        <f t="shared" si="127"/>
        <v>31</v>
      </c>
      <c r="E312" t="s">
        <v>6</v>
      </c>
      <c r="F312" t="s">
        <v>17</v>
      </c>
      <c r="G312" s="1" t="str">
        <f t="shared" si="126"/>
        <v>tos031jueves</v>
      </c>
      <c r="H312" t="s">
        <v>15</v>
      </c>
      <c r="I312">
        <f t="shared" si="104"/>
        <v>11</v>
      </c>
      <c r="J312">
        <f t="shared" si="105"/>
        <v>6</v>
      </c>
      <c r="K312" t="s">
        <v>27</v>
      </c>
      <c r="L312" t="str">
        <f t="shared" si="112"/>
        <v>Noviembre</v>
      </c>
      <c r="M312" t="s">
        <v>28</v>
      </c>
      <c r="N312" t="str">
        <f t="shared" si="113"/>
        <v>{ nombre: "Tiempo Ordinario, Semana 31 Jueves", archivo: "/salterios/src/evan/audios/tos031jueves.mp3", fecha: `${year}-011-6` },</v>
      </c>
    </row>
    <row r="313" spans="1:14" x14ac:dyDescent="0.25">
      <c r="A313" t="s">
        <v>0</v>
      </c>
      <c r="B313" t="str">
        <f t="shared" si="121"/>
        <v>ordinario</v>
      </c>
      <c r="C313" t="s">
        <v>2</v>
      </c>
      <c r="D313" s="2">
        <f t="shared" si="127"/>
        <v>31</v>
      </c>
      <c r="E313" t="s">
        <v>7</v>
      </c>
      <c r="F313" t="s">
        <v>17</v>
      </c>
      <c r="G313" s="1" t="str">
        <f t="shared" si="126"/>
        <v>tos031viernes</v>
      </c>
      <c r="H313" t="s">
        <v>15</v>
      </c>
      <c r="I313">
        <f t="shared" si="104"/>
        <v>11</v>
      </c>
      <c r="J313">
        <f t="shared" si="105"/>
        <v>7</v>
      </c>
      <c r="K313" t="s">
        <v>27</v>
      </c>
      <c r="L313" t="str">
        <f t="shared" si="112"/>
        <v>Noviembre</v>
      </c>
      <c r="M313" t="s">
        <v>28</v>
      </c>
      <c r="N313" t="str">
        <f t="shared" si="113"/>
        <v>{ nombre: "Tiempo Ordinario, Semana 31 Viernes", archivo: "/salterios/src/evan/audios/tos031viernes.mp3", fecha: `${year}-011-7` },</v>
      </c>
    </row>
    <row r="314" spans="1:14" x14ac:dyDescent="0.25">
      <c r="A314" t="s">
        <v>0</v>
      </c>
      <c r="B314" t="str">
        <f t="shared" si="121"/>
        <v>ordinario</v>
      </c>
      <c r="C314" t="s">
        <v>2</v>
      </c>
      <c r="D314" s="2">
        <f t="shared" si="127"/>
        <v>31</v>
      </c>
      <c r="E314" t="s">
        <v>8</v>
      </c>
      <c r="F314" t="s">
        <v>17</v>
      </c>
      <c r="G314" s="1" t="str">
        <f t="shared" si="126"/>
        <v>tos031sabado</v>
      </c>
      <c r="H314" t="s">
        <v>15</v>
      </c>
      <c r="I314">
        <f t="shared" si="104"/>
        <v>11</v>
      </c>
      <c r="J314">
        <f t="shared" si="105"/>
        <v>8</v>
      </c>
      <c r="K314" t="s">
        <v>27</v>
      </c>
      <c r="L314" t="str">
        <f t="shared" si="112"/>
        <v>Noviembre</v>
      </c>
      <c r="M314" t="s">
        <v>28</v>
      </c>
      <c r="N314" t="str">
        <f t="shared" si="113"/>
        <v>{ nombre: "Tiempo Ordinario, Semana 31 Sabado", archivo: "/salterios/src/evan/audios/tos031sabado.mp3", fecha: `${year}-011-8` },</v>
      </c>
    </row>
    <row r="315" spans="1:14" x14ac:dyDescent="0.25">
      <c r="A315" t="s">
        <v>0</v>
      </c>
      <c r="B315" t="str">
        <f t="shared" si="121"/>
        <v>ordinario</v>
      </c>
      <c r="C315" t="s">
        <v>2</v>
      </c>
      <c r="D315" s="2">
        <f>+D314+1</f>
        <v>32</v>
      </c>
      <c r="E315" t="s">
        <v>9</v>
      </c>
      <c r="F315" t="s">
        <v>17</v>
      </c>
      <c r="G315" s="1" t="str">
        <f>_xlfn.CONCAT(LEFT(A315,1),LEFT(B315,1),LEFT(C315,1),"0",D315,E315)</f>
        <v>tos032domingo</v>
      </c>
      <c r="H315" t="s">
        <v>15</v>
      </c>
      <c r="I315">
        <f t="shared" si="104"/>
        <v>11</v>
      </c>
      <c r="J315">
        <f t="shared" si="105"/>
        <v>9</v>
      </c>
      <c r="K315" t="s">
        <v>27</v>
      </c>
      <c r="L315" t="str">
        <f t="shared" si="112"/>
        <v>Noviembre</v>
      </c>
      <c r="M315" t="s">
        <v>28</v>
      </c>
      <c r="N315" t="str">
        <f t="shared" si="113"/>
        <v>{ nombre: "Tiempo Ordinario, Semana 32 Domingo", archivo: "/salterios/src/evan/audios/tos032domingo.mp3", fecha: `${year}-011-9` },</v>
      </c>
    </row>
    <row r="316" spans="1:14" x14ac:dyDescent="0.25">
      <c r="A316" t="s">
        <v>0</v>
      </c>
      <c r="B316" t="str">
        <f t="shared" si="121"/>
        <v>ordinario</v>
      </c>
      <c r="C316" t="s">
        <v>2</v>
      </c>
      <c r="D316" s="2">
        <f>D315</f>
        <v>32</v>
      </c>
      <c r="E316" t="s">
        <v>3</v>
      </c>
      <c r="F316" t="s">
        <v>17</v>
      </c>
      <c r="G316" s="1" t="str">
        <f t="shared" ref="G316:G321" si="128">_xlfn.CONCAT(LEFT(A316,1),LEFT(B316,1),LEFT(C316,1),"0",D316,E316)</f>
        <v>tos032lunes</v>
      </c>
      <c r="H316" t="s">
        <v>15</v>
      </c>
      <c r="I316">
        <f t="shared" ref="I316" si="129">I315</f>
        <v>11</v>
      </c>
      <c r="J316">
        <f t="shared" ref="J316" si="130">+J315+1</f>
        <v>10</v>
      </c>
      <c r="K316" t="s">
        <v>27</v>
      </c>
      <c r="L316" t="str">
        <f t="shared" si="112"/>
        <v>Noviembre</v>
      </c>
      <c r="M316" t="s">
        <v>28</v>
      </c>
      <c r="N316" t="str">
        <f t="shared" si="113"/>
        <v>{ nombre: "Tiempo Ordinario, Semana 32 Lunes", archivo: "/salterios/src/evan/audios/tos032lunes.mp3", fecha: `${year}-011-10` },</v>
      </c>
    </row>
    <row r="317" spans="1:14" x14ac:dyDescent="0.25">
      <c r="A317" t="s">
        <v>0</v>
      </c>
      <c r="B317" t="str">
        <f t="shared" si="121"/>
        <v>ordinario</v>
      </c>
      <c r="C317" t="s">
        <v>2</v>
      </c>
      <c r="D317" s="2">
        <f t="shared" ref="D317:D321" si="131">D316</f>
        <v>32</v>
      </c>
      <c r="E317" t="s">
        <v>4</v>
      </c>
      <c r="F317" t="s">
        <v>17</v>
      </c>
      <c r="G317" s="1" t="str">
        <f t="shared" si="128"/>
        <v>tos032martes</v>
      </c>
      <c r="H317" t="s">
        <v>15</v>
      </c>
      <c r="I317">
        <f t="shared" ref="I317:I342" si="132">I316</f>
        <v>11</v>
      </c>
      <c r="J317">
        <f t="shared" ref="J317:J342" si="133">+J316+1</f>
        <v>11</v>
      </c>
      <c r="K317" t="s">
        <v>27</v>
      </c>
      <c r="L317" t="str">
        <f t="shared" si="112"/>
        <v>Noviembre</v>
      </c>
      <c r="M317" t="s">
        <v>28</v>
      </c>
      <c r="N317" t="str">
        <f t="shared" si="113"/>
        <v>{ nombre: "Tiempo Ordinario, Semana 32 Martes", archivo: "/salterios/src/evan/audios/tos032martes.mp3", fecha: `${year}-011-11` },</v>
      </c>
    </row>
    <row r="318" spans="1:14" x14ac:dyDescent="0.25">
      <c r="A318" t="s">
        <v>0</v>
      </c>
      <c r="B318" t="str">
        <f t="shared" si="121"/>
        <v>ordinario</v>
      </c>
      <c r="C318" t="s">
        <v>2</v>
      </c>
      <c r="D318" s="2">
        <f t="shared" si="131"/>
        <v>32</v>
      </c>
      <c r="E318" t="s">
        <v>5</v>
      </c>
      <c r="F318" t="s">
        <v>17</v>
      </c>
      <c r="G318" s="1" t="str">
        <f t="shared" si="128"/>
        <v>tos032miercoles</v>
      </c>
      <c r="H318" t="s">
        <v>15</v>
      </c>
      <c r="I318">
        <f t="shared" si="132"/>
        <v>11</v>
      </c>
      <c r="J318">
        <f t="shared" si="133"/>
        <v>12</v>
      </c>
      <c r="K318" t="s">
        <v>27</v>
      </c>
      <c r="L318" t="str">
        <f t="shared" si="112"/>
        <v>Noviembre</v>
      </c>
      <c r="M318" t="s">
        <v>28</v>
      </c>
      <c r="N318" t="str">
        <f t="shared" si="113"/>
        <v>{ nombre: "Tiempo Ordinario, Semana 32 Miercoles", archivo: "/salterios/src/evan/audios/tos032miercoles.mp3", fecha: `${year}-011-12` },</v>
      </c>
    </row>
    <row r="319" spans="1:14" x14ac:dyDescent="0.25">
      <c r="A319" t="s">
        <v>0</v>
      </c>
      <c r="B319" t="str">
        <f t="shared" si="121"/>
        <v>ordinario</v>
      </c>
      <c r="C319" t="s">
        <v>2</v>
      </c>
      <c r="D319" s="2">
        <f t="shared" si="131"/>
        <v>32</v>
      </c>
      <c r="E319" t="s">
        <v>6</v>
      </c>
      <c r="F319" t="s">
        <v>17</v>
      </c>
      <c r="G319" s="1" t="str">
        <f t="shared" si="128"/>
        <v>tos032jueves</v>
      </c>
      <c r="H319" t="s">
        <v>15</v>
      </c>
      <c r="I319">
        <f t="shared" si="132"/>
        <v>11</v>
      </c>
      <c r="J319">
        <f t="shared" si="133"/>
        <v>13</v>
      </c>
      <c r="K319" t="s">
        <v>27</v>
      </c>
      <c r="L319" t="str">
        <f t="shared" si="112"/>
        <v>Noviembre</v>
      </c>
      <c r="M319" t="s">
        <v>28</v>
      </c>
      <c r="N319" t="str">
        <f t="shared" si="113"/>
        <v>{ nombre: "Tiempo Ordinario, Semana 32 Jueves", archivo: "/salterios/src/evan/audios/tos032jueves.mp3", fecha: `${year}-011-13` },</v>
      </c>
    </row>
    <row r="320" spans="1:14" x14ac:dyDescent="0.25">
      <c r="A320" t="s">
        <v>0</v>
      </c>
      <c r="B320" t="str">
        <f t="shared" si="121"/>
        <v>ordinario</v>
      </c>
      <c r="C320" t="s">
        <v>2</v>
      </c>
      <c r="D320" s="2">
        <f t="shared" si="131"/>
        <v>32</v>
      </c>
      <c r="E320" t="s">
        <v>7</v>
      </c>
      <c r="F320" t="s">
        <v>17</v>
      </c>
      <c r="G320" s="1" t="str">
        <f t="shared" si="128"/>
        <v>tos032viernes</v>
      </c>
      <c r="H320" t="s">
        <v>15</v>
      </c>
      <c r="I320">
        <f t="shared" si="132"/>
        <v>11</v>
      </c>
      <c r="J320">
        <f t="shared" si="133"/>
        <v>14</v>
      </c>
      <c r="K320" t="s">
        <v>27</v>
      </c>
      <c r="L320" t="str">
        <f t="shared" si="112"/>
        <v>Noviembre</v>
      </c>
      <c r="M320" t="s">
        <v>28</v>
      </c>
      <c r="N320" t="str">
        <f t="shared" si="113"/>
        <v>{ nombre: "Tiempo Ordinario, Semana 32 Viernes", archivo: "/salterios/src/evan/audios/tos032viernes.mp3", fecha: `${year}-011-14` },</v>
      </c>
    </row>
    <row r="321" spans="1:14" x14ac:dyDescent="0.25">
      <c r="A321" t="s">
        <v>0</v>
      </c>
      <c r="B321" t="str">
        <f t="shared" si="121"/>
        <v>ordinario</v>
      </c>
      <c r="C321" t="s">
        <v>2</v>
      </c>
      <c r="D321" s="2">
        <f t="shared" si="131"/>
        <v>32</v>
      </c>
      <c r="E321" t="s">
        <v>8</v>
      </c>
      <c r="F321" t="s">
        <v>17</v>
      </c>
      <c r="G321" s="1" t="str">
        <f t="shared" si="128"/>
        <v>tos032sabado</v>
      </c>
      <c r="H321" t="s">
        <v>15</v>
      </c>
      <c r="I321">
        <f t="shared" si="132"/>
        <v>11</v>
      </c>
      <c r="J321">
        <f t="shared" si="133"/>
        <v>15</v>
      </c>
      <c r="K321" t="s">
        <v>27</v>
      </c>
      <c r="L321" t="str">
        <f t="shared" si="112"/>
        <v>Noviembre</v>
      </c>
      <c r="M321" t="s">
        <v>28</v>
      </c>
      <c r="N321" t="str">
        <f t="shared" si="113"/>
        <v>{ nombre: "Tiempo Ordinario, Semana 32 Sabado", archivo: "/salterios/src/evan/audios/tos032sabado.mp3", fecha: `${year}-011-15` },</v>
      </c>
    </row>
    <row r="322" spans="1:14" x14ac:dyDescent="0.25">
      <c r="A322" t="s">
        <v>0</v>
      </c>
      <c r="B322" t="str">
        <f t="shared" si="121"/>
        <v>ordinario</v>
      </c>
      <c r="C322" t="s">
        <v>2</v>
      </c>
      <c r="D322" s="2">
        <f>+D321+1</f>
        <v>33</v>
      </c>
      <c r="E322" t="s">
        <v>9</v>
      </c>
      <c r="F322" t="s">
        <v>17</v>
      </c>
      <c r="G322" s="1" t="str">
        <f>_xlfn.CONCAT(LEFT(A322,1),LEFT(B322,1),LEFT(C322,1),"0",D322,E322)</f>
        <v>tos033domingo</v>
      </c>
      <c r="H322" t="s">
        <v>15</v>
      </c>
      <c r="I322">
        <f t="shared" si="132"/>
        <v>11</v>
      </c>
      <c r="J322">
        <f t="shared" si="133"/>
        <v>16</v>
      </c>
      <c r="K322" t="s">
        <v>27</v>
      </c>
      <c r="L322" t="str">
        <f t="shared" si="112"/>
        <v>Noviembre</v>
      </c>
      <c r="M322" t="s">
        <v>28</v>
      </c>
      <c r="N322" t="str">
        <f t="shared" si="113"/>
        <v>{ nombre: "Tiempo Ordinario, Semana 33 Domingo", archivo: "/salterios/src/evan/audios/tos033domingo.mp3", fecha: `${year}-011-16` },</v>
      </c>
    </row>
    <row r="323" spans="1:14" x14ac:dyDescent="0.25">
      <c r="A323" t="s">
        <v>0</v>
      </c>
      <c r="B323" t="str">
        <f t="shared" si="121"/>
        <v>ordinario</v>
      </c>
      <c r="C323" t="s">
        <v>2</v>
      </c>
      <c r="D323" s="2">
        <f>D322</f>
        <v>33</v>
      </c>
      <c r="E323" t="s">
        <v>3</v>
      </c>
      <c r="F323" t="s">
        <v>17</v>
      </c>
      <c r="G323" s="1" t="str">
        <f t="shared" ref="G323:G328" si="134">_xlfn.CONCAT(LEFT(A323,1),LEFT(B323,1),LEFT(C323,1),"0",D323,E323)</f>
        <v>tos033lunes</v>
      </c>
      <c r="H323" t="s">
        <v>15</v>
      </c>
      <c r="I323">
        <f t="shared" si="132"/>
        <v>11</v>
      </c>
      <c r="J323">
        <f t="shared" si="133"/>
        <v>17</v>
      </c>
      <c r="K323" t="s">
        <v>27</v>
      </c>
      <c r="L323" t="str">
        <f t="shared" si="112"/>
        <v>Noviembre</v>
      </c>
      <c r="M323" t="s">
        <v>28</v>
      </c>
      <c r="N323" t="str">
        <f t="shared" si="113"/>
        <v>{ nombre: "Tiempo Ordinario, Semana 33 Lunes", archivo: "/salterios/src/evan/audios/tos033lunes.mp3", fecha: `${year}-011-17` },</v>
      </c>
    </row>
    <row r="324" spans="1:14" x14ac:dyDescent="0.25">
      <c r="A324" t="s">
        <v>0</v>
      </c>
      <c r="B324" t="str">
        <f t="shared" si="121"/>
        <v>ordinario</v>
      </c>
      <c r="C324" t="s">
        <v>2</v>
      </c>
      <c r="D324" s="2">
        <f t="shared" ref="D324:D328" si="135">D323</f>
        <v>33</v>
      </c>
      <c r="E324" t="s">
        <v>4</v>
      </c>
      <c r="F324" t="s">
        <v>17</v>
      </c>
      <c r="G324" s="1" t="str">
        <f t="shared" si="134"/>
        <v>tos033martes</v>
      </c>
      <c r="H324" t="s">
        <v>15</v>
      </c>
      <c r="I324">
        <f t="shared" si="132"/>
        <v>11</v>
      </c>
      <c r="J324">
        <f t="shared" si="133"/>
        <v>18</v>
      </c>
      <c r="K324" t="s">
        <v>27</v>
      </c>
      <c r="L324" t="str">
        <f t="shared" si="112"/>
        <v>Noviembre</v>
      </c>
      <c r="M324" t="s">
        <v>28</v>
      </c>
      <c r="N324" t="str">
        <f t="shared" si="113"/>
        <v>{ nombre: "Tiempo Ordinario, Semana 33 Martes", archivo: "/salterios/src/evan/audios/tos033martes.mp3", fecha: `${year}-011-18` },</v>
      </c>
    </row>
    <row r="325" spans="1:14" x14ac:dyDescent="0.25">
      <c r="A325" t="s">
        <v>0</v>
      </c>
      <c r="B325" t="str">
        <f t="shared" si="121"/>
        <v>ordinario</v>
      </c>
      <c r="C325" t="s">
        <v>2</v>
      </c>
      <c r="D325" s="2">
        <f t="shared" si="135"/>
        <v>33</v>
      </c>
      <c r="E325" t="s">
        <v>5</v>
      </c>
      <c r="F325" t="s">
        <v>17</v>
      </c>
      <c r="G325" s="1" t="str">
        <f t="shared" si="134"/>
        <v>tos033miercoles</v>
      </c>
      <c r="H325" t="s">
        <v>15</v>
      </c>
      <c r="I325">
        <f t="shared" si="132"/>
        <v>11</v>
      </c>
      <c r="J325">
        <f t="shared" si="133"/>
        <v>19</v>
      </c>
      <c r="K325" t="s">
        <v>27</v>
      </c>
      <c r="L325" t="str">
        <f t="shared" si="112"/>
        <v>Noviembre</v>
      </c>
      <c r="M325" t="s">
        <v>28</v>
      </c>
      <c r="N325" t="str">
        <f t="shared" si="113"/>
        <v>{ nombre: "Tiempo Ordinario, Semana 33 Miercoles", archivo: "/salterios/src/evan/audios/tos033miercoles.mp3", fecha: `${year}-011-19` },</v>
      </c>
    </row>
    <row r="326" spans="1:14" x14ac:dyDescent="0.25">
      <c r="A326" t="s">
        <v>0</v>
      </c>
      <c r="B326" t="str">
        <f t="shared" si="121"/>
        <v>ordinario</v>
      </c>
      <c r="C326" t="s">
        <v>2</v>
      </c>
      <c r="D326" s="2">
        <f t="shared" si="135"/>
        <v>33</v>
      </c>
      <c r="E326" t="s">
        <v>6</v>
      </c>
      <c r="F326" t="s">
        <v>17</v>
      </c>
      <c r="G326" s="1" t="str">
        <f t="shared" si="134"/>
        <v>tos033jueves</v>
      </c>
      <c r="H326" t="s">
        <v>15</v>
      </c>
      <c r="I326">
        <f t="shared" si="132"/>
        <v>11</v>
      </c>
      <c r="J326">
        <f t="shared" si="133"/>
        <v>20</v>
      </c>
      <c r="K326" t="s">
        <v>27</v>
      </c>
      <c r="L326" t="str">
        <f t="shared" si="112"/>
        <v>Noviembre</v>
      </c>
      <c r="M326" t="s">
        <v>28</v>
      </c>
      <c r="N326" t="str">
        <f t="shared" si="113"/>
        <v>{ nombre: "Tiempo Ordinario, Semana 33 Jueves", archivo: "/salterios/src/evan/audios/tos033jueves.mp3", fecha: `${year}-011-20` },</v>
      </c>
    </row>
    <row r="327" spans="1:14" x14ac:dyDescent="0.25">
      <c r="A327" t="s">
        <v>0</v>
      </c>
      <c r="B327" t="str">
        <f t="shared" si="121"/>
        <v>ordinario</v>
      </c>
      <c r="C327" t="s">
        <v>2</v>
      </c>
      <c r="D327" s="2">
        <f t="shared" si="135"/>
        <v>33</v>
      </c>
      <c r="E327" t="s">
        <v>7</v>
      </c>
      <c r="F327" t="s">
        <v>17</v>
      </c>
      <c r="G327" s="1" t="str">
        <f t="shared" si="134"/>
        <v>tos033viernes</v>
      </c>
      <c r="H327" t="s">
        <v>15</v>
      </c>
      <c r="I327">
        <f t="shared" si="132"/>
        <v>11</v>
      </c>
      <c r="J327">
        <f t="shared" si="133"/>
        <v>21</v>
      </c>
      <c r="K327" t="s">
        <v>27</v>
      </c>
      <c r="L327" t="str">
        <f t="shared" si="112"/>
        <v>Noviembre</v>
      </c>
      <c r="M327" t="s">
        <v>28</v>
      </c>
      <c r="N327" t="str">
        <f t="shared" si="113"/>
        <v>{ nombre: "Tiempo Ordinario, Semana 33 Viernes", archivo: "/salterios/src/evan/audios/tos033viernes.mp3", fecha: `${year}-011-21` },</v>
      </c>
    </row>
    <row r="328" spans="1:14" x14ac:dyDescent="0.25">
      <c r="A328" t="s">
        <v>0</v>
      </c>
      <c r="B328" t="str">
        <f t="shared" si="121"/>
        <v>ordinario</v>
      </c>
      <c r="C328" t="s">
        <v>2</v>
      </c>
      <c r="D328" s="2">
        <f t="shared" si="135"/>
        <v>33</v>
      </c>
      <c r="E328" t="s">
        <v>8</v>
      </c>
      <c r="F328" t="s">
        <v>17</v>
      </c>
      <c r="G328" s="1" t="str">
        <f t="shared" si="134"/>
        <v>tos033sabado</v>
      </c>
      <c r="H328" t="s">
        <v>15</v>
      </c>
      <c r="I328">
        <f t="shared" si="132"/>
        <v>11</v>
      </c>
      <c r="J328">
        <f t="shared" si="133"/>
        <v>22</v>
      </c>
      <c r="K328" t="s">
        <v>27</v>
      </c>
      <c r="L328" t="str">
        <f t="shared" si="112"/>
        <v>Noviembre</v>
      </c>
      <c r="M328" t="s">
        <v>28</v>
      </c>
      <c r="N328" t="str">
        <f t="shared" si="113"/>
        <v>{ nombre: "Tiempo Ordinario, Semana 33 Sabado", archivo: "/salterios/src/evan/audios/tos033sabado.mp3", fecha: `${year}-011-22` },</v>
      </c>
    </row>
    <row r="329" spans="1:14" x14ac:dyDescent="0.25">
      <c r="A329" t="s">
        <v>0</v>
      </c>
      <c r="B329" t="str">
        <f t="shared" si="121"/>
        <v>ordinario</v>
      </c>
      <c r="C329" t="s">
        <v>2</v>
      </c>
      <c r="D329" s="2">
        <f>+D328+1</f>
        <v>34</v>
      </c>
      <c r="E329" t="s">
        <v>9</v>
      </c>
      <c r="F329" t="s">
        <v>17</v>
      </c>
      <c r="G329" s="1" t="str">
        <f>_xlfn.CONCAT(LEFT(A329,1),LEFT(B329,1),LEFT(C329,1),"0",D329,E329)</f>
        <v>tos034domingo</v>
      </c>
      <c r="H329" t="s">
        <v>15</v>
      </c>
      <c r="I329">
        <f t="shared" si="132"/>
        <v>11</v>
      </c>
      <c r="J329">
        <f t="shared" si="133"/>
        <v>23</v>
      </c>
      <c r="K329" t="s">
        <v>27</v>
      </c>
      <c r="L329" t="str">
        <f t="shared" si="112"/>
        <v>Noviembre</v>
      </c>
      <c r="M329" t="s">
        <v>28</v>
      </c>
      <c r="N329" t="str">
        <f t="shared" si="113"/>
        <v>{ nombre: "Tiempo Ordinario, Semana 34 Domingo", archivo: "/salterios/src/evan/audios/tos034domingo.mp3", fecha: `${year}-011-23` },</v>
      </c>
    </row>
    <row r="330" spans="1:14" x14ac:dyDescent="0.25">
      <c r="A330" t="s">
        <v>0</v>
      </c>
      <c r="B330" t="str">
        <f t="shared" si="121"/>
        <v>ordinario</v>
      </c>
      <c r="C330" t="s">
        <v>2</v>
      </c>
      <c r="D330" s="2">
        <f>D329</f>
        <v>34</v>
      </c>
      <c r="E330" t="s">
        <v>3</v>
      </c>
      <c r="F330" t="s">
        <v>17</v>
      </c>
      <c r="G330" s="1" t="str">
        <f t="shared" ref="G330:G335" si="136">_xlfn.CONCAT(LEFT(A330,1),LEFT(B330,1),LEFT(C330,1),"0",D330,E330)</f>
        <v>tos034lunes</v>
      </c>
      <c r="H330" t="s">
        <v>15</v>
      </c>
      <c r="I330">
        <f t="shared" si="132"/>
        <v>11</v>
      </c>
      <c r="J330">
        <f t="shared" si="133"/>
        <v>24</v>
      </c>
      <c r="K330" t="s">
        <v>27</v>
      </c>
      <c r="L330" t="str">
        <f t="shared" si="112"/>
        <v>Noviembre</v>
      </c>
      <c r="M330" t="s">
        <v>28</v>
      </c>
      <c r="N330" t="str">
        <f t="shared" si="113"/>
        <v>{ nombre: "Tiempo Ordinario, Semana 34 Lunes", archivo: "/salterios/src/evan/audios/tos034lunes.mp3", fecha: `${year}-011-24` },</v>
      </c>
    </row>
    <row r="331" spans="1:14" x14ac:dyDescent="0.25">
      <c r="A331" t="s">
        <v>0</v>
      </c>
      <c r="B331" t="str">
        <f t="shared" si="121"/>
        <v>ordinario</v>
      </c>
      <c r="C331" t="s">
        <v>2</v>
      </c>
      <c r="D331" s="2">
        <f t="shared" ref="D331:D335" si="137">D330</f>
        <v>34</v>
      </c>
      <c r="E331" t="s">
        <v>4</v>
      </c>
      <c r="F331" t="s">
        <v>17</v>
      </c>
      <c r="G331" s="1" t="str">
        <f t="shared" si="136"/>
        <v>tos034martes</v>
      </c>
      <c r="H331" t="s">
        <v>15</v>
      </c>
      <c r="I331">
        <f t="shared" si="132"/>
        <v>11</v>
      </c>
      <c r="J331">
        <f t="shared" si="133"/>
        <v>25</v>
      </c>
      <c r="K331" t="s">
        <v>27</v>
      </c>
      <c r="L331" t="str">
        <f t="shared" si="112"/>
        <v>Noviembre</v>
      </c>
      <c r="M331" t="s">
        <v>28</v>
      </c>
      <c r="N331" t="str">
        <f t="shared" si="113"/>
        <v>{ nombre: "Tiempo Ordinario, Semana 34 Martes", archivo: "/salterios/src/evan/audios/tos034martes.mp3", fecha: `${year}-011-25` },</v>
      </c>
    </row>
    <row r="332" spans="1:14" x14ac:dyDescent="0.25">
      <c r="A332" t="s">
        <v>0</v>
      </c>
      <c r="B332" t="str">
        <f t="shared" si="121"/>
        <v>ordinario</v>
      </c>
      <c r="C332" t="s">
        <v>2</v>
      </c>
      <c r="D332" s="2">
        <f t="shared" si="137"/>
        <v>34</v>
      </c>
      <c r="E332" t="s">
        <v>5</v>
      </c>
      <c r="F332" t="s">
        <v>17</v>
      </c>
      <c r="G332" s="1" t="str">
        <f t="shared" si="136"/>
        <v>tos034miercoles</v>
      </c>
      <c r="H332" t="s">
        <v>15</v>
      </c>
      <c r="I332">
        <f t="shared" si="132"/>
        <v>11</v>
      </c>
      <c r="J332">
        <f t="shared" si="133"/>
        <v>26</v>
      </c>
      <c r="K332" t="s">
        <v>27</v>
      </c>
      <c r="L332" t="str">
        <f t="shared" si="112"/>
        <v>Noviembre</v>
      </c>
      <c r="M332" t="s">
        <v>28</v>
      </c>
      <c r="N332" t="str">
        <f t="shared" si="113"/>
        <v>{ nombre: "Tiempo Ordinario, Semana 34 Miercoles", archivo: "/salterios/src/evan/audios/tos034miercoles.mp3", fecha: `${year}-011-26` },</v>
      </c>
    </row>
    <row r="333" spans="1:14" x14ac:dyDescent="0.25">
      <c r="A333" t="s">
        <v>0</v>
      </c>
      <c r="B333" t="str">
        <f t="shared" si="121"/>
        <v>ordinario</v>
      </c>
      <c r="C333" t="s">
        <v>2</v>
      </c>
      <c r="D333" s="2">
        <f t="shared" si="137"/>
        <v>34</v>
      </c>
      <c r="E333" t="s">
        <v>6</v>
      </c>
      <c r="F333" t="s">
        <v>17</v>
      </c>
      <c r="G333" s="1" t="str">
        <f t="shared" si="136"/>
        <v>tos034jueves</v>
      </c>
      <c r="H333" t="s">
        <v>15</v>
      </c>
      <c r="I333">
        <f t="shared" si="132"/>
        <v>11</v>
      </c>
      <c r="J333">
        <f t="shared" si="133"/>
        <v>27</v>
      </c>
      <c r="K333" t="s">
        <v>27</v>
      </c>
      <c r="L333" t="str">
        <f t="shared" si="112"/>
        <v>Noviembre</v>
      </c>
      <c r="M333" t="s">
        <v>28</v>
      </c>
      <c r="N333" t="str">
        <f t="shared" si="113"/>
        <v>{ nombre: "Tiempo Ordinario, Semana 34 Jueves", archivo: "/salterios/src/evan/audios/tos034jueves.mp3", fecha: `${year}-011-27` },</v>
      </c>
    </row>
    <row r="334" spans="1:14" x14ac:dyDescent="0.25">
      <c r="A334" t="s">
        <v>0</v>
      </c>
      <c r="B334" t="str">
        <f t="shared" si="121"/>
        <v>ordinario</v>
      </c>
      <c r="C334" t="s">
        <v>2</v>
      </c>
      <c r="D334" s="2">
        <f t="shared" si="137"/>
        <v>34</v>
      </c>
      <c r="E334" t="s">
        <v>7</v>
      </c>
      <c r="F334" t="s">
        <v>17</v>
      </c>
      <c r="G334" s="1" t="str">
        <f t="shared" si="136"/>
        <v>tos034viernes</v>
      </c>
      <c r="H334" t="s">
        <v>15</v>
      </c>
      <c r="I334">
        <f t="shared" si="132"/>
        <v>11</v>
      </c>
      <c r="J334">
        <f t="shared" si="133"/>
        <v>28</v>
      </c>
      <c r="K334" t="s">
        <v>27</v>
      </c>
      <c r="L334" t="str">
        <f t="shared" ref="L334:L367" si="138">IF(I334=1,"Enero",
IF(I334=2,"Febrero",
IF(I334=3,"Marzo",
IF(I334=4,"Abril",
IF(I334=5,"Mayo",
IF(I334=6,"Junio",
IF(I334=7,"Julio",
IF(I334=8,"Agosto",
IF(I334=9,"Septiembre",
IF(I334=10,"Octubre",
IF(I334=11,"Noviembre",
IF(I334=12,"Diciembre",""))))))))))))</f>
        <v>Noviembre</v>
      </c>
      <c r="M334" t="s">
        <v>28</v>
      </c>
      <c r="N334" t="str">
        <f t="shared" si="113"/>
        <v>{ nombre: "Tiempo Ordinario, Semana 34 Viernes", archivo: "/salterios/src/evan/audios/tos034viernes.mp3", fecha: `${year}-011-28` },</v>
      </c>
    </row>
    <row r="335" spans="1:14" x14ac:dyDescent="0.25">
      <c r="A335" t="s">
        <v>0</v>
      </c>
      <c r="B335" t="str">
        <f t="shared" si="121"/>
        <v>ordinario</v>
      </c>
      <c r="C335" t="s">
        <v>2</v>
      </c>
      <c r="D335" s="2">
        <f t="shared" si="137"/>
        <v>34</v>
      </c>
      <c r="E335" t="s">
        <v>8</v>
      </c>
      <c r="F335" t="s">
        <v>17</v>
      </c>
      <c r="G335" s="1" t="str">
        <f t="shared" si="136"/>
        <v>tos034sabado</v>
      </c>
      <c r="H335" t="s">
        <v>15</v>
      </c>
      <c r="I335">
        <f t="shared" si="132"/>
        <v>11</v>
      </c>
      <c r="J335">
        <f t="shared" si="133"/>
        <v>29</v>
      </c>
      <c r="K335" t="s">
        <v>27</v>
      </c>
      <c r="L335" t="str">
        <f t="shared" si="138"/>
        <v>Noviembre</v>
      </c>
      <c r="M335" t="s">
        <v>28</v>
      </c>
      <c r="N335" t="str">
        <f t="shared" si="113"/>
        <v>{ nombre: "Tiempo Ordinario, Semana 34 Sabado", archivo: "/salterios/src/evan/audios/tos034sabado.mp3", fecha: `${year}-011-29` },</v>
      </c>
    </row>
    <row r="336" spans="1:14" x14ac:dyDescent="0.25">
      <c r="A336" t="s">
        <v>0</v>
      </c>
      <c r="B336" t="s">
        <v>10</v>
      </c>
      <c r="C336" t="s">
        <v>2</v>
      </c>
      <c r="D336" s="2">
        <v>1</v>
      </c>
      <c r="E336" t="s">
        <v>9</v>
      </c>
      <c r="F336" t="s">
        <v>17</v>
      </c>
      <c r="G336" s="1" t="str">
        <f>_xlfn.CONCAT(LEFT(A336,1),LEFT(B336,1),LEFT(C336,1),"0",D336,E336)</f>
        <v>tas01domingo</v>
      </c>
      <c r="H336" t="s">
        <v>15</v>
      </c>
      <c r="I336">
        <f t="shared" si="132"/>
        <v>11</v>
      </c>
      <c r="J336">
        <f t="shared" si="133"/>
        <v>30</v>
      </c>
      <c r="K336" t="s">
        <v>27</v>
      </c>
      <c r="L336" t="str">
        <f t="shared" si="138"/>
        <v>Noviembre</v>
      </c>
      <c r="M336" t="s">
        <v>28</v>
      </c>
      <c r="N336" t="str">
        <f t="shared" ref="N336:N367" si="139">_xlfn.CONCAT("{ nombre: ",H336,PROPER(A336)," ",PROPER(B336),", ",PROPER(C336)," ",D336," ",PROPER(E336),""",",F336,G336,".mp3",H336,", fecha: `${year}-",0,I336,"-",J336,"` },")</f>
        <v>{ nombre: "Tiempo Adviento, Semana 1 Domingo", archivo: "/salterios/src/evan/audios/tas01domingo.mp3", fecha: `${year}-011-30` },</v>
      </c>
    </row>
    <row r="337" spans="1:14" x14ac:dyDescent="0.25">
      <c r="A337" t="s">
        <v>0</v>
      </c>
      <c r="B337" t="str">
        <f t="shared" ref="B337:B359" si="140">B336</f>
        <v>adviento</v>
      </c>
      <c r="C337" t="s">
        <v>2</v>
      </c>
      <c r="D337" s="2">
        <f>D336</f>
        <v>1</v>
      </c>
      <c r="E337" t="s">
        <v>3</v>
      </c>
      <c r="F337" t="s">
        <v>17</v>
      </c>
      <c r="G337" s="1" t="str">
        <f t="shared" ref="G337:G342" si="141">_xlfn.CONCAT(LEFT(A337,1),LEFT(B337,1),LEFT(C337,1),"0",D337,E337)</f>
        <v>tas01lunes</v>
      </c>
      <c r="H337" t="s">
        <v>15</v>
      </c>
      <c r="I337">
        <v>12</v>
      </c>
      <c r="J337">
        <v>1</v>
      </c>
      <c r="K337" t="s">
        <v>27</v>
      </c>
      <c r="L337" t="str">
        <f t="shared" si="138"/>
        <v>Diciembre</v>
      </c>
      <c r="M337" t="s">
        <v>28</v>
      </c>
      <c r="N337" t="str">
        <f t="shared" si="139"/>
        <v>{ nombre: "Tiempo Adviento, Semana 1 Lunes", archivo: "/salterios/src/evan/audios/tas01lunes.mp3", fecha: `${year}-012-1` },</v>
      </c>
    </row>
    <row r="338" spans="1:14" x14ac:dyDescent="0.25">
      <c r="A338" t="s">
        <v>0</v>
      </c>
      <c r="B338" t="str">
        <f t="shared" si="140"/>
        <v>adviento</v>
      </c>
      <c r="C338" t="s">
        <v>2</v>
      </c>
      <c r="D338" s="2">
        <f t="shared" ref="D338:D342" si="142">D337</f>
        <v>1</v>
      </c>
      <c r="E338" t="s">
        <v>4</v>
      </c>
      <c r="F338" t="s">
        <v>17</v>
      </c>
      <c r="G338" s="1" t="str">
        <f t="shared" si="141"/>
        <v>tas01martes</v>
      </c>
      <c r="H338" t="s">
        <v>15</v>
      </c>
      <c r="I338">
        <f t="shared" si="132"/>
        <v>12</v>
      </c>
      <c r="J338">
        <f t="shared" si="133"/>
        <v>2</v>
      </c>
      <c r="K338" t="s">
        <v>27</v>
      </c>
      <c r="L338" t="str">
        <f t="shared" si="138"/>
        <v>Diciembre</v>
      </c>
      <c r="M338" t="s">
        <v>28</v>
      </c>
      <c r="N338" t="str">
        <f t="shared" si="139"/>
        <v>{ nombre: "Tiempo Adviento, Semana 1 Martes", archivo: "/salterios/src/evan/audios/tas01martes.mp3", fecha: `${year}-012-2` },</v>
      </c>
    </row>
    <row r="339" spans="1:14" x14ac:dyDescent="0.25">
      <c r="A339" t="s">
        <v>0</v>
      </c>
      <c r="B339" t="str">
        <f t="shared" si="140"/>
        <v>adviento</v>
      </c>
      <c r="C339" t="s">
        <v>2</v>
      </c>
      <c r="D339" s="2">
        <f t="shared" si="142"/>
        <v>1</v>
      </c>
      <c r="E339" t="s">
        <v>5</v>
      </c>
      <c r="F339" t="s">
        <v>17</v>
      </c>
      <c r="G339" s="1" t="str">
        <f t="shared" si="141"/>
        <v>tas01miercoles</v>
      </c>
      <c r="H339" t="s">
        <v>15</v>
      </c>
      <c r="I339">
        <f t="shared" si="132"/>
        <v>12</v>
      </c>
      <c r="J339">
        <f t="shared" si="133"/>
        <v>3</v>
      </c>
      <c r="K339" t="s">
        <v>27</v>
      </c>
      <c r="L339" t="str">
        <f t="shared" si="138"/>
        <v>Diciembre</v>
      </c>
      <c r="M339" t="s">
        <v>28</v>
      </c>
      <c r="N339" t="str">
        <f t="shared" si="139"/>
        <v>{ nombre: "Tiempo Adviento, Semana 1 Miercoles", archivo: "/salterios/src/evan/audios/tas01miercoles.mp3", fecha: `${year}-012-3` },</v>
      </c>
    </row>
    <row r="340" spans="1:14" x14ac:dyDescent="0.25">
      <c r="A340" t="s">
        <v>0</v>
      </c>
      <c r="B340" t="str">
        <f t="shared" si="140"/>
        <v>adviento</v>
      </c>
      <c r="C340" t="s">
        <v>2</v>
      </c>
      <c r="D340" s="2">
        <f t="shared" si="142"/>
        <v>1</v>
      </c>
      <c r="E340" t="s">
        <v>6</v>
      </c>
      <c r="F340" t="s">
        <v>17</v>
      </c>
      <c r="G340" s="1" t="str">
        <f t="shared" si="141"/>
        <v>tas01jueves</v>
      </c>
      <c r="H340" t="s">
        <v>15</v>
      </c>
      <c r="I340">
        <f t="shared" si="132"/>
        <v>12</v>
      </c>
      <c r="J340">
        <f t="shared" si="133"/>
        <v>4</v>
      </c>
      <c r="K340" t="s">
        <v>27</v>
      </c>
      <c r="L340" t="str">
        <f t="shared" si="138"/>
        <v>Diciembre</v>
      </c>
      <c r="M340" t="s">
        <v>28</v>
      </c>
      <c r="N340" t="str">
        <f t="shared" si="139"/>
        <v>{ nombre: "Tiempo Adviento, Semana 1 Jueves", archivo: "/salterios/src/evan/audios/tas01jueves.mp3", fecha: `${year}-012-4` },</v>
      </c>
    </row>
    <row r="341" spans="1:14" x14ac:dyDescent="0.25">
      <c r="A341" t="s">
        <v>0</v>
      </c>
      <c r="B341" t="str">
        <f t="shared" si="140"/>
        <v>adviento</v>
      </c>
      <c r="C341" t="s">
        <v>2</v>
      </c>
      <c r="D341" s="2">
        <f t="shared" si="142"/>
        <v>1</v>
      </c>
      <c r="E341" t="s">
        <v>7</v>
      </c>
      <c r="F341" t="s">
        <v>17</v>
      </c>
      <c r="G341" s="1" t="str">
        <f t="shared" si="141"/>
        <v>tas01viernes</v>
      </c>
      <c r="H341" t="s">
        <v>15</v>
      </c>
      <c r="I341">
        <f t="shared" si="132"/>
        <v>12</v>
      </c>
      <c r="J341">
        <f t="shared" si="133"/>
        <v>5</v>
      </c>
      <c r="K341" t="s">
        <v>27</v>
      </c>
      <c r="L341" t="str">
        <f t="shared" si="138"/>
        <v>Diciembre</v>
      </c>
      <c r="M341" t="s">
        <v>28</v>
      </c>
      <c r="N341" t="str">
        <f t="shared" si="139"/>
        <v>{ nombre: "Tiempo Adviento, Semana 1 Viernes", archivo: "/salterios/src/evan/audios/tas01viernes.mp3", fecha: `${year}-012-5` },</v>
      </c>
    </row>
    <row r="342" spans="1:14" x14ac:dyDescent="0.25">
      <c r="A342" t="s">
        <v>0</v>
      </c>
      <c r="B342" t="str">
        <f t="shared" si="140"/>
        <v>adviento</v>
      </c>
      <c r="C342" t="s">
        <v>2</v>
      </c>
      <c r="D342" s="2">
        <f t="shared" si="142"/>
        <v>1</v>
      </c>
      <c r="E342" t="s">
        <v>8</v>
      </c>
      <c r="F342" t="s">
        <v>17</v>
      </c>
      <c r="G342" s="1" t="str">
        <f t="shared" si="141"/>
        <v>tas01sabado</v>
      </c>
      <c r="H342" t="s">
        <v>15</v>
      </c>
      <c r="I342">
        <f t="shared" si="132"/>
        <v>12</v>
      </c>
      <c r="J342">
        <f t="shared" si="133"/>
        <v>6</v>
      </c>
      <c r="K342" t="s">
        <v>27</v>
      </c>
      <c r="L342" t="str">
        <f t="shared" si="138"/>
        <v>Diciembre</v>
      </c>
      <c r="M342" t="s">
        <v>28</v>
      </c>
      <c r="N342" t="str">
        <f t="shared" si="139"/>
        <v>{ nombre: "Tiempo Adviento, Semana 1 Sabado", archivo: "/salterios/src/evan/audios/tas01sabado.mp3", fecha: `${year}-012-6` },</v>
      </c>
    </row>
    <row r="343" spans="1:14" x14ac:dyDescent="0.25">
      <c r="A343" t="s">
        <v>0</v>
      </c>
      <c r="B343" t="str">
        <f t="shared" si="140"/>
        <v>adviento</v>
      </c>
      <c r="C343" t="s">
        <v>2</v>
      </c>
      <c r="D343" s="2">
        <f>+D342+1</f>
        <v>2</v>
      </c>
      <c r="E343" t="s">
        <v>9</v>
      </c>
      <c r="F343" t="s">
        <v>17</v>
      </c>
      <c r="G343" s="1" t="str">
        <f>_xlfn.CONCAT(LEFT(A343,1),LEFT(B343,1),LEFT(C343,1),"0",D343,E343)</f>
        <v>tas02domingo</v>
      </c>
      <c r="H343" t="s">
        <v>15</v>
      </c>
      <c r="I343">
        <f t="shared" ref="I343:I367" si="143">I342</f>
        <v>12</v>
      </c>
      <c r="J343">
        <f t="shared" ref="J343:J367" si="144">+J342+1</f>
        <v>7</v>
      </c>
      <c r="K343" t="s">
        <v>27</v>
      </c>
      <c r="L343" t="str">
        <f t="shared" si="138"/>
        <v>Diciembre</v>
      </c>
      <c r="M343" t="s">
        <v>28</v>
      </c>
      <c r="N343" t="str">
        <f t="shared" si="139"/>
        <v>{ nombre: "Tiempo Adviento, Semana 2 Domingo", archivo: "/salterios/src/evan/audios/tas02domingo.mp3", fecha: `${year}-012-7` },</v>
      </c>
    </row>
    <row r="344" spans="1:14" x14ac:dyDescent="0.25">
      <c r="A344" t="s">
        <v>0</v>
      </c>
      <c r="B344" t="str">
        <f t="shared" si="140"/>
        <v>adviento</v>
      </c>
      <c r="C344" t="s">
        <v>2</v>
      </c>
      <c r="D344" s="2">
        <f>D343</f>
        <v>2</v>
      </c>
      <c r="E344" t="s">
        <v>3</v>
      </c>
      <c r="F344" t="s">
        <v>17</v>
      </c>
      <c r="G344" s="1" t="str">
        <f t="shared" ref="G344:G349" si="145">_xlfn.CONCAT(LEFT(A344,1),LEFT(B344,1),LEFT(C344,1),"0",D344,E344)</f>
        <v>tas02lunes</v>
      </c>
      <c r="H344" t="s">
        <v>15</v>
      </c>
      <c r="I344">
        <f t="shared" si="143"/>
        <v>12</v>
      </c>
      <c r="J344">
        <f t="shared" si="144"/>
        <v>8</v>
      </c>
      <c r="K344" t="s">
        <v>27</v>
      </c>
      <c r="L344" t="str">
        <f t="shared" si="138"/>
        <v>Diciembre</v>
      </c>
      <c r="M344" t="s">
        <v>28</v>
      </c>
      <c r="N344" t="str">
        <f t="shared" si="139"/>
        <v>{ nombre: "Tiempo Adviento, Semana 2 Lunes", archivo: "/salterios/src/evan/audios/tas02lunes.mp3", fecha: `${year}-012-8` },</v>
      </c>
    </row>
    <row r="345" spans="1:14" x14ac:dyDescent="0.25">
      <c r="A345" t="s">
        <v>0</v>
      </c>
      <c r="B345" t="str">
        <f t="shared" si="140"/>
        <v>adviento</v>
      </c>
      <c r="C345" t="s">
        <v>2</v>
      </c>
      <c r="D345" s="2">
        <f t="shared" ref="D345:D349" si="146">D344</f>
        <v>2</v>
      </c>
      <c r="E345" t="s">
        <v>4</v>
      </c>
      <c r="F345" t="s">
        <v>17</v>
      </c>
      <c r="G345" s="1" t="str">
        <f t="shared" si="145"/>
        <v>tas02martes</v>
      </c>
      <c r="H345" t="s">
        <v>15</v>
      </c>
      <c r="I345">
        <f t="shared" si="143"/>
        <v>12</v>
      </c>
      <c r="J345">
        <f t="shared" si="144"/>
        <v>9</v>
      </c>
      <c r="K345" t="s">
        <v>27</v>
      </c>
      <c r="L345" t="str">
        <f t="shared" si="138"/>
        <v>Diciembre</v>
      </c>
      <c r="M345" t="s">
        <v>28</v>
      </c>
      <c r="N345" t="str">
        <f t="shared" si="139"/>
        <v>{ nombre: "Tiempo Adviento, Semana 2 Martes", archivo: "/salterios/src/evan/audios/tas02martes.mp3", fecha: `${year}-012-9` },</v>
      </c>
    </row>
    <row r="346" spans="1:14" x14ac:dyDescent="0.25">
      <c r="A346" t="s">
        <v>0</v>
      </c>
      <c r="B346" t="str">
        <f t="shared" si="140"/>
        <v>adviento</v>
      </c>
      <c r="C346" t="s">
        <v>2</v>
      </c>
      <c r="D346" s="2">
        <f t="shared" si="146"/>
        <v>2</v>
      </c>
      <c r="E346" t="s">
        <v>5</v>
      </c>
      <c r="F346" t="s">
        <v>17</v>
      </c>
      <c r="G346" s="1" t="str">
        <f t="shared" si="145"/>
        <v>tas02miercoles</v>
      </c>
      <c r="H346" t="s">
        <v>15</v>
      </c>
      <c r="I346">
        <f t="shared" si="143"/>
        <v>12</v>
      </c>
      <c r="J346">
        <f t="shared" si="144"/>
        <v>10</v>
      </c>
      <c r="K346" t="s">
        <v>27</v>
      </c>
      <c r="L346" t="str">
        <f t="shared" si="138"/>
        <v>Diciembre</v>
      </c>
      <c r="M346" t="s">
        <v>28</v>
      </c>
      <c r="N346" t="str">
        <f t="shared" si="139"/>
        <v>{ nombre: "Tiempo Adviento, Semana 2 Miercoles", archivo: "/salterios/src/evan/audios/tas02miercoles.mp3", fecha: `${year}-012-10` },</v>
      </c>
    </row>
    <row r="347" spans="1:14" x14ac:dyDescent="0.25">
      <c r="A347" t="s">
        <v>0</v>
      </c>
      <c r="B347" t="str">
        <f t="shared" si="140"/>
        <v>adviento</v>
      </c>
      <c r="C347" t="s">
        <v>2</v>
      </c>
      <c r="D347" s="2">
        <f t="shared" si="146"/>
        <v>2</v>
      </c>
      <c r="E347" t="s">
        <v>6</v>
      </c>
      <c r="F347" t="s">
        <v>17</v>
      </c>
      <c r="G347" s="1" t="str">
        <f t="shared" si="145"/>
        <v>tas02jueves</v>
      </c>
      <c r="H347" t="s">
        <v>15</v>
      </c>
      <c r="I347">
        <f t="shared" si="143"/>
        <v>12</v>
      </c>
      <c r="J347">
        <f t="shared" si="144"/>
        <v>11</v>
      </c>
      <c r="K347" t="s">
        <v>27</v>
      </c>
      <c r="L347" t="str">
        <f t="shared" si="138"/>
        <v>Diciembre</v>
      </c>
      <c r="M347" t="s">
        <v>28</v>
      </c>
      <c r="N347" t="str">
        <f t="shared" si="139"/>
        <v>{ nombre: "Tiempo Adviento, Semana 2 Jueves", archivo: "/salterios/src/evan/audios/tas02jueves.mp3", fecha: `${year}-012-11` },</v>
      </c>
    </row>
    <row r="348" spans="1:14" x14ac:dyDescent="0.25">
      <c r="A348" t="s">
        <v>0</v>
      </c>
      <c r="B348" t="str">
        <f t="shared" si="140"/>
        <v>adviento</v>
      </c>
      <c r="C348" t="s">
        <v>2</v>
      </c>
      <c r="D348" s="2">
        <f t="shared" si="146"/>
        <v>2</v>
      </c>
      <c r="E348" t="s">
        <v>7</v>
      </c>
      <c r="F348" t="s">
        <v>17</v>
      </c>
      <c r="G348" s="1" t="str">
        <f t="shared" si="145"/>
        <v>tas02viernes</v>
      </c>
      <c r="H348" t="s">
        <v>15</v>
      </c>
      <c r="I348">
        <f t="shared" si="143"/>
        <v>12</v>
      </c>
      <c r="J348">
        <f t="shared" si="144"/>
        <v>12</v>
      </c>
      <c r="K348" t="s">
        <v>27</v>
      </c>
      <c r="L348" t="str">
        <f t="shared" si="138"/>
        <v>Diciembre</v>
      </c>
      <c r="M348" t="s">
        <v>28</v>
      </c>
      <c r="N348" t="str">
        <f t="shared" si="139"/>
        <v>{ nombre: "Tiempo Adviento, Semana 2 Viernes", archivo: "/salterios/src/evan/audios/tas02viernes.mp3", fecha: `${year}-012-12` },</v>
      </c>
    </row>
    <row r="349" spans="1:14" x14ac:dyDescent="0.25">
      <c r="A349" t="s">
        <v>0</v>
      </c>
      <c r="B349" t="str">
        <f t="shared" si="140"/>
        <v>adviento</v>
      </c>
      <c r="C349" t="s">
        <v>2</v>
      </c>
      <c r="D349" s="2">
        <f t="shared" si="146"/>
        <v>2</v>
      </c>
      <c r="E349" t="s">
        <v>8</v>
      </c>
      <c r="F349" t="s">
        <v>17</v>
      </c>
      <c r="G349" s="1" t="str">
        <f t="shared" si="145"/>
        <v>tas02sabado</v>
      </c>
      <c r="H349" t="s">
        <v>15</v>
      </c>
      <c r="I349">
        <f t="shared" si="143"/>
        <v>12</v>
      </c>
      <c r="J349">
        <f t="shared" si="144"/>
        <v>13</v>
      </c>
      <c r="K349" t="s">
        <v>27</v>
      </c>
      <c r="L349" t="str">
        <f t="shared" si="138"/>
        <v>Diciembre</v>
      </c>
      <c r="M349" t="s">
        <v>28</v>
      </c>
      <c r="N349" t="str">
        <f t="shared" si="139"/>
        <v>{ nombre: "Tiempo Adviento, Semana 2 Sabado", archivo: "/salterios/src/evan/audios/tas02sabado.mp3", fecha: `${year}-012-13` },</v>
      </c>
    </row>
    <row r="350" spans="1:14" x14ac:dyDescent="0.25">
      <c r="A350" t="s">
        <v>0</v>
      </c>
      <c r="B350" t="str">
        <f t="shared" si="140"/>
        <v>adviento</v>
      </c>
      <c r="C350" t="s">
        <v>2</v>
      </c>
      <c r="D350" s="2">
        <f>+D349+1</f>
        <v>3</v>
      </c>
      <c r="E350" t="s">
        <v>9</v>
      </c>
      <c r="F350" t="s">
        <v>17</v>
      </c>
      <c r="G350" s="1" t="str">
        <f>_xlfn.CONCAT(LEFT(A350,1),LEFT(B350,1),LEFT(C350,1),"0",D350,E350)</f>
        <v>tas03domingo</v>
      </c>
      <c r="H350" t="s">
        <v>15</v>
      </c>
      <c r="I350">
        <f t="shared" si="143"/>
        <v>12</v>
      </c>
      <c r="J350">
        <f t="shared" si="144"/>
        <v>14</v>
      </c>
      <c r="K350" t="s">
        <v>27</v>
      </c>
      <c r="L350" t="str">
        <f t="shared" si="138"/>
        <v>Diciembre</v>
      </c>
      <c r="M350" t="s">
        <v>28</v>
      </c>
      <c r="N350" t="str">
        <f t="shared" si="139"/>
        <v>{ nombre: "Tiempo Adviento, Semana 3 Domingo", archivo: "/salterios/src/evan/audios/tas03domingo.mp3", fecha: `${year}-012-14` },</v>
      </c>
    </row>
    <row r="351" spans="1:14" x14ac:dyDescent="0.25">
      <c r="A351" t="s">
        <v>0</v>
      </c>
      <c r="B351" t="str">
        <f t="shared" si="140"/>
        <v>adviento</v>
      </c>
      <c r="C351" t="s">
        <v>2</v>
      </c>
      <c r="D351" s="2">
        <f>D350</f>
        <v>3</v>
      </c>
      <c r="E351" t="s">
        <v>3</v>
      </c>
      <c r="F351" t="s">
        <v>17</v>
      </c>
      <c r="G351" s="1" t="str">
        <f t="shared" ref="G351:G356" si="147">_xlfn.CONCAT(LEFT(A351,1),LEFT(B351,1),LEFT(C351,1),"0",D351,E351)</f>
        <v>tas03lunes</v>
      </c>
      <c r="H351" t="s">
        <v>15</v>
      </c>
      <c r="I351">
        <f t="shared" si="143"/>
        <v>12</v>
      </c>
      <c r="J351">
        <f t="shared" si="144"/>
        <v>15</v>
      </c>
      <c r="K351" t="s">
        <v>27</v>
      </c>
      <c r="L351" t="str">
        <f t="shared" si="138"/>
        <v>Diciembre</v>
      </c>
      <c r="M351" t="s">
        <v>28</v>
      </c>
      <c r="N351" t="str">
        <f t="shared" si="139"/>
        <v>{ nombre: "Tiempo Adviento, Semana 3 Lunes", archivo: "/salterios/src/evan/audios/tas03lunes.mp3", fecha: `${year}-012-15` },</v>
      </c>
    </row>
    <row r="352" spans="1:14" x14ac:dyDescent="0.25">
      <c r="A352" t="s">
        <v>0</v>
      </c>
      <c r="B352" t="str">
        <f t="shared" si="140"/>
        <v>adviento</v>
      </c>
      <c r="C352" t="s">
        <v>2</v>
      </c>
      <c r="D352" s="2">
        <f t="shared" ref="D352:D356" si="148">D351</f>
        <v>3</v>
      </c>
      <c r="E352" t="s">
        <v>4</v>
      </c>
      <c r="F352" t="s">
        <v>17</v>
      </c>
      <c r="G352" s="1" t="str">
        <f t="shared" si="147"/>
        <v>tas03martes</v>
      </c>
      <c r="H352" t="s">
        <v>15</v>
      </c>
      <c r="I352">
        <f t="shared" si="143"/>
        <v>12</v>
      </c>
      <c r="J352">
        <f t="shared" si="144"/>
        <v>16</v>
      </c>
      <c r="K352" t="s">
        <v>27</v>
      </c>
      <c r="L352" t="str">
        <f t="shared" si="138"/>
        <v>Diciembre</v>
      </c>
      <c r="M352" t="s">
        <v>28</v>
      </c>
      <c r="N352" t="str">
        <f t="shared" si="139"/>
        <v>{ nombre: "Tiempo Adviento, Semana 3 Martes", archivo: "/salterios/src/evan/audios/tas03martes.mp3", fecha: `${year}-012-16` },</v>
      </c>
    </row>
    <row r="353" spans="1:14" x14ac:dyDescent="0.25">
      <c r="A353" t="s">
        <v>0</v>
      </c>
      <c r="B353" t="str">
        <f t="shared" si="140"/>
        <v>adviento</v>
      </c>
      <c r="C353" t="s">
        <v>2</v>
      </c>
      <c r="D353" s="2">
        <f t="shared" si="148"/>
        <v>3</v>
      </c>
      <c r="E353" t="s">
        <v>5</v>
      </c>
      <c r="F353" t="s">
        <v>17</v>
      </c>
      <c r="G353" s="1" t="str">
        <f t="shared" si="147"/>
        <v>tas03miercoles</v>
      </c>
      <c r="H353" t="s">
        <v>15</v>
      </c>
      <c r="I353">
        <f t="shared" si="143"/>
        <v>12</v>
      </c>
      <c r="J353">
        <f t="shared" si="144"/>
        <v>17</v>
      </c>
      <c r="K353" t="s">
        <v>27</v>
      </c>
      <c r="L353" t="str">
        <f t="shared" si="138"/>
        <v>Diciembre</v>
      </c>
      <c r="M353" t="s">
        <v>28</v>
      </c>
      <c r="N353" t="str">
        <f t="shared" si="139"/>
        <v>{ nombre: "Tiempo Adviento, Semana 3 Miercoles", archivo: "/salterios/src/evan/audios/tas03miercoles.mp3", fecha: `${year}-012-17` },</v>
      </c>
    </row>
    <row r="354" spans="1:14" x14ac:dyDescent="0.25">
      <c r="A354" t="s">
        <v>0</v>
      </c>
      <c r="B354" t="str">
        <f t="shared" si="140"/>
        <v>adviento</v>
      </c>
      <c r="C354" t="s">
        <v>2</v>
      </c>
      <c r="D354" s="2">
        <f t="shared" si="148"/>
        <v>3</v>
      </c>
      <c r="E354" t="s">
        <v>6</v>
      </c>
      <c r="F354" t="s">
        <v>17</v>
      </c>
      <c r="G354" s="1" t="str">
        <f t="shared" si="147"/>
        <v>tas03jueves</v>
      </c>
      <c r="H354" t="s">
        <v>15</v>
      </c>
      <c r="I354">
        <f t="shared" si="143"/>
        <v>12</v>
      </c>
      <c r="J354">
        <f t="shared" si="144"/>
        <v>18</v>
      </c>
      <c r="K354" t="s">
        <v>27</v>
      </c>
      <c r="L354" t="str">
        <f t="shared" si="138"/>
        <v>Diciembre</v>
      </c>
      <c r="M354" t="s">
        <v>28</v>
      </c>
      <c r="N354" t="str">
        <f t="shared" si="139"/>
        <v>{ nombre: "Tiempo Adviento, Semana 3 Jueves", archivo: "/salterios/src/evan/audios/tas03jueves.mp3", fecha: `${year}-012-18` },</v>
      </c>
    </row>
    <row r="355" spans="1:14" x14ac:dyDescent="0.25">
      <c r="A355" t="s">
        <v>0</v>
      </c>
      <c r="B355" t="str">
        <f t="shared" si="140"/>
        <v>adviento</v>
      </c>
      <c r="C355" t="s">
        <v>2</v>
      </c>
      <c r="D355" s="2">
        <f t="shared" si="148"/>
        <v>3</v>
      </c>
      <c r="E355" t="s">
        <v>7</v>
      </c>
      <c r="F355" t="s">
        <v>17</v>
      </c>
      <c r="G355" s="1" t="str">
        <f t="shared" si="147"/>
        <v>tas03viernes</v>
      </c>
      <c r="H355" t="s">
        <v>15</v>
      </c>
      <c r="I355">
        <f t="shared" si="143"/>
        <v>12</v>
      </c>
      <c r="J355">
        <f t="shared" si="144"/>
        <v>19</v>
      </c>
      <c r="K355" t="s">
        <v>27</v>
      </c>
      <c r="L355" t="str">
        <f t="shared" si="138"/>
        <v>Diciembre</v>
      </c>
      <c r="M355" t="s">
        <v>28</v>
      </c>
      <c r="N355" t="str">
        <f t="shared" si="139"/>
        <v>{ nombre: "Tiempo Adviento, Semana 3 Viernes", archivo: "/salterios/src/evan/audios/tas03viernes.mp3", fecha: `${year}-012-19` },</v>
      </c>
    </row>
    <row r="356" spans="1:14" x14ac:dyDescent="0.25">
      <c r="A356" t="s">
        <v>0</v>
      </c>
      <c r="B356" t="str">
        <f t="shared" si="140"/>
        <v>adviento</v>
      </c>
      <c r="C356" t="s">
        <v>2</v>
      </c>
      <c r="D356" s="2">
        <f t="shared" si="148"/>
        <v>3</v>
      </c>
      <c r="E356" t="s">
        <v>8</v>
      </c>
      <c r="F356" t="s">
        <v>17</v>
      </c>
      <c r="G356" s="1" t="str">
        <f t="shared" si="147"/>
        <v>tas03sabado</v>
      </c>
      <c r="H356" t="s">
        <v>15</v>
      </c>
      <c r="I356">
        <f t="shared" si="143"/>
        <v>12</v>
      </c>
      <c r="J356">
        <f t="shared" si="144"/>
        <v>20</v>
      </c>
      <c r="K356" t="s">
        <v>27</v>
      </c>
      <c r="L356" t="str">
        <f t="shared" si="138"/>
        <v>Diciembre</v>
      </c>
      <c r="M356" t="s">
        <v>28</v>
      </c>
      <c r="N356" t="str">
        <f t="shared" si="139"/>
        <v>{ nombre: "Tiempo Adviento, Semana 3 Sabado", archivo: "/salterios/src/evan/audios/tas03sabado.mp3", fecha: `${year}-012-20` },</v>
      </c>
    </row>
    <row r="357" spans="1:14" x14ac:dyDescent="0.25">
      <c r="A357" t="s">
        <v>0</v>
      </c>
      <c r="B357" t="str">
        <f t="shared" si="140"/>
        <v>adviento</v>
      </c>
      <c r="C357" t="s">
        <v>2</v>
      </c>
      <c r="D357" s="2">
        <f>+D356+1</f>
        <v>4</v>
      </c>
      <c r="E357" t="s">
        <v>9</v>
      </c>
      <c r="F357" t="s">
        <v>17</v>
      </c>
      <c r="G357" s="1" t="str">
        <f>_xlfn.CONCAT(LEFT(A357,1),LEFT(B357,1),LEFT(C357,1),"0",D357,E357)</f>
        <v>tas04domingo</v>
      </c>
      <c r="H357" t="s">
        <v>15</v>
      </c>
      <c r="I357">
        <f t="shared" si="143"/>
        <v>12</v>
      </c>
      <c r="J357">
        <f t="shared" si="144"/>
        <v>21</v>
      </c>
      <c r="K357" t="s">
        <v>27</v>
      </c>
      <c r="L357" t="str">
        <f t="shared" si="138"/>
        <v>Diciembre</v>
      </c>
      <c r="M357" t="s">
        <v>28</v>
      </c>
      <c r="N357" t="str">
        <f t="shared" si="139"/>
        <v>{ nombre: "Tiempo Adviento, Semana 4 Domingo", archivo: "/salterios/src/evan/audios/tas04domingo.mp3", fecha: `${year}-012-21` },</v>
      </c>
    </row>
    <row r="358" spans="1:14" x14ac:dyDescent="0.25">
      <c r="A358" t="s">
        <v>0</v>
      </c>
      <c r="B358" t="str">
        <f t="shared" si="140"/>
        <v>adviento</v>
      </c>
      <c r="C358" t="s">
        <v>2</v>
      </c>
      <c r="D358" s="2">
        <f>D357</f>
        <v>4</v>
      </c>
      <c r="E358" t="s">
        <v>3</v>
      </c>
      <c r="F358" t="s">
        <v>17</v>
      </c>
      <c r="G358" s="1" t="str">
        <f t="shared" ref="G358:G363" si="149">_xlfn.CONCAT(LEFT(A358,1),LEFT(B358,1),LEFT(C358,1),"0",D358,E358)</f>
        <v>tas04lunes</v>
      </c>
      <c r="H358" t="s">
        <v>15</v>
      </c>
      <c r="I358">
        <f t="shared" si="143"/>
        <v>12</v>
      </c>
      <c r="J358">
        <f t="shared" si="144"/>
        <v>22</v>
      </c>
      <c r="K358" t="s">
        <v>27</v>
      </c>
      <c r="L358" t="str">
        <f t="shared" si="138"/>
        <v>Diciembre</v>
      </c>
      <c r="M358" t="s">
        <v>28</v>
      </c>
      <c r="N358" t="str">
        <f t="shared" si="139"/>
        <v>{ nombre: "Tiempo Adviento, Semana 4 Lunes", archivo: "/salterios/src/evan/audios/tas04lunes.mp3", fecha: `${year}-012-22` },</v>
      </c>
    </row>
    <row r="359" spans="1:14" x14ac:dyDescent="0.25">
      <c r="A359" t="s">
        <v>0</v>
      </c>
      <c r="B359" t="str">
        <f t="shared" si="140"/>
        <v>adviento</v>
      </c>
      <c r="C359" t="s">
        <v>2</v>
      </c>
      <c r="D359" s="2">
        <f t="shared" ref="D359:D363" si="150">D358</f>
        <v>4</v>
      </c>
      <c r="E359" t="s">
        <v>4</v>
      </c>
      <c r="F359" t="s">
        <v>17</v>
      </c>
      <c r="G359" s="1" t="str">
        <f t="shared" si="149"/>
        <v>tas04martes</v>
      </c>
      <c r="H359" t="s">
        <v>15</v>
      </c>
      <c r="I359">
        <f t="shared" si="143"/>
        <v>12</v>
      </c>
      <c r="J359">
        <f t="shared" si="144"/>
        <v>23</v>
      </c>
      <c r="K359" t="s">
        <v>27</v>
      </c>
      <c r="L359" t="str">
        <f t="shared" si="138"/>
        <v>Diciembre</v>
      </c>
      <c r="M359" t="s">
        <v>28</v>
      </c>
      <c r="N359" t="str">
        <f t="shared" si="139"/>
        <v>{ nombre: "Tiempo Adviento, Semana 4 Martes", archivo: "/salterios/src/evan/audios/tas04martes.mp3", fecha: `${year}-012-23` },</v>
      </c>
    </row>
    <row r="360" spans="1:14" x14ac:dyDescent="0.25">
      <c r="A360" t="s">
        <v>0</v>
      </c>
      <c r="B360" t="str">
        <f>B359</f>
        <v>adviento</v>
      </c>
      <c r="C360" t="s">
        <v>2</v>
      </c>
      <c r="D360" s="2">
        <f t="shared" si="150"/>
        <v>4</v>
      </c>
      <c r="E360" t="s">
        <v>5</v>
      </c>
      <c r="F360" t="s">
        <v>17</v>
      </c>
      <c r="G360" s="1" t="str">
        <f t="shared" si="149"/>
        <v>tas04miercoles</v>
      </c>
      <c r="H360" t="s">
        <v>15</v>
      </c>
      <c r="I360">
        <f t="shared" si="143"/>
        <v>12</v>
      </c>
      <c r="J360">
        <f t="shared" si="144"/>
        <v>24</v>
      </c>
      <c r="K360" t="s">
        <v>27</v>
      </c>
      <c r="L360" t="str">
        <f t="shared" si="138"/>
        <v>Diciembre</v>
      </c>
      <c r="M360" t="s">
        <v>28</v>
      </c>
      <c r="N360" t="str">
        <f t="shared" si="139"/>
        <v>{ nombre: "Tiempo Adviento, Semana 4 Miercoles", archivo: "/salterios/src/evan/audios/tas04miercoles.mp3", fecha: `${year}-012-24` },</v>
      </c>
    </row>
    <row r="361" spans="1:14" x14ac:dyDescent="0.25">
      <c r="A361" t="s">
        <v>0</v>
      </c>
      <c r="B361" t="s">
        <v>11</v>
      </c>
      <c r="C361" t="s">
        <v>2</v>
      </c>
      <c r="D361" s="2">
        <v>1</v>
      </c>
      <c r="E361" t="s">
        <v>6</v>
      </c>
      <c r="F361" t="s">
        <v>17</v>
      </c>
      <c r="G361" s="1" t="str">
        <f t="shared" si="149"/>
        <v>tns01jueves</v>
      </c>
      <c r="H361" t="s">
        <v>15</v>
      </c>
      <c r="I361">
        <f t="shared" si="143"/>
        <v>12</v>
      </c>
      <c r="J361">
        <f t="shared" si="144"/>
        <v>25</v>
      </c>
      <c r="K361" t="s">
        <v>27</v>
      </c>
      <c r="L361" t="str">
        <f t="shared" si="138"/>
        <v>Diciembre</v>
      </c>
      <c r="M361" t="s">
        <v>28</v>
      </c>
      <c r="N361" t="str">
        <f t="shared" si="139"/>
        <v>{ nombre: "Tiempo Navidad, Semana 1 Jueves", archivo: "/salterios/src/evan/audios/tns01jueves.mp3", fecha: `${year}-012-25` },</v>
      </c>
    </row>
    <row r="362" spans="1:14" x14ac:dyDescent="0.25">
      <c r="A362" t="s">
        <v>0</v>
      </c>
      <c r="B362" t="str">
        <f>B361</f>
        <v>navidad</v>
      </c>
      <c r="C362" t="s">
        <v>2</v>
      </c>
      <c r="D362" s="2">
        <f t="shared" si="150"/>
        <v>1</v>
      </c>
      <c r="E362" t="s">
        <v>7</v>
      </c>
      <c r="F362" t="s">
        <v>17</v>
      </c>
      <c r="G362" s="1" t="str">
        <f t="shared" si="149"/>
        <v>tns01viernes</v>
      </c>
      <c r="H362" t="s">
        <v>15</v>
      </c>
      <c r="I362">
        <f t="shared" si="143"/>
        <v>12</v>
      </c>
      <c r="J362">
        <f t="shared" si="144"/>
        <v>26</v>
      </c>
      <c r="K362" t="s">
        <v>27</v>
      </c>
      <c r="L362" t="str">
        <f t="shared" si="138"/>
        <v>Diciembre</v>
      </c>
      <c r="M362" t="s">
        <v>28</v>
      </c>
      <c r="N362" t="str">
        <f t="shared" si="139"/>
        <v>{ nombre: "Tiempo Navidad, Semana 1 Viernes", archivo: "/salterios/src/evan/audios/tns01viernes.mp3", fecha: `${year}-012-26` },</v>
      </c>
    </row>
    <row r="363" spans="1:14" x14ac:dyDescent="0.25">
      <c r="A363" t="s">
        <v>0</v>
      </c>
      <c r="B363" t="str">
        <f>B362</f>
        <v>navidad</v>
      </c>
      <c r="C363" t="s">
        <v>2</v>
      </c>
      <c r="D363" s="2">
        <f t="shared" si="150"/>
        <v>1</v>
      </c>
      <c r="E363" t="s">
        <v>8</v>
      </c>
      <c r="F363" t="s">
        <v>17</v>
      </c>
      <c r="G363" s="1" t="str">
        <f t="shared" si="149"/>
        <v>tns01sabado</v>
      </c>
      <c r="H363" t="s">
        <v>15</v>
      </c>
      <c r="I363">
        <f t="shared" si="143"/>
        <v>12</v>
      </c>
      <c r="J363">
        <f t="shared" si="144"/>
        <v>27</v>
      </c>
      <c r="K363" t="s">
        <v>27</v>
      </c>
      <c r="L363" t="str">
        <f t="shared" si="138"/>
        <v>Diciembre</v>
      </c>
      <c r="M363" t="s">
        <v>28</v>
      </c>
      <c r="N363" t="str">
        <f t="shared" si="139"/>
        <v>{ nombre: "Tiempo Navidad, Semana 1 Sabado", archivo: "/salterios/src/evan/audios/tns01sabado.mp3", fecha: `${year}-012-27` },</v>
      </c>
    </row>
    <row r="364" spans="1:14" x14ac:dyDescent="0.25">
      <c r="A364" t="s">
        <v>0</v>
      </c>
      <c r="B364" t="str">
        <f t="shared" ref="B364:B366" si="151">B363</f>
        <v>navidad</v>
      </c>
      <c r="C364" t="s">
        <v>2</v>
      </c>
      <c r="D364" s="2">
        <f>+D363+1</f>
        <v>2</v>
      </c>
      <c r="E364" t="s">
        <v>9</v>
      </c>
      <c r="F364" t="s">
        <v>17</v>
      </c>
      <c r="G364" s="1" t="str">
        <f>_xlfn.CONCAT(LEFT(A364,1),LEFT(B364,1),LEFT(C364,1),"0",D364,E364)</f>
        <v>tns02domingo</v>
      </c>
      <c r="H364" t="s">
        <v>15</v>
      </c>
      <c r="I364">
        <f t="shared" si="143"/>
        <v>12</v>
      </c>
      <c r="J364">
        <f t="shared" si="144"/>
        <v>28</v>
      </c>
      <c r="K364" t="s">
        <v>27</v>
      </c>
      <c r="L364" t="str">
        <f t="shared" si="138"/>
        <v>Diciembre</v>
      </c>
      <c r="M364" t="s">
        <v>28</v>
      </c>
      <c r="N364" t="str">
        <f t="shared" si="139"/>
        <v>{ nombre: "Tiempo Navidad, Semana 2 Domingo", archivo: "/salterios/src/evan/audios/tns02domingo.mp3", fecha: `${year}-012-28` },</v>
      </c>
    </row>
    <row r="365" spans="1:14" x14ac:dyDescent="0.25">
      <c r="A365" t="s">
        <v>0</v>
      </c>
      <c r="B365" t="str">
        <f t="shared" si="151"/>
        <v>navidad</v>
      </c>
      <c r="C365" t="s">
        <v>2</v>
      </c>
      <c r="D365" s="2">
        <f>D364</f>
        <v>2</v>
      </c>
      <c r="E365" t="s">
        <v>3</v>
      </c>
      <c r="F365" t="s">
        <v>17</v>
      </c>
      <c r="G365" s="1" t="str">
        <f t="shared" ref="G365:G367" si="152">_xlfn.CONCAT(LEFT(A365,1),LEFT(B365,1),LEFT(C365,1),"0",D365,E365)</f>
        <v>tns02lunes</v>
      </c>
      <c r="H365" t="s">
        <v>15</v>
      </c>
      <c r="I365">
        <f t="shared" si="143"/>
        <v>12</v>
      </c>
      <c r="J365">
        <f t="shared" si="144"/>
        <v>29</v>
      </c>
      <c r="K365" t="s">
        <v>27</v>
      </c>
      <c r="L365" t="str">
        <f t="shared" si="138"/>
        <v>Diciembre</v>
      </c>
      <c r="M365" t="s">
        <v>28</v>
      </c>
      <c r="N365" t="str">
        <f t="shared" si="139"/>
        <v>{ nombre: "Tiempo Navidad, Semana 2 Lunes", archivo: "/salterios/src/evan/audios/tns02lunes.mp3", fecha: `${year}-012-29` },</v>
      </c>
    </row>
    <row r="366" spans="1:14" x14ac:dyDescent="0.25">
      <c r="A366" t="s">
        <v>0</v>
      </c>
      <c r="B366" t="str">
        <f t="shared" si="151"/>
        <v>navidad</v>
      </c>
      <c r="C366" t="s">
        <v>2</v>
      </c>
      <c r="D366" s="2">
        <f t="shared" ref="D366:D367" si="153">D365</f>
        <v>2</v>
      </c>
      <c r="E366" t="s">
        <v>4</v>
      </c>
      <c r="F366" t="s">
        <v>17</v>
      </c>
      <c r="G366" s="1" t="str">
        <f t="shared" si="152"/>
        <v>tns02martes</v>
      </c>
      <c r="H366" t="s">
        <v>15</v>
      </c>
      <c r="I366">
        <f t="shared" si="143"/>
        <v>12</v>
      </c>
      <c r="J366">
        <f t="shared" si="144"/>
        <v>30</v>
      </c>
      <c r="K366" t="s">
        <v>27</v>
      </c>
      <c r="L366" t="str">
        <f t="shared" si="138"/>
        <v>Diciembre</v>
      </c>
      <c r="M366" t="s">
        <v>28</v>
      </c>
      <c r="N366" t="str">
        <f t="shared" si="139"/>
        <v>{ nombre: "Tiempo Navidad, Semana 2 Martes", archivo: "/salterios/src/evan/audios/tns02martes.mp3", fecha: `${year}-012-30` },</v>
      </c>
    </row>
    <row r="367" spans="1:14" x14ac:dyDescent="0.25">
      <c r="A367" t="s">
        <v>0</v>
      </c>
      <c r="B367" t="str">
        <f>B366</f>
        <v>navidad</v>
      </c>
      <c r="C367" t="s">
        <v>2</v>
      </c>
      <c r="D367" s="2">
        <f t="shared" si="153"/>
        <v>2</v>
      </c>
      <c r="E367" t="s">
        <v>5</v>
      </c>
      <c r="F367" t="s">
        <v>17</v>
      </c>
      <c r="G367" s="1" t="str">
        <f t="shared" si="152"/>
        <v>tns02miercoles</v>
      </c>
      <c r="H367" t="s">
        <v>15</v>
      </c>
      <c r="I367">
        <f t="shared" si="143"/>
        <v>12</v>
      </c>
      <c r="J367">
        <f t="shared" si="144"/>
        <v>31</v>
      </c>
      <c r="K367" t="s">
        <v>27</v>
      </c>
      <c r="L367" t="str">
        <f t="shared" si="138"/>
        <v>Diciembre</v>
      </c>
      <c r="M367" t="s">
        <v>28</v>
      </c>
      <c r="N367" t="str">
        <f t="shared" si="139"/>
        <v>{ nombre: "Tiempo Navidad, Semana 2 Miercoles", archivo: "/salterios/src/evan/audios/tns02miercoles.mp3", fecha: `${year}-012-31` },</v>
      </c>
    </row>
    <row r="368" spans="1:14" x14ac:dyDescent="0.25">
      <c r="D368" s="2"/>
      <c r="G368" s="1"/>
    </row>
    <row r="369" spans="4:7" x14ac:dyDescent="0.25">
      <c r="D369" s="2"/>
      <c r="G369" s="1"/>
    </row>
    <row r="370" spans="4:7" x14ac:dyDescent="0.25">
      <c r="D370" s="2"/>
      <c r="G370" s="1"/>
    </row>
  </sheetData>
  <conditionalFormatting sqref="B1:B1048576">
    <cfRule type="cellIs" dxfId="22" priority="1" operator="equal">
      <formula>"adviento"</formula>
    </cfRule>
    <cfRule type="cellIs" dxfId="21" priority="2" operator="equal">
      <formula>"ordinario"</formula>
    </cfRule>
    <cfRule type="cellIs" dxfId="20" priority="3" operator="equal">
      <formula>"cuaresma"</formula>
    </cfRule>
  </conditionalFormatting>
  <pageMargins left="0.7" right="0.7" top="0.75" bottom="0.75" header="0.3" footer="0.3"/>
  <pageSetup orientation="portrait" r:id="rId1"/>
  <ignoredErrors>
    <ignoredError sqref="D21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79BCD-F34C-4C3F-A872-3B22DDF2455B}">
  <dimension ref="B2:C11"/>
  <sheetViews>
    <sheetView workbookViewId="0">
      <selection activeCell="A2" sqref="A2"/>
    </sheetView>
  </sheetViews>
  <sheetFormatPr defaultRowHeight="15" x14ac:dyDescent="0.25"/>
  <cols>
    <col min="2" max="2" width="11.28515625" bestFit="1" customWidth="1"/>
  </cols>
  <sheetData>
    <row r="2" spans="2:3" x14ac:dyDescent="0.25">
      <c r="B2" s="8" t="s">
        <v>46</v>
      </c>
      <c r="C2" t="s">
        <v>55</v>
      </c>
    </row>
    <row r="3" spans="2:3" x14ac:dyDescent="0.25">
      <c r="B3" s="8" t="s">
        <v>42</v>
      </c>
      <c r="C3" t="s">
        <v>45</v>
      </c>
    </row>
    <row r="4" spans="2:3" x14ac:dyDescent="0.25">
      <c r="B4" s="8" t="s">
        <v>48</v>
      </c>
      <c r="C4" t="s">
        <v>56</v>
      </c>
    </row>
    <row r="5" spans="2:3" x14ac:dyDescent="0.25">
      <c r="B5" s="8" t="s">
        <v>47</v>
      </c>
      <c r="C5" t="s">
        <v>57</v>
      </c>
    </row>
    <row r="6" spans="2:3" x14ac:dyDescent="0.25">
      <c r="B6" s="8" t="s">
        <v>49</v>
      </c>
      <c r="C6" t="s">
        <v>58</v>
      </c>
    </row>
    <row r="7" spans="2:3" x14ac:dyDescent="0.25">
      <c r="B7" s="8" t="s">
        <v>50</v>
      </c>
      <c r="C7" t="s">
        <v>58</v>
      </c>
    </row>
    <row r="8" spans="2:3" x14ac:dyDescent="0.25">
      <c r="B8" s="8" t="s">
        <v>51</v>
      </c>
      <c r="C8" t="s">
        <v>60</v>
      </c>
    </row>
    <row r="9" spans="2:3" x14ac:dyDescent="0.25">
      <c r="B9" s="8" t="s">
        <v>52</v>
      </c>
      <c r="C9" t="s">
        <v>59</v>
      </c>
    </row>
    <row r="10" spans="2:3" x14ac:dyDescent="0.25">
      <c r="B10" s="8" t="s">
        <v>53</v>
      </c>
      <c r="C10" t="s">
        <v>59</v>
      </c>
    </row>
    <row r="11" spans="2:3" x14ac:dyDescent="0.25">
      <c r="B11" s="8" t="s">
        <v>54</v>
      </c>
      <c r="C11" t="s">
        <v>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0FC80-74E2-48C6-8656-CDB364C1A62D}">
  <dimension ref="A1:N370"/>
  <sheetViews>
    <sheetView zoomScale="145" zoomScaleNormal="145" workbookViewId="0">
      <selection activeCell="N14" sqref="N14"/>
    </sheetView>
  </sheetViews>
  <sheetFormatPr defaultRowHeight="15" x14ac:dyDescent="0.25"/>
  <cols>
    <col min="2" max="2" width="12.28515625" bestFit="1" customWidth="1"/>
    <col min="3" max="3" width="8.140625" bestFit="1" customWidth="1"/>
    <col min="4" max="4" width="3" bestFit="1" customWidth="1"/>
    <col min="7" max="7" width="21.7109375" customWidth="1"/>
    <col min="8" max="8" width="1.42578125" bestFit="1" customWidth="1"/>
    <col min="9" max="10" width="2.85546875" bestFit="1" customWidth="1"/>
    <col min="11" max="11" width="2.85546875" customWidth="1"/>
    <col min="12" max="12" width="10.140625" bestFit="1" customWidth="1"/>
    <col min="13" max="13" width="10.140625" customWidth="1"/>
    <col min="14" max="14" width="112.28515625" bestFit="1" customWidth="1"/>
  </cols>
  <sheetData>
    <row r="1" spans="1:14" x14ac:dyDescent="0.25">
      <c r="N1" t="s">
        <v>18</v>
      </c>
    </row>
    <row r="3" spans="1:14" x14ac:dyDescent="0.25">
      <c r="A3" t="s">
        <v>0</v>
      </c>
      <c r="B3" s="3" t="s">
        <v>11</v>
      </c>
      <c r="C3" t="s">
        <v>2</v>
      </c>
      <c r="D3" s="2">
        <v>1</v>
      </c>
      <c r="E3" t="s">
        <v>6</v>
      </c>
      <c r="F3" t="s">
        <v>17</v>
      </c>
      <c r="G3" s="1" t="str">
        <f t="shared" ref="G3:G12" si="0">_xlfn.CONCAT(LEFT(A3,1),LEFT(B3,1),LEFT(C3,1),"0",D3,E3)</f>
        <v>tns01jueves</v>
      </c>
      <c r="H3" t="s">
        <v>15</v>
      </c>
      <c r="I3">
        <v>1</v>
      </c>
      <c r="J3">
        <v>0</v>
      </c>
      <c r="K3" t="s">
        <v>27</v>
      </c>
      <c r="L3" t="str">
        <f t="shared" ref="L3:L12" si="1">IF(I3=1,"Enero",
IF(I3=2,"Febrero",
IF(I3=3,"Marzo",
IF(I3=4,"Abril",
IF(I3=5,"Mayo",
IF(I3=6,"Junio",
IF(I3=7,"Julio",
IF(I3=8,"Agosto",
IF(I3=9,"Septiembre",
IF(I3=10,"Octubre",
IF(I3=11,"Noviembre",
IF(I3=12,"Diciembre",""))))))))))))</f>
        <v>Enero</v>
      </c>
      <c r="M3" t="s">
        <v>28</v>
      </c>
      <c r="N3" t="str">
        <f t="shared" ref="N3:N12" si="2">_xlfn.CONCAT("{ nombre: ",H3,PROPER(A3)," ",PROPER(B3),", ",PROPER(C3)," ",D3," ",PROPER(E3),""",",F3,G3,".mp3",H3,", fecha: `${year}-",0,I3,"-",J3,"` },")</f>
        <v>{ nombre: "Tiempo Navidad, Semana 1 Jueves", archivo: "/salterios/src/evan/audios/tns01jueves.mp3", fecha: `${year}-01-0` },</v>
      </c>
    </row>
    <row r="4" spans="1:14" x14ac:dyDescent="0.25">
      <c r="A4" t="s">
        <v>0</v>
      </c>
      <c r="B4" s="3" t="str">
        <f t="shared" ref="B4:B7" si="3">B3</f>
        <v>navidad</v>
      </c>
      <c r="C4" t="s">
        <v>2</v>
      </c>
      <c r="D4" s="2">
        <v>1</v>
      </c>
      <c r="E4" t="s">
        <v>7</v>
      </c>
      <c r="F4" t="s">
        <v>17</v>
      </c>
      <c r="G4" s="1" t="str">
        <f t="shared" si="0"/>
        <v>tns01viernes</v>
      </c>
      <c r="H4" t="s">
        <v>15</v>
      </c>
      <c r="I4">
        <f t="shared" ref="I4:I67" si="4">I3</f>
        <v>1</v>
      </c>
      <c r="J4">
        <f t="shared" ref="J4:J14" si="5">+J3+1</f>
        <v>1</v>
      </c>
      <c r="K4" t="s">
        <v>27</v>
      </c>
      <c r="L4" t="str">
        <f t="shared" si="1"/>
        <v>Enero</v>
      </c>
      <c r="M4" t="s">
        <v>28</v>
      </c>
      <c r="N4" t="str">
        <f t="shared" si="2"/>
        <v>{ nombre: "Tiempo Navidad, Semana 1 Viernes", archivo: "/salterios/src/evan/audios/tns01viernes.mp3", fecha: `${year}-01-1` },</v>
      </c>
    </row>
    <row r="5" spans="1:14" x14ac:dyDescent="0.25">
      <c r="A5" t="s">
        <v>0</v>
      </c>
      <c r="B5" s="3" t="str">
        <f t="shared" si="3"/>
        <v>navidad</v>
      </c>
      <c r="C5" t="s">
        <v>2</v>
      </c>
      <c r="D5" s="2">
        <v>1</v>
      </c>
      <c r="E5" t="s">
        <v>8</v>
      </c>
      <c r="F5" t="s">
        <v>17</v>
      </c>
      <c r="G5" s="1" t="str">
        <f t="shared" si="0"/>
        <v>tns01sabado</v>
      </c>
      <c r="H5" t="s">
        <v>15</v>
      </c>
      <c r="I5">
        <f t="shared" si="4"/>
        <v>1</v>
      </c>
      <c r="J5">
        <f t="shared" si="5"/>
        <v>2</v>
      </c>
      <c r="K5" t="s">
        <v>27</v>
      </c>
      <c r="L5" t="str">
        <f t="shared" si="1"/>
        <v>Enero</v>
      </c>
      <c r="M5" t="s">
        <v>28</v>
      </c>
      <c r="N5" t="str">
        <f t="shared" si="2"/>
        <v>{ nombre: "Tiempo Navidad, Semana 1 Sabado", archivo: "/salterios/src/evan/audios/tns01sabado.mp3", fecha: `${year}-01-2` },</v>
      </c>
    </row>
    <row r="6" spans="1:14" x14ac:dyDescent="0.25">
      <c r="A6" t="s">
        <v>0</v>
      </c>
      <c r="B6" s="3" t="str">
        <f t="shared" si="3"/>
        <v>navidad</v>
      </c>
      <c r="C6" t="s">
        <v>2</v>
      </c>
      <c r="D6" s="2">
        <v>2</v>
      </c>
      <c r="E6" t="s">
        <v>9</v>
      </c>
      <c r="F6" t="s">
        <v>17</v>
      </c>
      <c r="G6" s="1" t="str">
        <f t="shared" si="0"/>
        <v>tns02domingo</v>
      </c>
      <c r="H6" t="s">
        <v>15</v>
      </c>
      <c r="I6">
        <f t="shared" si="4"/>
        <v>1</v>
      </c>
      <c r="J6">
        <f t="shared" si="5"/>
        <v>3</v>
      </c>
      <c r="K6" t="s">
        <v>27</v>
      </c>
      <c r="L6" t="str">
        <f t="shared" si="1"/>
        <v>Enero</v>
      </c>
      <c r="M6" t="s">
        <v>28</v>
      </c>
      <c r="N6" t="str">
        <f t="shared" si="2"/>
        <v>{ nombre: "Tiempo Navidad, Semana 2 Domingo", archivo: "/salterios/src/evan/audios/tns02domingo.mp3", fecha: `${year}-01-3` },</v>
      </c>
    </row>
    <row r="7" spans="1:14" x14ac:dyDescent="0.25">
      <c r="A7" t="s">
        <v>0</v>
      </c>
      <c r="B7" s="3" t="str">
        <f t="shared" si="3"/>
        <v>navidad</v>
      </c>
      <c r="C7" t="s">
        <v>2</v>
      </c>
      <c r="D7" s="2">
        <v>2</v>
      </c>
      <c r="E7" t="s">
        <v>3</v>
      </c>
      <c r="F7" t="s">
        <v>17</v>
      </c>
      <c r="G7" s="1" t="str">
        <f t="shared" si="0"/>
        <v>tns02lunes</v>
      </c>
      <c r="H7" t="s">
        <v>15</v>
      </c>
      <c r="I7">
        <f t="shared" si="4"/>
        <v>1</v>
      </c>
      <c r="J7">
        <f t="shared" si="5"/>
        <v>4</v>
      </c>
      <c r="K7" t="s">
        <v>27</v>
      </c>
      <c r="L7" t="str">
        <f t="shared" si="1"/>
        <v>Enero</v>
      </c>
      <c r="M7" t="s">
        <v>28</v>
      </c>
      <c r="N7" t="str">
        <f t="shared" si="2"/>
        <v>{ nombre: "Tiempo Navidad, Semana 2 Lunes", archivo: "/salterios/src/evan/audios/tns02lunes.mp3", fecha: `${year}-01-4` },</v>
      </c>
    </row>
    <row r="8" spans="1:14" x14ac:dyDescent="0.25">
      <c r="A8" t="s">
        <v>0</v>
      </c>
      <c r="B8" s="3" t="s">
        <v>25</v>
      </c>
      <c r="C8" t="s">
        <v>2</v>
      </c>
      <c r="D8" s="2">
        <v>2</v>
      </c>
      <c r="E8" t="s">
        <v>4</v>
      </c>
      <c r="F8" t="s">
        <v>17</v>
      </c>
      <c r="G8" s="1" t="str">
        <f t="shared" si="0"/>
        <v>tes02martes</v>
      </c>
      <c r="H8" t="s">
        <v>15</v>
      </c>
      <c r="I8">
        <f t="shared" si="4"/>
        <v>1</v>
      </c>
      <c r="J8">
        <f t="shared" si="5"/>
        <v>5</v>
      </c>
      <c r="K8" t="s">
        <v>27</v>
      </c>
      <c r="L8" t="str">
        <f t="shared" si="1"/>
        <v>Enero</v>
      </c>
      <c r="M8" t="s">
        <v>28</v>
      </c>
      <c r="N8" t="str">
        <f t="shared" si="2"/>
        <v>{ nombre: "Tiempo Epifania, Semana 2 Martes", archivo: "/salterios/src/evan/audios/tes02martes.mp3", fecha: `${year}-01-5` },</v>
      </c>
    </row>
    <row r="9" spans="1:14" x14ac:dyDescent="0.25">
      <c r="A9" t="s">
        <v>0</v>
      </c>
      <c r="B9" s="3" t="s">
        <v>25</v>
      </c>
      <c r="C9" t="s">
        <v>2</v>
      </c>
      <c r="D9" s="2">
        <v>2</v>
      </c>
      <c r="E9" t="s">
        <v>5</v>
      </c>
      <c r="F9" t="s">
        <v>17</v>
      </c>
      <c r="G9" s="1" t="str">
        <f t="shared" si="0"/>
        <v>tes02miercoles</v>
      </c>
      <c r="H9" t="s">
        <v>15</v>
      </c>
      <c r="I9">
        <f t="shared" si="4"/>
        <v>1</v>
      </c>
      <c r="J9">
        <f t="shared" si="5"/>
        <v>6</v>
      </c>
      <c r="K9" t="s">
        <v>27</v>
      </c>
      <c r="L9" t="str">
        <f t="shared" si="1"/>
        <v>Enero</v>
      </c>
      <c r="M9" t="s">
        <v>28</v>
      </c>
      <c r="N9" t="str">
        <f t="shared" si="2"/>
        <v>{ nombre: "Tiempo Epifania, Semana 2 Miercoles", archivo: "/salterios/src/evan/audios/tes02miercoles.mp3", fecha: `${year}-01-6` },</v>
      </c>
    </row>
    <row r="10" spans="1:14" x14ac:dyDescent="0.25">
      <c r="A10" t="s">
        <v>0</v>
      </c>
      <c r="B10" s="3" t="s">
        <v>25</v>
      </c>
      <c r="C10" t="s">
        <v>2</v>
      </c>
      <c r="D10" s="2">
        <v>2</v>
      </c>
      <c r="E10" t="s">
        <v>6</v>
      </c>
      <c r="F10" t="s">
        <v>17</v>
      </c>
      <c r="G10" s="1" t="str">
        <f t="shared" si="0"/>
        <v>tes02jueves</v>
      </c>
      <c r="H10" t="s">
        <v>15</v>
      </c>
      <c r="I10">
        <f t="shared" si="4"/>
        <v>1</v>
      </c>
      <c r="J10">
        <f t="shared" si="5"/>
        <v>7</v>
      </c>
      <c r="K10" t="s">
        <v>27</v>
      </c>
      <c r="L10" t="str">
        <f t="shared" si="1"/>
        <v>Enero</v>
      </c>
      <c r="M10" t="s">
        <v>28</v>
      </c>
      <c r="N10" t="str">
        <f t="shared" si="2"/>
        <v>{ nombre: "Tiempo Epifania, Semana 2 Jueves", archivo: "/salterios/src/evan/audios/tes02jueves.mp3", fecha: `${year}-01-7` },</v>
      </c>
    </row>
    <row r="11" spans="1:14" x14ac:dyDescent="0.25">
      <c r="A11" t="s">
        <v>0</v>
      </c>
      <c r="B11" s="3" t="s">
        <v>25</v>
      </c>
      <c r="C11" t="s">
        <v>2</v>
      </c>
      <c r="D11" s="2">
        <v>2</v>
      </c>
      <c r="E11" t="s">
        <v>7</v>
      </c>
      <c r="F11" t="s">
        <v>17</v>
      </c>
      <c r="G11" s="1" t="str">
        <f t="shared" si="0"/>
        <v>tes02viernes</v>
      </c>
      <c r="H11" t="s">
        <v>15</v>
      </c>
      <c r="I11">
        <f t="shared" si="4"/>
        <v>1</v>
      </c>
      <c r="J11">
        <f t="shared" si="5"/>
        <v>8</v>
      </c>
      <c r="K11" t="s">
        <v>27</v>
      </c>
      <c r="L11" t="str">
        <f t="shared" si="1"/>
        <v>Enero</v>
      </c>
      <c r="M11" t="s">
        <v>28</v>
      </c>
      <c r="N11" t="str">
        <f t="shared" si="2"/>
        <v>{ nombre: "Tiempo Epifania, Semana 2 Viernes", archivo: "/salterios/src/evan/audios/tes02viernes.mp3", fecha: `${year}-01-8` },</v>
      </c>
    </row>
    <row r="12" spans="1:14" x14ac:dyDescent="0.25">
      <c r="A12" t="s">
        <v>0</v>
      </c>
      <c r="B12" s="3" t="s">
        <v>25</v>
      </c>
      <c r="C12" t="s">
        <v>2</v>
      </c>
      <c r="D12" s="2">
        <v>2</v>
      </c>
      <c r="E12" t="s">
        <v>8</v>
      </c>
      <c r="F12" t="s">
        <v>17</v>
      </c>
      <c r="G12" s="1" t="str">
        <f t="shared" si="0"/>
        <v>tes02sabado</v>
      </c>
      <c r="H12" t="s">
        <v>15</v>
      </c>
      <c r="I12">
        <f t="shared" si="4"/>
        <v>1</v>
      </c>
      <c r="J12">
        <f t="shared" si="5"/>
        <v>9</v>
      </c>
      <c r="K12" t="s">
        <v>27</v>
      </c>
      <c r="L12" t="str">
        <f t="shared" si="1"/>
        <v>Enero</v>
      </c>
      <c r="M12" t="s">
        <v>28</v>
      </c>
      <c r="N12" t="str">
        <f t="shared" si="2"/>
        <v>{ nombre: "Tiempo Epifania, Semana 2 Sabado", archivo: "/salterios/src/evan/audios/tes02sabado.mp3", fecha: `${year}-01-9` },</v>
      </c>
    </row>
    <row r="13" spans="1:14" x14ac:dyDescent="0.25">
      <c r="G13" t="s">
        <v>26</v>
      </c>
      <c r="H13" t="s">
        <v>15</v>
      </c>
      <c r="I13">
        <f t="shared" si="4"/>
        <v>1</v>
      </c>
      <c r="J13">
        <f t="shared" si="5"/>
        <v>10</v>
      </c>
      <c r="K13" t="s">
        <v>27</v>
      </c>
      <c r="M13" t="s">
        <v>28</v>
      </c>
    </row>
    <row r="14" spans="1:14" x14ac:dyDescent="0.25">
      <c r="A14" t="s">
        <v>0</v>
      </c>
      <c r="B14" t="s">
        <v>1</v>
      </c>
      <c r="C14" t="s">
        <v>2</v>
      </c>
      <c r="D14" s="2">
        <v>1</v>
      </c>
      <c r="E14" t="s">
        <v>9</v>
      </c>
      <c r="F14" t="s">
        <v>17</v>
      </c>
      <c r="G14" s="1" t="str">
        <f>_xlfn.CONCAT(LEFT(A14,1),LEFT(B14,1),LEFT(C14,1),"0",D14,E14)</f>
        <v>tos01domingo</v>
      </c>
      <c r="H14" t="s">
        <v>15</v>
      </c>
      <c r="I14">
        <f t="shared" si="4"/>
        <v>1</v>
      </c>
      <c r="J14">
        <f t="shared" si="5"/>
        <v>11</v>
      </c>
      <c r="K14" t="s">
        <v>27</v>
      </c>
      <c r="L14" t="str">
        <f t="shared" ref="L14:L77" si="6">IF(I14=1,"Enero",
IF(I14=2,"Febrero",
IF(I14=3,"Marzo",
IF(I14=4,"Abril",
IF(I14=5,"Mayo",
IF(I14=6,"Junio",
IF(I14=7,"Julio",
IF(I14=8,"Agosto",
IF(I14=9,"Septiembre",
IF(I14=10,"Octubre",
IF(I14=11,"Noviembre",
IF(I14=12,"Diciembre",""))))))))))))</f>
        <v>Enero</v>
      </c>
      <c r="M14" t="s">
        <v>28</v>
      </c>
      <c r="N14" t="str">
        <f>_xlfn.CONCAT("{ nombre: ",H14,PROPER(A14)," ",PROPER(B14),", ",PROPER(C14)," ",D14," ",PROPER(E14),""",",F14,G14,".mp3",H14,", fecha: `${year}-",0,I14,"-",J14,"` },")</f>
        <v>{ nombre: "Tiempo Ordinario, Semana 1 Domingo", archivo: "/salterios/src/evan/audios/tos01domingo.mp3", fecha: `${year}-01-11` },</v>
      </c>
    </row>
    <row r="15" spans="1:14" x14ac:dyDescent="0.25">
      <c r="A15" t="s">
        <v>0</v>
      </c>
      <c r="B15" t="str">
        <f t="shared" ref="B15:B35" si="7">B14</f>
        <v>ordinario</v>
      </c>
      <c r="C15" t="s">
        <v>2</v>
      </c>
      <c r="D15" s="2">
        <f>D14</f>
        <v>1</v>
      </c>
      <c r="E15" t="s">
        <v>3</v>
      </c>
      <c r="F15" t="s">
        <v>17</v>
      </c>
      <c r="G15" s="1" t="str">
        <f t="shared" ref="G15:G20" si="8">_xlfn.CONCAT(LEFT(A15,1),LEFT(B15,1),LEFT(C15,1),"0",D15,E15)</f>
        <v>tos01lunes</v>
      </c>
      <c r="H15" t="s">
        <v>15</v>
      </c>
      <c r="I15">
        <f t="shared" si="4"/>
        <v>1</v>
      </c>
      <c r="J15">
        <f>+J14+1</f>
        <v>12</v>
      </c>
      <c r="K15" t="s">
        <v>27</v>
      </c>
      <c r="L15" t="str">
        <f t="shared" si="6"/>
        <v>Enero</v>
      </c>
      <c r="M15" t="s">
        <v>28</v>
      </c>
      <c r="N15" t="str">
        <f>_xlfn.CONCAT("{ nombre: ",H15,PROPER(A15)," ",PROPER(B15),", ",PROPER(C15)," ",D15," ",PROPER(E15),""",",F15,G15,".mp3",H15,", fecha: `${year}-",0,I15,"-",J15,"` },")</f>
        <v>{ nombre: "Tiempo Ordinario, Semana 1 Lunes", archivo: "/salterios/src/evan/audios/tos01lunes.mp3", fecha: `${year}-01-12` },</v>
      </c>
    </row>
    <row r="16" spans="1:14" x14ac:dyDescent="0.25">
      <c r="A16" t="s">
        <v>0</v>
      </c>
      <c r="B16" t="str">
        <f t="shared" si="7"/>
        <v>ordinario</v>
      </c>
      <c r="C16" t="s">
        <v>2</v>
      </c>
      <c r="D16" s="2">
        <f t="shared" ref="D16:D20" si="9">D15</f>
        <v>1</v>
      </c>
      <c r="E16" t="s">
        <v>4</v>
      </c>
      <c r="F16" t="s">
        <v>17</v>
      </c>
      <c r="G16" s="1" t="str">
        <f t="shared" si="8"/>
        <v>tos01martes</v>
      </c>
      <c r="H16" t="s">
        <v>15</v>
      </c>
      <c r="I16">
        <f t="shared" si="4"/>
        <v>1</v>
      </c>
      <c r="J16">
        <f t="shared" ref="J16:J61" si="10">+J15+1</f>
        <v>13</v>
      </c>
      <c r="K16" t="s">
        <v>27</v>
      </c>
      <c r="L16" t="str">
        <f t="shared" si="6"/>
        <v>Enero</v>
      </c>
      <c r="M16" t="s">
        <v>28</v>
      </c>
      <c r="N16" t="str">
        <f t="shared" ref="N16:N79" si="11">_xlfn.CONCAT("{ nombre: ",H16,PROPER(A16)," ",PROPER(B16),", ",PROPER(C16)," ",D16," ",PROPER(E16),""",",F16,G16,".mp3",H16,", fecha: `${year}-",0,I16,"-",J16,"` },")</f>
        <v>{ nombre: "Tiempo Ordinario, Semana 1 Martes", archivo: "/salterios/src/evan/audios/tos01martes.mp3", fecha: `${year}-01-13` },</v>
      </c>
    </row>
    <row r="17" spans="1:14" x14ac:dyDescent="0.25">
      <c r="A17" t="s">
        <v>0</v>
      </c>
      <c r="B17" t="str">
        <f t="shared" si="7"/>
        <v>ordinario</v>
      </c>
      <c r="C17" t="s">
        <v>2</v>
      </c>
      <c r="D17" s="2">
        <f t="shared" si="9"/>
        <v>1</v>
      </c>
      <c r="E17" t="s">
        <v>5</v>
      </c>
      <c r="F17" t="s">
        <v>17</v>
      </c>
      <c r="G17" s="1" t="str">
        <f t="shared" si="8"/>
        <v>tos01miercoles</v>
      </c>
      <c r="H17" t="s">
        <v>15</v>
      </c>
      <c r="I17">
        <f t="shared" si="4"/>
        <v>1</v>
      </c>
      <c r="J17">
        <f t="shared" si="10"/>
        <v>14</v>
      </c>
      <c r="K17" t="s">
        <v>27</v>
      </c>
      <c r="L17" t="str">
        <f t="shared" si="6"/>
        <v>Enero</v>
      </c>
      <c r="M17" t="s">
        <v>28</v>
      </c>
      <c r="N17" t="str">
        <f t="shared" si="11"/>
        <v>{ nombre: "Tiempo Ordinario, Semana 1 Miercoles", archivo: "/salterios/src/evan/audios/tos01miercoles.mp3", fecha: `${year}-01-14` },</v>
      </c>
    </row>
    <row r="18" spans="1:14" x14ac:dyDescent="0.25">
      <c r="A18" t="s">
        <v>0</v>
      </c>
      <c r="B18" t="str">
        <f t="shared" si="7"/>
        <v>ordinario</v>
      </c>
      <c r="C18" t="s">
        <v>2</v>
      </c>
      <c r="D18" s="2">
        <f t="shared" si="9"/>
        <v>1</v>
      </c>
      <c r="E18" t="s">
        <v>6</v>
      </c>
      <c r="F18" t="s">
        <v>17</v>
      </c>
      <c r="G18" s="1" t="str">
        <f t="shared" si="8"/>
        <v>tos01jueves</v>
      </c>
      <c r="H18" t="s">
        <v>15</v>
      </c>
      <c r="I18">
        <f t="shared" si="4"/>
        <v>1</v>
      </c>
      <c r="J18">
        <f t="shared" si="10"/>
        <v>15</v>
      </c>
      <c r="K18" t="s">
        <v>27</v>
      </c>
      <c r="L18" t="str">
        <f t="shared" si="6"/>
        <v>Enero</v>
      </c>
      <c r="M18" t="s">
        <v>28</v>
      </c>
      <c r="N18" t="str">
        <f t="shared" si="11"/>
        <v>{ nombre: "Tiempo Ordinario, Semana 1 Jueves", archivo: "/salterios/src/evan/audios/tos01jueves.mp3", fecha: `${year}-01-15` },</v>
      </c>
    </row>
    <row r="19" spans="1:14" x14ac:dyDescent="0.25">
      <c r="A19" t="s">
        <v>0</v>
      </c>
      <c r="B19" t="str">
        <f t="shared" si="7"/>
        <v>ordinario</v>
      </c>
      <c r="C19" t="s">
        <v>2</v>
      </c>
      <c r="D19" s="2">
        <f t="shared" si="9"/>
        <v>1</v>
      </c>
      <c r="E19" t="s">
        <v>7</v>
      </c>
      <c r="F19" t="s">
        <v>17</v>
      </c>
      <c r="G19" s="1" t="str">
        <f t="shared" si="8"/>
        <v>tos01viernes</v>
      </c>
      <c r="H19" t="s">
        <v>15</v>
      </c>
      <c r="I19">
        <f t="shared" si="4"/>
        <v>1</v>
      </c>
      <c r="J19">
        <f t="shared" si="10"/>
        <v>16</v>
      </c>
      <c r="K19" t="s">
        <v>27</v>
      </c>
      <c r="L19" t="str">
        <f t="shared" si="6"/>
        <v>Enero</v>
      </c>
      <c r="M19" t="s">
        <v>28</v>
      </c>
      <c r="N19" t="str">
        <f t="shared" si="11"/>
        <v>{ nombre: "Tiempo Ordinario, Semana 1 Viernes", archivo: "/salterios/src/evan/audios/tos01viernes.mp3", fecha: `${year}-01-16` },</v>
      </c>
    </row>
    <row r="20" spans="1:14" x14ac:dyDescent="0.25">
      <c r="A20" t="s">
        <v>0</v>
      </c>
      <c r="B20" t="str">
        <f t="shared" si="7"/>
        <v>ordinario</v>
      </c>
      <c r="C20" t="s">
        <v>2</v>
      </c>
      <c r="D20" s="2">
        <f t="shared" si="9"/>
        <v>1</v>
      </c>
      <c r="E20" t="s">
        <v>8</v>
      </c>
      <c r="F20" t="s">
        <v>17</v>
      </c>
      <c r="G20" s="1" t="str">
        <f t="shared" si="8"/>
        <v>tos01sabado</v>
      </c>
      <c r="H20" t="s">
        <v>15</v>
      </c>
      <c r="I20">
        <f t="shared" si="4"/>
        <v>1</v>
      </c>
      <c r="J20">
        <f t="shared" si="10"/>
        <v>17</v>
      </c>
      <c r="K20" t="s">
        <v>27</v>
      </c>
      <c r="L20" t="str">
        <f t="shared" si="6"/>
        <v>Enero</v>
      </c>
      <c r="M20" t="s">
        <v>28</v>
      </c>
      <c r="N20" t="str">
        <f t="shared" si="11"/>
        <v>{ nombre: "Tiempo Ordinario, Semana 1 Sabado", archivo: "/salterios/src/evan/audios/tos01sabado.mp3", fecha: `${year}-01-17` },</v>
      </c>
    </row>
    <row r="21" spans="1:14" x14ac:dyDescent="0.25">
      <c r="A21" t="s">
        <v>0</v>
      </c>
      <c r="B21" t="str">
        <f t="shared" si="7"/>
        <v>ordinario</v>
      </c>
      <c r="C21" t="s">
        <v>2</v>
      </c>
      <c r="D21" s="2">
        <f>+D20+1</f>
        <v>2</v>
      </c>
      <c r="E21" t="s">
        <v>9</v>
      </c>
      <c r="F21" t="s">
        <v>17</v>
      </c>
      <c r="G21" s="1" t="str">
        <f>_xlfn.CONCAT(LEFT(A21,1),LEFT(B21,1),LEFT(C21,1),"0",D21,E21)</f>
        <v>tos02domingo</v>
      </c>
      <c r="H21" t="s">
        <v>15</v>
      </c>
      <c r="I21">
        <f t="shared" si="4"/>
        <v>1</v>
      </c>
      <c r="J21">
        <f t="shared" si="10"/>
        <v>18</v>
      </c>
      <c r="K21" t="s">
        <v>27</v>
      </c>
      <c r="L21" t="str">
        <f t="shared" si="6"/>
        <v>Enero</v>
      </c>
      <c r="M21" t="s">
        <v>28</v>
      </c>
      <c r="N21" t="str">
        <f t="shared" si="11"/>
        <v>{ nombre: "Tiempo Ordinario, Semana 2 Domingo", archivo: "/salterios/src/evan/audios/tos02domingo.mp3", fecha: `${year}-01-18` },</v>
      </c>
    </row>
    <row r="22" spans="1:14" x14ac:dyDescent="0.25">
      <c r="A22" t="s">
        <v>0</v>
      </c>
      <c r="B22" t="str">
        <f t="shared" si="7"/>
        <v>ordinario</v>
      </c>
      <c r="C22" t="s">
        <v>2</v>
      </c>
      <c r="D22" s="2">
        <f>D21</f>
        <v>2</v>
      </c>
      <c r="E22" t="s">
        <v>3</v>
      </c>
      <c r="F22" t="s">
        <v>17</v>
      </c>
      <c r="G22" s="1" t="str">
        <f t="shared" ref="G22:G27" si="12">_xlfn.CONCAT(LEFT(A22,1),LEFT(B22,1),LEFT(C22,1),"0",D22,E22)</f>
        <v>tos02lunes</v>
      </c>
      <c r="H22" t="s">
        <v>15</v>
      </c>
      <c r="I22">
        <f t="shared" si="4"/>
        <v>1</v>
      </c>
      <c r="J22">
        <f t="shared" si="10"/>
        <v>19</v>
      </c>
      <c r="K22" t="s">
        <v>27</v>
      </c>
      <c r="L22" t="str">
        <f t="shared" si="6"/>
        <v>Enero</v>
      </c>
      <c r="M22" t="s">
        <v>28</v>
      </c>
      <c r="N22" t="str">
        <f t="shared" si="11"/>
        <v>{ nombre: "Tiempo Ordinario, Semana 2 Lunes", archivo: "/salterios/src/evan/audios/tos02lunes.mp3", fecha: `${year}-01-19` },</v>
      </c>
    </row>
    <row r="23" spans="1:14" x14ac:dyDescent="0.25">
      <c r="A23" t="s">
        <v>0</v>
      </c>
      <c r="B23" t="str">
        <f t="shared" si="7"/>
        <v>ordinario</v>
      </c>
      <c r="C23" t="s">
        <v>2</v>
      </c>
      <c r="D23" s="2">
        <f t="shared" ref="D23:D27" si="13">D22</f>
        <v>2</v>
      </c>
      <c r="E23" t="s">
        <v>4</v>
      </c>
      <c r="F23" t="s">
        <v>17</v>
      </c>
      <c r="G23" s="1" t="str">
        <f t="shared" si="12"/>
        <v>tos02martes</v>
      </c>
      <c r="H23" t="s">
        <v>15</v>
      </c>
      <c r="I23">
        <f t="shared" si="4"/>
        <v>1</v>
      </c>
      <c r="J23">
        <f t="shared" si="10"/>
        <v>20</v>
      </c>
      <c r="K23" t="s">
        <v>27</v>
      </c>
      <c r="L23" t="str">
        <f t="shared" si="6"/>
        <v>Enero</v>
      </c>
      <c r="M23" t="s">
        <v>28</v>
      </c>
      <c r="N23" t="str">
        <f t="shared" si="11"/>
        <v>{ nombre: "Tiempo Ordinario, Semana 2 Martes", archivo: "/salterios/src/evan/audios/tos02martes.mp3", fecha: `${year}-01-20` },</v>
      </c>
    </row>
    <row r="24" spans="1:14" x14ac:dyDescent="0.25">
      <c r="A24" t="s">
        <v>0</v>
      </c>
      <c r="B24" t="str">
        <f t="shared" si="7"/>
        <v>ordinario</v>
      </c>
      <c r="C24" t="s">
        <v>2</v>
      </c>
      <c r="D24" s="2">
        <f t="shared" si="13"/>
        <v>2</v>
      </c>
      <c r="E24" t="s">
        <v>5</v>
      </c>
      <c r="F24" t="s">
        <v>17</v>
      </c>
      <c r="G24" s="1" t="str">
        <f t="shared" si="12"/>
        <v>tos02miercoles</v>
      </c>
      <c r="H24" t="s">
        <v>15</v>
      </c>
      <c r="I24">
        <f t="shared" si="4"/>
        <v>1</v>
      </c>
      <c r="J24">
        <f t="shared" si="10"/>
        <v>21</v>
      </c>
      <c r="K24" t="s">
        <v>27</v>
      </c>
      <c r="L24" t="str">
        <f t="shared" si="6"/>
        <v>Enero</v>
      </c>
      <c r="M24" t="s">
        <v>28</v>
      </c>
      <c r="N24" t="str">
        <f t="shared" si="11"/>
        <v>{ nombre: "Tiempo Ordinario, Semana 2 Miercoles", archivo: "/salterios/src/evan/audios/tos02miercoles.mp3", fecha: `${year}-01-21` },</v>
      </c>
    </row>
    <row r="25" spans="1:14" x14ac:dyDescent="0.25">
      <c r="A25" t="s">
        <v>0</v>
      </c>
      <c r="B25" t="str">
        <f t="shared" si="7"/>
        <v>ordinario</v>
      </c>
      <c r="C25" t="s">
        <v>2</v>
      </c>
      <c r="D25" s="2">
        <f t="shared" si="13"/>
        <v>2</v>
      </c>
      <c r="E25" t="s">
        <v>6</v>
      </c>
      <c r="F25" t="s">
        <v>17</v>
      </c>
      <c r="G25" s="1" t="str">
        <f t="shared" si="12"/>
        <v>tos02jueves</v>
      </c>
      <c r="H25" t="s">
        <v>15</v>
      </c>
      <c r="I25">
        <f t="shared" si="4"/>
        <v>1</v>
      </c>
      <c r="J25">
        <f t="shared" si="10"/>
        <v>22</v>
      </c>
      <c r="K25" t="s">
        <v>27</v>
      </c>
      <c r="L25" t="str">
        <f t="shared" si="6"/>
        <v>Enero</v>
      </c>
      <c r="M25" t="s">
        <v>28</v>
      </c>
      <c r="N25" t="str">
        <f t="shared" si="11"/>
        <v>{ nombre: "Tiempo Ordinario, Semana 2 Jueves", archivo: "/salterios/src/evan/audios/tos02jueves.mp3", fecha: `${year}-01-22` },</v>
      </c>
    </row>
    <row r="26" spans="1:14" x14ac:dyDescent="0.25">
      <c r="A26" t="s">
        <v>0</v>
      </c>
      <c r="B26" t="str">
        <f t="shared" si="7"/>
        <v>ordinario</v>
      </c>
      <c r="C26" t="s">
        <v>2</v>
      </c>
      <c r="D26" s="2">
        <f t="shared" si="13"/>
        <v>2</v>
      </c>
      <c r="E26" t="s">
        <v>7</v>
      </c>
      <c r="F26" t="s">
        <v>17</v>
      </c>
      <c r="G26" s="1" t="str">
        <f t="shared" si="12"/>
        <v>tos02viernes</v>
      </c>
      <c r="H26" t="s">
        <v>15</v>
      </c>
      <c r="I26">
        <f t="shared" si="4"/>
        <v>1</v>
      </c>
      <c r="J26">
        <f t="shared" si="10"/>
        <v>23</v>
      </c>
      <c r="K26" t="s">
        <v>27</v>
      </c>
      <c r="L26" t="str">
        <f t="shared" si="6"/>
        <v>Enero</v>
      </c>
      <c r="M26" t="s">
        <v>28</v>
      </c>
      <c r="N26" t="str">
        <f t="shared" si="11"/>
        <v>{ nombre: "Tiempo Ordinario, Semana 2 Viernes", archivo: "/salterios/src/evan/audios/tos02viernes.mp3", fecha: `${year}-01-23` },</v>
      </c>
    </row>
    <row r="27" spans="1:14" x14ac:dyDescent="0.25">
      <c r="A27" t="s">
        <v>0</v>
      </c>
      <c r="B27" t="str">
        <f t="shared" si="7"/>
        <v>ordinario</v>
      </c>
      <c r="C27" t="s">
        <v>2</v>
      </c>
      <c r="D27" s="2">
        <f t="shared" si="13"/>
        <v>2</v>
      </c>
      <c r="E27" t="s">
        <v>8</v>
      </c>
      <c r="F27" t="s">
        <v>17</v>
      </c>
      <c r="G27" s="1" t="str">
        <f t="shared" si="12"/>
        <v>tos02sabado</v>
      </c>
      <c r="H27" t="s">
        <v>15</v>
      </c>
      <c r="I27">
        <f t="shared" si="4"/>
        <v>1</v>
      </c>
      <c r="J27">
        <f t="shared" si="10"/>
        <v>24</v>
      </c>
      <c r="K27" t="s">
        <v>27</v>
      </c>
      <c r="L27" t="str">
        <f t="shared" si="6"/>
        <v>Enero</v>
      </c>
      <c r="M27" t="s">
        <v>28</v>
      </c>
      <c r="N27" t="str">
        <f t="shared" si="11"/>
        <v>{ nombre: "Tiempo Ordinario, Semana 2 Sabado", archivo: "/salterios/src/evan/audios/tos02sabado.mp3", fecha: `${year}-01-24` },</v>
      </c>
    </row>
    <row r="28" spans="1:14" x14ac:dyDescent="0.25">
      <c r="A28" t="s">
        <v>0</v>
      </c>
      <c r="B28" t="str">
        <f t="shared" si="7"/>
        <v>ordinario</v>
      </c>
      <c r="C28" t="s">
        <v>2</v>
      </c>
      <c r="D28" s="2">
        <f>+D27+1</f>
        <v>3</v>
      </c>
      <c r="E28" t="s">
        <v>9</v>
      </c>
      <c r="F28" t="s">
        <v>17</v>
      </c>
      <c r="G28" s="1" t="str">
        <f>_xlfn.CONCAT(LEFT(A28,1),LEFT(B28,1),LEFT(C28,1),"0",D28,E28)</f>
        <v>tos03domingo</v>
      </c>
      <c r="H28" t="s">
        <v>15</v>
      </c>
      <c r="I28">
        <f t="shared" si="4"/>
        <v>1</v>
      </c>
      <c r="J28">
        <f t="shared" si="10"/>
        <v>25</v>
      </c>
      <c r="K28" t="s">
        <v>27</v>
      </c>
      <c r="L28" t="str">
        <f t="shared" si="6"/>
        <v>Enero</v>
      </c>
      <c r="M28" t="s">
        <v>28</v>
      </c>
      <c r="N28" t="str">
        <f t="shared" si="11"/>
        <v>{ nombre: "Tiempo Ordinario, Semana 3 Domingo", archivo: "/salterios/src/evan/audios/tos03domingo.mp3", fecha: `${year}-01-25` },</v>
      </c>
    </row>
    <row r="29" spans="1:14" x14ac:dyDescent="0.25">
      <c r="A29" t="s">
        <v>0</v>
      </c>
      <c r="B29" t="str">
        <f t="shared" si="7"/>
        <v>ordinario</v>
      </c>
      <c r="C29" t="s">
        <v>2</v>
      </c>
      <c r="D29" s="2">
        <f>D28</f>
        <v>3</v>
      </c>
      <c r="E29" t="s">
        <v>3</v>
      </c>
      <c r="F29" t="s">
        <v>17</v>
      </c>
      <c r="G29" s="1" t="str">
        <f t="shared" ref="G29:G34" si="14">_xlfn.CONCAT(LEFT(A29,1),LEFT(B29,1),LEFT(C29,1),"0",D29,E29)</f>
        <v>tos03lunes</v>
      </c>
      <c r="H29" t="s">
        <v>15</v>
      </c>
      <c r="I29">
        <f t="shared" si="4"/>
        <v>1</v>
      </c>
      <c r="J29">
        <f t="shared" si="10"/>
        <v>26</v>
      </c>
      <c r="K29" t="s">
        <v>27</v>
      </c>
      <c r="L29" t="str">
        <f t="shared" si="6"/>
        <v>Enero</v>
      </c>
      <c r="M29" t="s">
        <v>28</v>
      </c>
      <c r="N29" t="str">
        <f t="shared" si="11"/>
        <v>{ nombre: "Tiempo Ordinario, Semana 3 Lunes", archivo: "/salterios/src/evan/audios/tos03lunes.mp3", fecha: `${year}-01-26` },</v>
      </c>
    </row>
    <row r="30" spans="1:14" x14ac:dyDescent="0.25">
      <c r="A30" t="s">
        <v>0</v>
      </c>
      <c r="B30" t="str">
        <f t="shared" si="7"/>
        <v>ordinario</v>
      </c>
      <c r="C30" t="s">
        <v>2</v>
      </c>
      <c r="D30" s="2">
        <f t="shared" ref="D30:D34" si="15">D29</f>
        <v>3</v>
      </c>
      <c r="E30" t="s">
        <v>4</v>
      </c>
      <c r="F30" t="s">
        <v>17</v>
      </c>
      <c r="G30" s="1" t="str">
        <f t="shared" si="14"/>
        <v>tos03martes</v>
      </c>
      <c r="H30" t="s">
        <v>15</v>
      </c>
      <c r="I30">
        <f t="shared" si="4"/>
        <v>1</v>
      </c>
      <c r="J30">
        <f t="shared" si="10"/>
        <v>27</v>
      </c>
      <c r="K30" t="s">
        <v>27</v>
      </c>
      <c r="L30" t="str">
        <f t="shared" si="6"/>
        <v>Enero</v>
      </c>
      <c r="M30" t="s">
        <v>28</v>
      </c>
      <c r="N30" t="str">
        <f t="shared" si="11"/>
        <v>{ nombre: "Tiempo Ordinario, Semana 3 Martes", archivo: "/salterios/src/evan/audios/tos03martes.mp3", fecha: `${year}-01-27` },</v>
      </c>
    </row>
    <row r="31" spans="1:14" x14ac:dyDescent="0.25">
      <c r="A31" t="s">
        <v>0</v>
      </c>
      <c r="B31" t="str">
        <f t="shared" si="7"/>
        <v>ordinario</v>
      </c>
      <c r="C31" t="s">
        <v>2</v>
      </c>
      <c r="D31" s="2">
        <f t="shared" si="15"/>
        <v>3</v>
      </c>
      <c r="E31" t="s">
        <v>5</v>
      </c>
      <c r="F31" t="s">
        <v>17</v>
      </c>
      <c r="G31" s="1" t="str">
        <f t="shared" si="14"/>
        <v>tos03miercoles</v>
      </c>
      <c r="H31" t="s">
        <v>15</v>
      </c>
      <c r="I31">
        <f t="shared" si="4"/>
        <v>1</v>
      </c>
      <c r="J31">
        <f t="shared" si="10"/>
        <v>28</v>
      </c>
      <c r="K31" t="s">
        <v>27</v>
      </c>
      <c r="L31" t="str">
        <f t="shared" si="6"/>
        <v>Enero</v>
      </c>
      <c r="M31" t="s">
        <v>28</v>
      </c>
      <c r="N31" t="str">
        <f t="shared" si="11"/>
        <v>{ nombre: "Tiempo Ordinario, Semana 3 Miercoles", archivo: "/salterios/src/evan/audios/tos03miercoles.mp3", fecha: `${year}-01-28` },</v>
      </c>
    </row>
    <row r="32" spans="1:14" x14ac:dyDescent="0.25">
      <c r="A32" t="s">
        <v>0</v>
      </c>
      <c r="B32" t="str">
        <f t="shared" si="7"/>
        <v>ordinario</v>
      </c>
      <c r="C32" t="s">
        <v>2</v>
      </c>
      <c r="D32" s="2">
        <f t="shared" si="15"/>
        <v>3</v>
      </c>
      <c r="E32" t="s">
        <v>6</v>
      </c>
      <c r="F32" t="s">
        <v>17</v>
      </c>
      <c r="G32" s="1" t="str">
        <f t="shared" si="14"/>
        <v>tos03jueves</v>
      </c>
      <c r="H32" t="s">
        <v>15</v>
      </c>
      <c r="I32">
        <f t="shared" si="4"/>
        <v>1</v>
      </c>
      <c r="J32">
        <f t="shared" si="10"/>
        <v>29</v>
      </c>
      <c r="K32" t="s">
        <v>27</v>
      </c>
      <c r="L32" t="str">
        <f t="shared" si="6"/>
        <v>Enero</v>
      </c>
      <c r="M32" t="s">
        <v>28</v>
      </c>
      <c r="N32" t="str">
        <f t="shared" si="11"/>
        <v>{ nombre: "Tiempo Ordinario, Semana 3 Jueves", archivo: "/salterios/src/evan/audios/tos03jueves.mp3", fecha: `${year}-01-29` },</v>
      </c>
    </row>
    <row r="33" spans="1:14" x14ac:dyDescent="0.25">
      <c r="A33" t="s">
        <v>0</v>
      </c>
      <c r="B33" t="str">
        <f t="shared" si="7"/>
        <v>ordinario</v>
      </c>
      <c r="C33" t="s">
        <v>2</v>
      </c>
      <c r="D33" s="2">
        <f t="shared" si="15"/>
        <v>3</v>
      </c>
      <c r="E33" t="s">
        <v>7</v>
      </c>
      <c r="F33" t="s">
        <v>17</v>
      </c>
      <c r="G33" s="1" t="str">
        <f t="shared" si="14"/>
        <v>tos03viernes</v>
      </c>
      <c r="H33" t="s">
        <v>15</v>
      </c>
      <c r="I33">
        <f t="shared" si="4"/>
        <v>1</v>
      </c>
      <c r="J33">
        <f t="shared" si="10"/>
        <v>30</v>
      </c>
      <c r="K33" t="s">
        <v>27</v>
      </c>
      <c r="L33" t="str">
        <f t="shared" si="6"/>
        <v>Enero</v>
      </c>
      <c r="M33" t="s">
        <v>28</v>
      </c>
      <c r="N33" t="str">
        <f t="shared" si="11"/>
        <v>{ nombre: "Tiempo Ordinario, Semana 3 Viernes", archivo: "/salterios/src/evan/audios/tos03viernes.mp3", fecha: `${year}-01-30` },</v>
      </c>
    </row>
    <row r="34" spans="1:14" x14ac:dyDescent="0.25">
      <c r="A34" t="s">
        <v>0</v>
      </c>
      <c r="B34" t="str">
        <f t="shared" si="7"/>
        <v>ordinario</v>
      </c>
      <c r="C34" t="s">
        <v>2</v>
      </c>
      <c r="D34" s="2">
        <f t="shared" si="15"/>
        <v>3</v>
      </c>
      <c r="E34" t="s">
        <v>8</v>
      </c>
      <c r="F34" t="s">
        <v>17</v>
      </c>
      <c r="G34" s="1" t="str">
        <f t="shared" si="14"/>
        <v>tos03sabado</v>
      </c>
      <c r="H34" t="s">
        <v>15</v>
      </c>
      <c r="I34">
        <v>2</v>
      </c>
      <c r="J34">
        <v>1</v>
      </c>
      <c r="K34" t="s">
        <v>27</v>
      </c>
      <c r="L34" t="str">
        <f t="shared" si="6"/>
        <v>Febrero</v>
      </c>
      <c r="M34" t="s">
        <v>28</v>
      </c>
      <c r="N34" t="str">
        <f t="shared" si="11"/>
        <v>{ nombre: "Tiempo Ordinario, Semana 3 Sabado", archivo: "/salterios/src/evan/audios/tos03sabado.mp3", fecha: `${year}-02-1` },</v>
      </c>
    </row>
    <row r="35" spans="1:14" x14ac:dyDescent="0.25">
      <c r="A35" t="s">
        <v>0</v>
      </c>
      <c r="B35" t="str">
        <f t="shared" si="7"/>
        <v>ordinario</v>
      </c>
      <c r="C35" t="s">
        <v>2</v>
      </c>
      <c r="D35" s="2">
        <f>+D34+1</f>
        <v>4</v>
      </c>
      <c r="E35" t="s">
        <v>9</v>
      </c>
      <c r="F35" t="s">
        <v>17</v>
      </c>
      <c r="G35" s="1" t="str">
        <f>_xlfn.CONCAT(LEFT(A35,1),LEFT(B35,1),LEFT(C35,1),"0",D35,E35)</f>
        <v>tos04domingo</v>
      </c>
      <c r="H35" t="s">
        <v>15</v>
      </c>
      <c r="I35">
        <f t="shared" si="4"/>
        <v>2</v>
      </c>
      <c r="J35">
        <f t="shared" si="10"/>
        <v>2</v>
      </c>
      <c r="K35" t="s">
        <v>27</v>
      </c>
      <c r="L35" t="str">
        <f t="shared" si="6"/>
        <v>Febrero</v>
      </c>
      <c r="M35" t="s">
        <v>28</v>
      </c>
      <c r="N35" t="str">
        <f t="shared" si="11"/>
        <v>{ nombre: "Tiempo Ordinario, Semana 4 Domingo", archivo: "/salterios/src/evan/audios/tos04domingo.mp3", fecha: `${year}-02-2` },</v>
      </c>
    </row>
    <row r="36" spans="1:14" x14ac:dyDescent="0.25">
      <c r="A36" t="s">
        <v>0</v>
      </c>
      <c r="B36" t="str">
        <f>B35</f>
        <v>ordinario</v>
      </c>
      <c r="C36" t="s">
        <v>2</v>
      </c>
      <c r="D36" s="2">
        <f>D35</f>
        <v>4</v>
      </c>
      <c r="E36" t="s">
        <v>3</v>
      </c>
      <c r="F36" t="s">
        <v>17</v>
      </c>
      <c r="G36" s="1" t="str">
        <f t="shared" ref="G36:G41" si="16">_xlfn.CONCAT(LEFT(A36,1),LEFT(B36,1),LEFT(C36,1),"0",D36,E36)</f>
        <v>tos04lunes</v>
      </c>
      <c r="H36" t="s">
        <v>15</v>
      </c>
      <c r="I36">
        <f t="shared" si="4"/>
        <v>2</v>
      </c>
      <c r="J36">
        <f t="shared" si="10"/>
        <v>3</v>
      </c>
      <c r="K36" t="s">
        <v>27</v>
      </c>
      <c r="L36" t="str">
        <f t="shared" si="6"/>
        <v>Febrero</v>
      </c>
      <c r="M36" t="s">
        <v>28</v>
      </c>
      <c r="N36" t="str">
        <f t="shared" si="11"/>
        <v>{ nombre: "Tiempo Ordinario, Semana 4 Lunes", archivo: "/salterios/src/evan/audios/tos04lunes.mp3", fecha: `${year}-02-3` },</v>
      </c>
    </row>
    <row r="37" spans="1:14" x14ac:dyDescent="0.25">
      <c r="A37" t="s">
        <v>0</v>
      </c>
      <c r="B37" t="str">
        <f t="shared" ref="B37:B100" si="17">B36</f>
        <v>ordinario</v>
      </c>
      <c r="C37" t="s">
        <v>2</v>
      </c>
      <c r="D37" s="2">
        <f t="shared" ref="D37:D41" si="18">D36</f>
        <v>4</v>
      </c>
      <c r="E37" t="s">
        <v>4</v>
      </c>
      <c r="F37" t="s">
        <v>17</v>
      </c>
      <c r="G37" s="1" t="str">
        <f t="shared" si="16"/>
        <v>tos04martes</v>
      </c>
      <c r="H37" t="s">
        <v>15</v>
      </c>
      <c r="I37">
        <f t="shared" si="4"/>
        <v>2</v>
      </c>
      <c r="J37">
        <f t="shared" si="10"/>
        <v>4</v>
      </c>
      <c r="K37" t="s">
        <v>27</v>
      </c>
      <c r="L37" t="str">
        <f t="shared" si="6"/>
        <v>Febrero</v>
      </c>
      <c r="M37" t="s">
        <v>28</v>
      </c>
      <c r="N37" t="str">
        <f t="shared" si="11"/>
        <v>{ nombre: "Tiempo Ordinario, Semana 4 Martes", archivo: "/salterios/src/evan/audios/tos04martes.mp3", fecha: `${year}-02-4` },</v>
      </c>
    </row>
    <row r="38" spans="1:14" x14ac:dyDescent="0.25">
      <c r="A38" t="s">
        <v>0</v>
      </c>
      <c r="B38" t="str">
        <f t="shared" si="17"/>
        <v>ordinario</v>
      </c>
      <c r="C38" t="s">
        <v>2</v>
      </c>
      <c r="D38" s="2">
        <f t="shared" si="18"/>
        <v>4</v>
      </c>
      <c r="E38" t="s">
        <v>5</v>
      </c>
      <c r="F38" t="s">
        <v>17</v>
      </c>
      <c r="G38" s="1" t="str">
        <f t="shared" si="16"/>
        <v>tos04miercoles</v>
      </c>
      <c r="H38" t="s">
        <v>15</v>
      </c>
      <c r="I38">
        <f t="shared" si="4"/>
        <v>2</v>
      </c>
      <c r="J38">
        <f t="shared" si="10"/>
        <v>5</v>
      </c>
      <c r="K38" t="s">
        <v>27</v>
      </c>
      <c r="L38" t="str">
        <f t="shared" si="6"/>
        <v>Febrero</v>
      </c>
      <c r="M38" t="s">
        <v>28</v>
      </c>
      <c r="N38" t="str">
        <f t="shared" si="11"/>
        <v>{ nombre: "Tiempo Ordinario, Semana 4 Miercoles", archivo: "/salterios/src/evan/audios/tos04miercoles.mp3", fecha: `${year}-02-5` },</v>
      </c>
    </row>
    <row r="39" spans="1:14" x14ac:dyDescent="0.25">
      <c r="A39" t="s">
        <v>0</v>
      </c>
      <c r="B39" t="str">
        <f t="shared" si="17"/>
        <v>ordinario</v>
      </c>
      <c r="C39" t="s">
        <v>2</v>
      </c>
      <c r="D39" s="2">
        <f t="shared" si="18"/>
        <v>4</v>
      </c>
      <c r="E39" t="s">
        <v>6</v>
      </c>
      <c r="F39" t="s">
        <v>17</v>
      </c>
      <c r="G39" s="1" t="str">
        <f t="shared" si="16"/>
        <v>tos04jueves</v>
      </c>
      <c r="H39" t="s">
        <v>15</v>
      </c>
      <c r="I39">
        <f t="shared" si="4"/>
        <v>2</v>
      </c>
      <c r="J39">
        <f t="shared" si="10"/>
        <v>6</v>
      </c>
      <c r="K39" t="s">
        <v>27</v>
      </c>
      <c r="L39" t="str">
        <f t="shared" si="6"/>
        <v>Febrero</v>
      </c>
      <c r="M39" t="s">
        <v>28</v>
      </c>
      <c r="N39" t="str">
        <f t="shared" si="11"/>
        <v>{ nombre: "Tiempo Ordinario, Semana 4 Jueves", archivo: "/salterios/src/evan/audios/tos04jueves.mp3", fecha: `${year}-02-6` },</v>
      </c>
    </row>
    <row r="40" spans="1:14" x14ac:dyDescent="0.25">
      <c r="A40" t="s">
        <v>0</v>
      </c>
      <c r="B40" t="str">
        <f t="shared" si="17"/>
        <v>ordinario</v>
      </c>
      <c r="C40" t="s">
        <v>2</v>
      </c>
      <c r="D40" s="2">
        <f t="shared" si="18"/>
        <v>4</v>
      </c>
      <c r="E40" t="s">
        <v>7</v>
      </c>
      <c r="F40" t="s">
        <v>17</v>
      </c>
      <c r="G40" s="1" t="str">
        <f t="shared" si="16"/>
        <v>tos04viernes</v>
      </c>
      <c r="H40" t="s">
        <v>15</v>
      </c>
      <c r="I40">
        <f t="shared" si="4"/>
        <v>2</v>
      </c>
      <c r="J40">
        <f t="shared" si="10"/>
        <v>7</v>
      </c>
      <c r="K40" t="s">
        <v>27</v>
      </c>
      <c r="L40" t="str">
        <f t="shared" si="6"/>
        <v>Febrero</v>
      </c>
      <c r="M40" t="s">
        <v>28</v>
      </c>
      <c r="N40" t="str">
        <f t="shared" si="11"/>
        <v>{ nombre: "Tiempo Ordinario, Semana 4 Viernes", archivo: "/salterios/src/evan/audios/tos04viernes.mp3", fecha: `${year}-02-7` },</v>
      </c>
    </row>
    <row r="41" spans="1:14" x14ac:dyDescent="0.25">
      <c r="A41" t="s">
        <v>0</v>
      </c>
      <c r="B41" t="str">
        <f t="shared" si="17"/>
        <v>ordinario</v>
      </c>
      <c r="C41" t="s">
        <v>2</v>
      </c>
      <c r="D41" s="2">
        <f t="shared" si="18"/>
        <v>4</v>
      </c>
      <c r="E41" t="s">
        <v>8</v>
      </c>
      <c r="F41" t="s">
        <v>17</v>
      </c>
      <c r="G41" s="1" t="str">
        <f t="shared" si="16"/>
        <v>tos04sabado</v>
      </c>
      <c r="H41" t="s">
        <v>15</v>
      </c>
      <c r="I41">
        <f t="shared" si="4"/>
        <v>2</v>
      </c>
      <c r="J41">
        <f t="shared" si="10"/>
        <v>8</v>
      </c>
      <c r="K41" t="s">
        <v>27</v>
      </c>
      <c r="L41" t="str">
        <f t="shared" si="6"/>
        <v>Febrero</v>
      </c>
      <c r="M41" t="s">
        <v>28</v>
      </c>
      <c r="N41" t="str">
        <f t="shared" si="11"/>
        <v>{ nombre: "Tiempo Ordinario, Semana 4 Sabado", archivo: "/salterios/src/evan/audios/tos04sabado.mp3", fecha: `${year}-02-8` },</v>
      </c>
    </row>
    <row r="42" spans="1:14" x14ac:dyDescent="0.25">
      <c r="A42" t="s">
        <v>0</v>
      </c>
      <c r="B42" t="str">
        <f t="shared" si="17"/>
        <v>ordinario</v>
      </c>
      <c r="C42" t="s">
        <v>2</v>
      </c>
      <c r="D42" s="2">
        <f>+D41+1</f>
        <v>5</v>
      </c>
      <c r="E42" t="s">
        <v>9</v>
      </c>
      <c r="F42" t="s">
        <v>17</v>
      </c>
      <c r="G42" s="1" t="str">
        <f>_xlfn.CONCAT(LEFT(A42,1),LEFT(B42,1),LEFT(C42,1),"0",D42,E42)</f>
        <v>tos05domingo</v>
      </c>
      <c r="H42" t="s">
        <v>15</v>
      </c>
      <c r="I42">
        <f t="shared" si="4"/>
        <v>2</v>
      </c>
      <c r="J42">
        <f t="shared" si="10"/>
        <v>9</v>
      </c>
      <c r="K42" t="s">
        <v>27</v>
      </c>
      <c r="L42" t="str">
        <f t="shared" si="6"/>
        <v>Febrero</v>
      </c>
      <c r="M42" t="s">
        <v>28</v>
      </c>
      <c r="N42" t="str">
        <f t="shared" si="11"/>
        <v>{ nombre: "Tiempo Ordinario, Semana 5 Domingo", archivo: "/salterios/src/evan/audios/tos05domingo.mp3", fecha: `${year}-02-9` },</v>
      </c>
    </row>
    <row r="43" spans="1:14" x14ac:dyDescent="0.25">
      <c r="A43" t="s">
        <v>0</v>
      </c>
      <c r="B43" t="str">
        <f t="shared" si="17"/>
        <v>ordinario</v>
      </c>
      <c r="C43" t="s">
        <v>2</v>
      </c>
      <c r="D43" s="2">
        <f>D42</f>
        <v>5</v>
      </c>
      <c r="E43" t="s">
        <v>3</v>
      </c>
      <c r="F43" t="s">
        <v>17</v>
      </c>
      <c r="G43" s="1" t="str">
        <f t="shared" ref="G43:G48" si="19">_xlfn.CONCAT(LEFT(A43,1),LEFT(B43,1),LEFT(C43,1),"0",D43,E43)</f>
        <v>tos05lunes</v>
      </c>
      <c r="H43" t="s">
        <v>15</v>
      </c>
      <c r="I43">
        <f t="shared" si="4"/>
        <v>2</v>
      </c>
      <c r="J43">
        <f t="shared" si="10"/>
        <v>10</v>
      </c>
      <c r="K43" t="s">
        <v>27</v>
      </c>
      <c r="L43" t="str">
        <f t="shared" si="6"/>
        <v>Febrero</v>
      </c>
      <c r="M43" t="s">
        <v>28</v>
      </c>
      <c r="N43" t="str">
        <f t="shared" si="11"/>
        <v>{ nombre: "Tiempo Ordinario, Semana 5 Lunes", archivo: "/salterios/src/evan/audios/tos05lunes.mp3", fecha: `${year}-02-10` },</v>
      </c>
    </row>
    <row r="44" spans="1:14" x14ac:dyDescent="0.25">
      <c r="A44" t="s">
        <v>0</v>
      </c>
      <c r="B44" t="str">
        <f t="shared" si="17"/>
        <v>ordinario</v>
      </c>
      <c r="C44" t="s">
        <v>2</v>
      </c>
      <c r="D44" s="2">
        <f t="shared" ref="D44:D48" si="20">D43</f>
        <v>5</v>
      </c>
      <c r="E44" t="s">
        <v>4</v>
      </c>
      <c r="F44" t="s">
        <v>17</v>
      </c>
      <c r="G44" s="1" t="str">
        <f t="shared" si="19"/>
        <v>tos05martes</v>
      </c>
      <c r="H44" t="s">
        <v>15</v>
      </c>
      <c r="I44">
        <f t="shared" si="4"/>
        <v>2</v>
      </c>
      <c r="J44">
        <f t="shared" si="10"/>
        <v>11</v>
      </c>
      <c r="K44" t="s">
        <v>27</v>
      </c>
      <c r="L44" t="str">
        <f t="shared" si="6"/>
        <v>Febrero</v>
      </c>
      <c r="M44" t="s">
        <v>28</v>
      </c>
      <c r="N44" t="str">
        <f t="shared" si="11"/>
        <v>{ nombre: "Tiempo Ordinario, Semana 5 Martes", archivo: "/salterios/src/evan/audios/tos05martes.mp3", fecha: `${year}-02-11` },</v>
      </c>
    </row>
    <row r="45" spans="1:14" x14ac:dyDescent="0.25">
      <c r="A45" t="s">
        <v>0</v>
      </c>
      <c r="B45" t="str">
        <f t="shared" si="17"/>
        <v>ordinario</v>
      </c>
      <c r="C45" t="s">
        <v>2</v>
      </c>
      <c r="D45" s="2">
        <f t="shared" si="20"/>
        <v>5</v>
      </c>
      <c r="E45" t="s">
        <v>5</v>
      </c>
      <c r="F45" t="s">
        <v>17</v>
      </c>
      <c r="G45" s="1" t="str">
        <f t="shared" si="19"/>
        <v>tos05miercoles</v>
      </c>
      <c r="H45" t="s">
        <v>15</v>
      </c>
      <c r="I45">
        <f t="shared" si="4"/>
        <v>2</v>
      </c>
      <c r="J45">
        <f t="shared" si="10"/>
        <v>12</v>
      </c>
      <c r="K45" t="s">
        <v>27</v>
      </c>
      <c r="L45" t="str">
        <f t="shared" si="6"/>
        <v>Febrero</v>
      </c>
      <c r="M45" t="s">
        <v>28</v>
      </c>
      <c r="N45" t="str">
        <f t="shared" si="11"/>
        <v>{ nombre: "Tiempo Ordinario, Semana 5 Miercoles", archivo: "/salterios/src/evan/audios/tos05miercoles.mp3", fecha: `${year}-02-12` },</v>
      </c>
    </row>
    <row r="46" spans="1:14" x14ac:dyDescent="0.25">
      <c r="A46" t="s">
        <v>0</v>
      </c>
      <c r="B46" t="str">
        <f t="shared" si="17"/>
        <v>ordinario</v>
      </c>
      <c r="C46" t="s">
        <v>2</v>
      </c>
      <c r="D46" s="2">
        <f t="shared" si="20"/>
        <v>5</v>
      </c>
      <c r="E46" t="s">
        <v>6</v>
      </c>
      <c r="F46" t="s">
        <v>17</v>
      </c>
      <c r="G46" s="1" t="str">
        <f t="shared" si="19"/>
        <v>tos05jueves</v>
      </c>
      <c r="H46" t="s">
        <v>15</v>
      </c>
      <c r="I46">
        <f t="shared" si="4"/>
        <v>2</v>
      </c>
      <c r="J46">
        <f t="shared" si="10"/>
        <v>13</v>
      </c>
      <c r="K46" t="s">
        <v>27</v>
      </c>
      <c r="L46" t="str">
        <f t="shared" si="6"/>
        <v>Febrero</v>
      </c>
      <c r="M46" t="s">
        <v>28</v>
      </c>
      <c r="N46" t="str">
        <f t="shared" si="11"/>
        <v>{ nombre: "Tiempo Ordinario, Semana 5 Jueves", archivo: "/salterios/src/evan/audios/tos05jueves.mp3", fecha: `${year}-02-13` },</v>
      </c>
    </row>
    <row r="47" spans="1:14" x14ac:dyDescent="0.25">
      <c r="A47" t="s">
        <v>0</v>
      </c>
      <c r="B47" t="str">
        <f t="shared" si="17"/>
        <v>ordinario</v>
      </c>
      <c r="C47" t="s">
        <v>2</v>
      </c>
      <c r="D47" s="2">
        <f t="shared" si="20"/>
        <v>5</v>
      </c>
      <c r="E47" t="s">
        <v>7</v>
      </c>
      <c r="F47" t="s">
        <v>17</v>
      </c>
      <c r="G47" s="1" t="str">
        <f t="shared" si="19"/>
        <v>tos05viernes</v>
      </c>
      <c r="H47" t="s">
        <v>15</v>
      </c>
      <c r="I47">
        <f t="shared" si="4"/>
        <v>2</v>
      </c>
      <c r="J47">
        <f t="shared" si="10"/>
        <v>14</v>
      </c>
      <c r="K47" t="s">
        <v>27</v>
      </c>
      <c r="L47" t="str">
        <f t="shared" si="6"/>
        <v>Febrero</v>
      </c>
      <c r="M47" t="s">
        <v>28</v>
      </c>
      <c r="N47" t="str">
        <f t="shared" si="11"/>
        <v>{ nombre: "Tiempo Ordinario, Semana 5 Viernes", archivo: "/salterios/src/evan/audios/tos05viernes.mp3", fecha: `${year}-02-14` },</v>
      </c>
    </row>
    <row r="48" spans="1:14" x14ac:dyDescent="0.25">
      <c r="A48" t="s">
        <v>0</v>
      </c>
      <c r="B48" t="str">
        <f t="shared" si="17"/>
        <v>ordinario</v>
      </c>
      <c r="C48" t="s">
        <v>2</v>
      </c>
      <c r="D48" s="2">
        <f t="shared" si="20"/>
        <v>5</v>
      </c>
      <c r="E48" t="s">
        <v>8</v>
      </c>
      <c r="F48" t="s">
        <v>17</v>
      </c>
      <c r="G48" s="1" t="str">
        <f t="shared" si="19"/>
        <v>tos05sabado</v>
      </c>
      <c r="H48" t="s">
        <v>15</v>
      </c>
      <c r="I48">
        <f t="shared" si="4"/>
        <v>2</v>
      </c>
      <c r="J48">
        <f t="shared" si="10"/>
        <v>15</v>
      </c>
      <c r="K48" t="s">
        <v>27</v>
      </c>
      <c r="L48" t="str">
        <f t="shared" si="6"/>
        <v>Febrero</v>
      </c>
      <c r="M48" t="s">
        <v>28</v>
      </c>
      <c r="N48" t="str">
        <f t="shared" si="11"/>
        <v>{ nombre: "Tiempo Ordinario, Semana 5 Sabado", archivo: "/salterios/src/evan/audios/tos05sabado.mp3", fecha: `${year}-02-15` },</v>
      </c>
    </row>
    <row r="49" spans="1:14" x14ac:dyDescent="0.25">
      <c r="A49" t="s">
        <v>0</v>
      </c>
      <c r="B49" t="str">
        <f t="shared" si="17"/>
        <v>ordinario</v>
      </c>
      <c r="C49" t="s">
        <v>2</v>
      </c>
      <c r="D49" s="2">
        <f>+D48+1</f>
        <v>6</v>
      </c>
      <c r="E49" t="s">
        <v>9</v>
      </c>
      <c r="F49" t="s">
        <v>17</v>
      </c>
      <c r="G49" s="1" t="str">
        <f>_xlfn.CONCAT(LEFT(A49,1),LEFT(B49,1),LEFT(C49,1),"0",D49,E49)</f>
        <v>tos06domingo</v>
      </c>
      <c r="H49" t="s">
        <v>15</v>
      </c>
      <c r="I49">
        <f t="shared" si="4"/>
        <v>2</v>
      </c>
      <c r="J49">
        <f t="shared" si="10"/>
        <v>16</v>
      </c>
      <c r="K49" t="s">
        <v>27</v>
      </c>
      <c r="L49" t="str">
        <f t="shared" si="6"/>
        <v>Febrero</v>
      </c>
      <c r="M49" t="s">
        <v>28</v>
      </c>
      <c r="N49" t="str">
        <f t="shared" si="11"/>
        <v>{ nombre: "Tiempo Ordinario, Semana 6 Domingo", archivo: "/salterios/src/evan/audios/tos06domingo.mp3", fecha: `${year}-02-16` },</v>
      </c>
    </row>
    <row r="50" spans="1:14" x14ac:dyDescent="0.25">
      <c r="A50" t="s">
        <v>0</v>
      </c>
      <c r="B50" t="str">
        <f t="shared" si="17"/>
        <v>ordinario</v>
      </c>
      <c r="C50" t="s">
        <v>2</v>
      </c>
      <c r="D50" s="2">
        <f>D49</f>
        <v>6</v>
      </c>
      <c r="E50" t="s">
        <v>3</v>
      </c>
      <c r="F50" t="s">
        <v>17</v>
      </c>
      <c r="G50" s="1" t="str">
        <f t="shared" ref="G50:G55" si="21">_xlfn.CONCAT(LEFT(A50,1),LEFT(B50,1),LEFT(C50,1),"0",D50,E50)</f>
        <v>tos06lunes</v>
      </c>
      <c r="H50" t="s">
        <v>15</v>
      </c>
      <c r="I50">
        <f t="shared" si="4"/>
        <v>2</v>
      </c>
      <c r="J50">
        <f t="shared" si="10"/>
        <v>17</v>
      </c>
      <c r="K50" t="s">
        <v>27</v>
      </c>
      <c r="L50" t="str">
        <f t="shared" si="6"/>
        <v>Febrero</v>
      </c>
      <c r="M50" t="s">
        <v>28</v>
      </c>
      <c r="N50" t="str">
        <f t="shared" si="11"/>
        <v>{ nombre: "Tiempo Ordinario, Semana 6 Lunes", archivo: "/salterios/src/evan/audios/tos06lunes.mp3", fecha: `${year}-02-17` },</v>
      </c>
    </row>
    <row r="51" spans="1:14" x14ac:dyDescent="0.25">
      <c r="A51" t="s">
        <v>0</v>
      </c>
      <c r="B51" t="str">
        <f t="shared" si="17"/>
        <v>ordinario</v>
      </c>
      <c r="C51" t="s">
        <v>2</v>
      </c>
      <c r="D51" s="2">
        <f t="shared" ref="D51:D55" si="22">D50</f>
        <v>6</v>
      </c>
      <c r="E51" t="s">
        <v>4</v>
      </c>
      <c r="F51" t="s">
        <v>17</v>
      </c>
      <c r="G51" s="1" t="str">
        <f t="shared" si="21"/>
        <v>tos06martes</v>
      </c>
      <c r="H51" t="s">
        <v>15</v>
      </c>
      <c r="I51">
        <f t="shared" si="4"/>
        <v>2</v>
      </c>
      <c r="J51">
        <f t="shared" si="10"/>
        <v>18</v>
      </c>
      <c r="K51" t="s">
        <v>27</v>
      </c>
      <c r="L51" t="str">
        <f t="shared" si="6"/>
        <v>Febrero</v>
      </c>
      <c r="M51" t="s">
        <v>28</v>
      </c>
      <c r="N51" t="str">
        <f t="shared" si="11"/>
        <v>{ nombre: "Tiempo Ordinario, Semana 6 Martes", archivo: "/salterios/src/evan/audios/tos06martes.mp3", fecha: `${year}-02-18` },</v>
      </c>
    </row>
    <row r="52" spans="1:14" x14ac:dyDescent="0.25">
      <c r="A52" t="s">
        <v>0</v>
      </c>
      <c r="B52" t="str">
        <f t="shared" si="17"/>
        <v>ordinario</v>
      </c>
      <c r="C52" t="s">
        <v>2</v>
      </c>
      <c r="D52" s="2">
        <f t="shared" si="22"/>
        <v>6</v>
      </c>
      <c r="E52" t="s">
        <v>5</v>
      </c>
      <c r="F52" t="s">
        <v>17</v>
      </c>
      <c r="G52" s="1" t="str">
        <f t="shared" si="21"/>
        <v>tos06miercoles</v>
      </c>
      <c r="H52" t="s">
        <v>15</v>
      </c>
      <c r="I52">
        <f t="shared" si="4"/>
        <v>2</v>
      </c>
      <c r="J52">
        <f t="shared" si="10"/>
        <v>19</v>
      </c>
      <c r="K52" t="s">
        <v>27</v>
      </c>
      <c r="L52" t="str">
        <f t="shared" si="6"/>
        <v>Febrero</v>
      </c>
      <c r="M52" t="s">
        <v>28</v>
      </c>
      <c r="N52" t="str">
        <f t="shared" si="11"/>
        <v>{ nombre: "Tiempo Ordinario, Semana 6 Miercoles", archivo: "/salterios/src/evan/audios/tos06miercoles.mp3", fecha: `${year}-02-19` },</v>
      </c>
    </row>
    <row r="53" spans="1:14" x14ac:dyDescent="0.25">
      <c r="A53" t="s">
        <v>0</v>
      </c>
      <c r="B53" t="str">
        <f t="shared" si="17"/>
        <v>ordinario</v>
      </c>
      <c r="C53" t="s">
        <v>2</v>
      </c>
      <c r="D53" s="2">
        <f t="shared" si="22"/>
        <v>6</v>
      </c>
      <c r="E53" t="s">
        <v>6</v>
      </c>
      <c r="F53" t="s">
        <v>17</v>
      </c>
      <c r="G53" s="1" t="str">
        <f t="shared" si="21"/>
        <v>tos06jueves</v>
      </c>
      <c r="H53" t="s">
        <v>15</v>
      </c>
      <c r="I53">
        <f t="shared" si="4"/>
        <v>2</v>
      </c>
      <c r="J53">
        <f t="shared" si="10"/>
        <v>20</v>
      </c>
      <c r="K53" t="s">
        <v>27</v>
      </c>
      <c r="L53" t="str">
        <f t="shared" si="6"/>
        <v>Febrero</v>
      </c>
      <c r="M53" t="s">
        <v>28</v>
      </c>
      <c r="N53" t="str">
        <f t="shared" si="11"/>
        <v>{ nombre: "Tiempo Ordinario, Semana 6 Jueves", archivo: "/salterios/src/evan/audios/tos06jueves.mp3", fecha: `${year}-02-20` },</v>
      </c>
    </row>
    <row r="54" spans="1:14" x14ac:dyDescent="0.25">
      <c r="A54" t="s">
        <v>0</v>
      </c>
      <c r="B54" t="str">
        <f t="shared" si="17"/>
        <v>ordinario</v>
      </c>
      <c r="C54" t="s">
        <v>2</v>
      </c>
      <c r="D54" s="2">
        <f t="shared" si="22"/>
        <v>6</v>
      </c>
      <c r="E54" t="s">
        <v>7</v>
      </c>
      <c r="F54" t="s">
        <v>17</v>
      </c>
      <c r="G54" s="1" t="str">
        <f t="shared" si="21"/>
        <v>tos06viernes</v>
      </c>
      <c r="H54" t="s">
        <v>15</v>
      </c>
      <c r="I54">
        <f t="shared" si="4"/>
        <v>2</v>
      </c>
      <c r="J54">
        <f t="shared" si="10"/>
        <v>21</v>
      </c>
      <c r="K54" t="s">
        <v>27</v>
      </c>
      <c r="L54" t="str">
        <f t="shared" si="6"/>
        <v>Febrero</v>
      </c>
      <c r="M54" t="s">
        <v>28</v>
      </c>
      <c r="N54" t="str">
        <f t="shared" si="11"/>
        <v>{ nombre: "Tiempo Ordinario, Semana 6 Viernes", archivo: "/salterios/src/evan/audios/tos06viernes.mp3", fecha: `${year}-02-21` },</v>
      </c>
    </row>
    <row r="55" spans="1:14" x14ac:dyDescent="0.25">
      <c r="A55" t="s">
        <v>0</v>
      </c>
      <c r="B55" t="str">
        <f t="shared" si="17"/>
        <v>ordinario</v>
      </c>
      <c r="C55" t="s">
        <v>2</v>
      </c>
      <c r="D55" s="2">
        <f t="shared" si="22"/>
        <v>6</v>
      </c>
      <c r="E55" t="s">
        <v>8</v>
      </c>
      <c r="F55" t="s">
        <v>17</v>
      </c>
      <c r="G55" s="1" t="str">
        <f t="shared" si="21"/>
        <v>tos06sabado</v>
      </c>
      <c r="H55" t="s">
        <v>15</v>
      </c>
      <c r="I55">
        <f t="shared" si="4"/>
        <v>2</v>
      </c>
      <c r="J55">
        <f t="shared" si="10"/>
        <v>22</v>
      </c>
      <c r="K55" t="s">
        <v>27</v>
      </c>
      <c r="L55" t="str">
        <f t="shared" si="6"/>
        <v>Febrero</v>
      </c>
      <c r="M55" t="s">
        <v>28</v>
      </c>
      <c r="N55" t="str">
        <f t="shared" si="11"/>
        <v>{ nombre: "Tiempo Ordinario, Semana 6 Sabado", archivo: "/salterios/src/evan/audios/tos06sabado.mp3", fecha: `${year}-02-22` },</v>
      </c>
    </row>
    <row r="56" spans="1:14" x14ac:dyDescent="0.25">
      <c r="A56" t="s">
        <v>0</v>
      </c>
      <c r="B56" t="str">
        <f t="shared" si="17"/>
        <v>ordinario</v>
      </c>
      <c r="C56" t="s">
        <v>2</v>
      </c>
      <c r="D56" s="2">
        <f>+D55+1</f>
        <v>7</v>
      </c>
      <c r="E56" t="s">
        <v>9</v>
      </c>
      <c r="F56" t="s">
        <v>17</v>
      </c>
      <c r="G56" s="1" t="str">
        <f>_xlfn.CONCAT(LEFT(A56,1),LEFT(B56,1),LEFT(C56,1),"0",D56,E56)</f>
        <v>tos07domingo</v>
      </c>
      <c r="H56" t="s">
        <v>15</v>
      </c>
      <c r="I56">
        <f t="shared" si="4"/>
        <v>2</v>
      </c>
      <c r="J56">
        <f t="shared" si="10"/>
        <v>23</v>
      </c>
      <c r="K56" t="s">
        <v>27</v>
      </c>
      <c r="L56" t="str">
        <f t="shared" si="6"/>
        <v>Febrero</v>
      </c>
      <c r="M56" t="s">
        <v>28</v>
      </c>
      <c r="N56" t="str">
        <f t="shared" si="11"/>
        <v>{ nombre: "Tiempo Ordinario, Semana 7 Domingo", archivo: "/salterios/src/evan/audios/tos07domingo.mp3", fecha: `${year}-02-23` },</v>
      </c>
    </row>
    <row r="57" spans="1:14" x14ac:dyDescent="0.25">
      <c r="A57" t="s">
        <v>0</v>
      </c>
      <c r="B57" t="str">
        <f t="shared" si="17"/>
        <v>ordinario</v>
      </c>
      <c r="C57" t="s">
        <v>2</v>
      </c>
      <c r="D57" s="2">
        <f>D56</f>
        <v>7</v>
      </c>
      <c r="E57" t="s">
        <v>3</v>
      </c>
      <c r="F57" t="s">
        <v>17</v>
      </c>
      <c r="G57" s="1" t="str">
        <f t="shared" ref="G57:G62" si="23">_xlfn.CONCAT(LEFT(A57,1),LEFT(B57,1),LEFT(C57,1),"0",D57,E57)</f>
        <v>tos07lunes</v>
      </c>
      <c r="H57" t="s">
        <v>15</v>
      </c>
      <c r="I57">
        <f t="shared" si="4"/>
        <v>2</v>
      </c>
      <c r="J57">
        <f t="shared" si="10"/>
        <v>24</v>
      </c>
      <c r="K57" t="s">
        <v>27</v>
      </c>
      <c r="L57" t="str">
        <f t="shared" si="6"/>
        <v>Febrero</v>
      </c>
      <c r="M57" t="s">
        <v>28</v>
      </c>
      <c r="N57" t="str">
        <f t="shared" si="11"/>
        <v>{ nombre: "Tiempo Ordinario, Semana 7 Lunes", archivo: "/salterios/src/evan/audios/tos07lunes.mp3", fecha: `${year}-02-24` },</v>
      </c>
    </row>
    <row r="58" spans="1:14" x14ac:dyDescent="0.25">
      <c r="A58" t="s">
        <v>0</v>
      </c>
      <c r="B58" t="str">
        <f t="shared" si="17"/>
        <v>ordinario</v>
      </c>
      <c r="C58" t="s">
        <v>2</v>
      </c>
      <c r="D58" s="2">
        <f t="shared" ref="D58:D62" si="24">D57</f>
        <v>7</v>
      </c>
      <c r="E58" t="s">
        <v>4</v>
      </c>
      <c r="F58" t="s">
        <v>17</v>
      </c>
      <c r="G58" s="1" t="str">
        <f t="shared" si="23"/>
        <v>tos07martes</v>
      </c>
      <c r="H58" t="s">
        <v>15</v>
      </c>
      <c r="I58">
        <f t="shared" si="4"/>
        <v>2</v>
      </c>
      <c r="J58">
        <f t="shared" si="10"/>
        <v>25</v>
      </c>
      <c r="K58" t="s">
        <v>27</v>
      </c>
      <c r="L58" t="str">
        <f t="shared" si="6"/>
        <v>Febrero</v>
      </c>
      <c r="M58" t="s">
        <v>28</v>
      </c>
      <c r="N58" t="str">
        <f t="shared" si="11"/>
        <v>{ nombre: "Tiempo Ordinario, Semana 7 Martes", archivo: "/salterios/src/evan/audios/tos07martes.mp3", fecha: `${year}-02-25` },</v>
      </c>
    </row>
    <row r="59" spans="1:14" x14ac:dyDescent="0.25">
      <c r="A59" t="s">
        <v>0</v>
      </c>
      <c r="B59" t="str">
        <f t="shared" si="17"/>
        <v>ordinario</v>
      </c>
      <c r="C59" t="s">
        <v>2</v>
      </c>
      <c r="D59" s="2">
        <f t="shared" si="24"/>
        <v>7</v>
      </c>
      <c r="E59" t="s">
        <v>5</v>
      </c>
      <c r="F59" t="s">
        <v>17</v>
      </c>
      <c r="G59" s="1" t="str">
        <f t="shared" si="23"/>
        <v>tos07miercoles</v>
      </c>
      <c r="H59" t="s">
        <v>15</v>
      </c>
      <c r="I59">
        <f t="shared" si="4"/>
        <v>2</v>
      </c>
      <c r="J59">
        <f t="shared" si="10"/>
        <v>26</v>
      </c>
      <c r="K59" t="s">
        <v>27</v>
      </c>
      <c r="L59" t="str">
        <f t="shared" si="6"/>
        <v>Febrero</v>
      </c>
      <c r="M59" t="s">
        <v>28</v>
      </c>
      <c r="N59" t="str">
        <f t="shared" si="11"/>
        <v>{ nombre: "Tiempo Ordinario, Semana 7 Miercoles", archivo: "/salterios/src/evan/audios/tos07miercoles.mp3", fecha: `${year}-02-26` },</v>
      </c>
    </row>
    <row r="60" spans="1:14" x14ac:dyDescent="0.25">
      <c r="A60" t="s">
        <v>0</v>
      </c>
      <c r="B60" t="str">
        <f t="shared" si="17"/>
        <v>ordinario</v>
      </c>
      <c r="C60" t="s">
        <v>2</v>
      </c>
      <c r="D60" s="2">
        <f t="shared" si="24"/>
        <v>7</v>
      </c>
      <c r="E60" t="s">
        <v>6</v>
      </c>
      <c r="F60" t="s">
        <v>17</v>
      </c>
      <c r="G60" s="1" t="str">
        <f t="shared" si="23"/>
        <v>tos07jueves</v>
      </c>
      <c r="H60" t="s">
        <v>15</v>
      </c>
      <c r="I60">
        <f t="shared" si="4"/>
        <v>2</v>
      </c>
      <c r="J60">
        <f t="shared" si="10"/>
        <v>27</v>
      </c>
      <c r="K60" t="s">
        <v>27</v>
      </c>
      <c r="L60" t="str">
        <f t="shared" si="6"/>
        <v>Febrero</v>
      </c>
      <c r="M60" t="s">
        <v>28</v>
      </c>
      <c r="N60" t="str">
        <f t="shared" si="11"/>
        <v>{ nombre: "Tiempo Ordinario, Semana 7 Jueves", archivo: "/salterios/src/evan/audios/tos07jueves.mp3", fecha: `${year}-02-27` },</v>
      </c>
    </row>
    <row r="61" spans="1:14" x14ac:dyDescent="0.25">
      <c r="A61" t="s">
        <v>0</v>
      </c>
      <c r="B61" t="str">
        <f t="shared" si="17"/>
        <v>ordinario</v>
      </c>
      <c r="C61" t="s">
        <v>2</v>
      </c>
      <c r="D61" s="2">
        <f t="shared" si="24"/>
        <v>7</v>
      </c>
      <c r="E61" t="s">
        <v>7</v>
      </c>
      <c r="F61" t="s">
        <v>17</v>
      </c>
      <c r="G61" s="1" t="str">
        <f t="shared" si="23"/>
        <v>tos07viernes</v>
      </c>
      <c r="H61" t="s">
        <v>15</v>
      </c>
      <c r="I61">
        <f t="shared" si="4"/>
        <v>2</v>
      </c>
      <c r="J61">
        <f t="shared" si="10"/>
        <v>28</v>
      </c>
      <c r="K61" t="s">
        <v>27</v>
      </c>
      <c r="L61" t="str">
        <f t="shared" si="6"/>
        <v>Febrero</v>
      </c>
      <c r="M61" t="s">
        <v>28</v>
      </c>
      <c r="N61" t="str">
        <f t="shared" si="11"/>
        <v>{ nombre: "Tiempo Ordinario, Semana 7 Viernes", archivo: "/salterios/src/evan/audios/tos07viernes.mp3", fecha: `${year}-02-28` },</v>
      </c>
    </row>
    <row r="62" spans="1:14" x14ac:dyDescent="0.25">
      <c r="A62" t="s">
        <v>0</v>
      </c>
      <c r="B62" t="str">
        <f t="shared" si="17"/>
        <v>ordinario</v>
      </c>
      <c r="C62" t="s">
        <v>2</v>
      </c>
      <c r="D62" s="2">
        <f t="shared" si="24"/>
        <v>7</v>
      </c>
      <c r="E62" t="s">
        <v>8</v>
      </c>
      <c r="F62" t="s">
        <v>17</v>
      </c>
      <c r="G62" s="1" t="str">
        <f t="shared" si="23"/>
        <v>tos07sabado</v>
      </c>
      <c r="H62" t="s">
        <v>15</v>
      </c>
      <c r="I62">
        <v>3</v>
      </c>
      <c r="J62">
        <v>1</v>
      </c>
      <c r="K62" t="s">
        <v>27</v>
      </c>
      <c r="L62" t="str">
        <f t="shared" si="6"/>
        <v>Marzo</v>
      </c>
      <c r="M62" t="s">
        <v>28</v>
      </c>
      <c r="N62" t="str">
        <f t="shared" si="11"/>
        <v>{ nombre: "Tiempo Ordinario, Semana 7 Sabado", archivo: "/salterios/src/evan/audios/tos07sabado.mp3", fecha: `${year}-03-1` },</v>
      </c>
    </row>
    <row r="63" spans="1:14" x14ac:dyDescent="0.25">
      <c r="A63" t="s">
        <v>0</v>
      </c>
      <c r="B63" t="str">
        <f t="shared" si="17"/>
        <v>ordinario</v>
      </c>
      <c r="C63" t="s">
        <v>2</v>
      </c>
      <c r="D63" s="2">
        <f>+D62+1</f>
        <v>8</v>
      </c>
      <c r="E63" t="s">
        <v>9</v>
      </c>
      <c r="F63" t="s">
        <v>17</v>
      </c>
      <c r="G63" s="1" t="str">
        <f>_xlfn.CONCAT(LEFT(A63,1),LEFT(B63,1),LEFT(C63,1),"0",D63,E63)</f>
        <v>tos08domingo</v>
      </c>
      <c r="H63" t="s">
        <v>15</v>
      </c>
      <c r="I63">
        <f t="shared" si="4"/>
        <v>3</v>
      </c>
      <c r="J63">
        <f t="shared" ref="J63:J126" si="25">+J62+1</f>
        <v>2</v>
      </c>
      <c r="K63" t="s">
        <v>27</v>
      </c>
      <c r="L63" t="str">
        <f t="shared" si="6"/>
        <v>Marzo</v>
      </c>
      <c r="M63" t="s">
        <v>28</v>
      </c>
      <c r="N63" t="str">
        <f t="shared" si="11"/>
        <v>{ nombre: "Tiempo Ordinario, Semana 8 Domingo", archivo: "/salterios/src/evan/audios/tos08domingo.mp3", fecha: `${year}-03-2` },</v>
      </c>
    </row>
    <row r="64" spans="1:14" x14ac:dyDescent="0.25">
      <c r="A64" t="s">
        <v>0</v>
      </c>
      <c r="B64" t="str">
        <f t="shared" si="17"/>
        <v>ordinario</v>
      </c>
      <c r="C64" t="s">
        <v>2</v>
      </c>
      <c r="D64" s="2">
        <f>D63</f>
        <v>8</v>
      </c>
      <c r="E64" t="s">
        <v>3</v>
      </c>
      <c r="F64" t="s">
        <v>17</v>
      </c>
      <c r="G64" s="1" t="str">
        <f t="shared" ref="G64:G69" si="26">_xlfn.CONCAT(LEFT(A64,1),LEFT(B64,1),LEFT(C64,1),"0",D64,E64)</f>
        <v>tos08lunes</v>
      </c>
      <c r="H64" t="s">
        <v>15</v>
      </c>
      <c r="I64">
        <f t="shared" si="4"/>
        <v>3</v>
      </c>
      <c r="J64">
        <f t="shared" si="25"/>
        <v>3</v>
      </c>
      <c r="K64" t="s">
        <v>27</v>
      </c>
      <c r="L64" t="str">
        <f t="shared" si="6"/>
        <v>Marzo</v>
      </c>
      <c r="M64" t="s">
        <v>28</v>
      </c>
      <c r="N64" t="str">
        <f t="shared" si="11"/>
        <v>{ nombre: "Tiempo Ordinario, Semana 8 Lunes", archivo: "/salterios/src/evan/audios/tos08lunes.mp3", fecha: `${year}-03-3` },</v>
      </c>
    </row>
    <row r="65" spans="1:14" x14ac:dyDescent="0.25">
      <c r="A65" t="s">
        <v>0</v>
      </c>
      <c r="B65" t="str">
        <f t="shared" si="17"/>
        <v>ordinario</v>
      </c>
      <c r="C65" t="s">
        <v>2</v>
      </c>
      <c r="D65" s="2">
        <f t="shared" ref="D65:D69" si="27">D64</f>
        <v>8</v>
      </c>
      <c r="E65" t="s">
        <v>4</v>
      </c>
      <c r="F65" t="s">
        <v>17</v>
      </c>
      <c r="G65" s="1" t="str">
        <f t="shared" si="26"/>
        <v>tos08martes</v>
      </c>
      <c r="H65" t="s">
        <v>15</v>
      </c>
      <c r="I65">
        <f t="shared" si="4"/>
        <v>3</v>
      </c>
      <c r="J65">
        <f t="shared" si="25"/>
        <v>4</v>
      </c>
      <c r="K65" t="s">
        <v>27</v>
      </c>
      <c r="L65" t="str">
        <f t="shared" si="6"/>
        <v>Marzo</v>
      </c>
      <c r="M65" t="s">
        <v>28</v>
      </c>
      <c r="N65" t="str">
        <f t="shared" si="11"/>
        <v>{ nombre: "Tiempo Ordinario, Semana 8 Martes", archivo: "/salterios/src/evan/audios/tos08martes.mp3", fecha: `${year}-03-4` },</v>
      </c>
    </row>
    <row r="66" spans="1:14" x14ac:dyDescent="0.25">
      <c r="A66" t="s">
        <v>0</v>
      </c>
      <c r="B66" t="s">
        <v>12</v>
      </c>
      <c r="C66" t="s">
        <v>2</v>
      </c>
      <c r="D66" s="2" t="s">
        <v>20</v>
      </c>
      <c r="E66" t="s">
        <v>19</v>
      </c>
      <c r="F66" t="s">
        <v>17</v>
      </c>
      <c r="G66" s="1" t="str">
        <f t="shared" si="26"/>
        <v>tcs0demiercoles Ceniza</v>
      </c>
      <c r="H66" t="s">
        <v>15</v>
      </c>
      <c r="I66">
        <f t="shared" si="4"/>
        <v>3</v>
      </c>
      <c r="J66">
        <f t="shared" si="25"/>
        <v>5</v>
      </c>
      <c r="K66" t="s">
        <v>27</v>
      </c>
      <c r="L66" t="str">
        <f t="shared" si="6"/>
        <v>Marzo</v>
      </c>
      <c r="M66" t="s">
        <v>28</v>
      </c>
      <c r="N66" t="str">
        <f t="shared" si="11"/>
        <v>{ nombre: "Tiempo Cuaresma, Semana de Miercoles Ceniza", archivo: "/salterios/src/evan/audios/tcs0demiercoles Ceniza.mp3", fecha: `${year}-03-5` },</v>
      </c>
    </row>
    <row r="67" spans="1:14" x14ac:dyDescent="0.25">
      <c r="A67" t="s">
        <v>0</v>
      </c>
      <c r="B67" t="str">
        <f t="shared" si="17"/>
        <v>cuaresma</v>
      </c>
      <c r="C67" t="s">
        <v>2</v>
      </c>
      <c r="D67" s="2" t="str">
        <f t="shared" si="27"/>
        <v>de</v>
      </c>
      <c r="E67" t="s">
        <v>6</v>
      </c>
      <c r="F67" t="s">
        <v>17</v>
      </c>
      <c r="G67" s="1" t="str">
        <f t="shared" si="26"/>
        <v>tcs0dejueves</v>
      </c>
      <c r="H67" t="s">
        <v>15</v>
      </c>
      <c r="I67">
        <f t="shared" si="4"/>
        <v>3</v>
      </c>
      <c r="J67">
        <f t="shared" si="25"/>
        <v>6</v>
      </c>
      <c r="K67" t="s">
        <v>27</v>
      </c>
      <c r="L67" t="str">
        <f t="shared" si="6"/>
        <v>Marzo</v>
      </c>
      <c r="M67" t="s">
        <v>28</v>
      </c>
      <c r="N67" t="str">
        <f t="shared" si="11"/>
        <v>{ nombre: "Tiempo Cuaresma, Semana de Jueves", archivo: "/salterios/src/evan/audios/tcs0dejueves.mp3", fecha: `${year}-03-6` },</v>
      </c>
    </row>
    <row r="68" spans="1:14" x14ac:dyDescent="0.25">
      <c r="A68" t="s">
        <v>0</v>
      </c>
      <c r="B68" t="str">
        <f t="shared" si="17"/>
        <v>cuaresma</v>
      </c>
      <c r="C68" t="s">
        <v>2</v>
      </c>
      <c r="D68" s="2" t="str">
        <f t="shared" si="27"/>
        <v>de</v>
      </c>
      <c r="E68" t="s">
        <v>7</v>
      </c>
      <c r="F68" t="s">
        <v>17</v>
      </c>
      <c r="G68" s="1" t="str">
        <f t="shared" si="26"/>
        <v>tcs0deviernes</v>
      </c>
      <c r="H68" t="s">
        <v>15</v>
      </c>
      <c r="I68">
        <f t="shared" ref="I68:I92" si="28">I67</f>
        <v>3</v>
      </c>
      <c r="J68">
        <f t="shared" si="25"/>
        <v>7</v>
      </c>
      <c r="K68" t="s">
        <v>27</v>
      </c>
      <c r="L68" t="str">
        <f t="shared" si="6"/>
        <v>Marzo</v>
      </c>
      <c r="M68" t="s">
        <v>28</v>
      </c>
      <c r="N68" t="str">
        <f t="shared" si="11"/>
        <v>{ nombre: "Tiempo Cuaresma, Semana de Viernes", archivo: "/salterios/src/evan/audios/tcs0deviernes.mp3", fecha: `${year}-03-7` },</v>
      </c>
    </row>
    <row r="69" spans="1:14" x14ac:dyDescent="0.25">
      <c r="A69" t="s">
        <v>0</v>
      </c>
      <c r="B69" t="str">
        <f t="shared" si="17"/>
        <v>cuaresma</v>
      </c>
      <c r="C69" t="s">
        <v>2</v>
      </c>
      <c r="D69" s="2" t="str">
        <f t="shared" si="27"/>
        <v>de</v>
      </c>
      <c r="E69" t="s">
        <v>8</v>
      </c>
      <c r="F69" t="s">
        <v>17</v>
      </c>
      <c r="G69" s="1" t="str">
        <f t="shared" si="26"/>
        <v>tcs0desabado</v>
      </c>
      <c r="H69" t="s">
        <v>15</v>
      </c>
      <c r="I69">
        <f t="shared" si="28"/>
        <v>3</v>
      </c>
      <c r="J69">
        <f t="shared" si="25"/>
        <v>8</v>
      </c>
      <c r="K69" t="s">
        <v>27</v>
      </c>
      <c r="L69" t="str">
        <f t="shared" si="6"/>
        <v>Marzo</v>
      </c>
      <c r="M69" t="s">
        <v>28</v>
      </c>
      <c r="N69" t="str">
        <f t="shared" si="11"/>
        <v>{ nombre: "Tiempo Cuaresma, Semana de Sabado", archivo: "/salterios/src/evan/audios/tcs0desabado.mp3", fecha: `${year}-03-8` },</v>
      </c>
    </row>
    <row r="70" spans="1:14" x14ac:dyDescent="0.25">
      <c r="A70" t="s">
        <v>0</v>
      </c>
      <c r="B70" t="str">
        <f t="shared" si="17"/>
        <v>cuaresma</v>
      </c>
      <c r="C70" t="s">
        <v>2</v>
      </c>
      <c r="D70" s="2">
        <v>1</v>
      </c>
      <c r="E70" t="s">
        <v>9</v>
      </c>
      <c r="F70" t="s">
        <v>17</v>
      </c>
      <c r="G70" s="1" t="str">
        <f>_xlfn.CONCAT(LEFT(A70,1),LEFT(B70,1),LEFT(C70,1),"0",D70,E70)</f>
        <v>tcs01domingo</v>
      </c>
      <c r="H70" t="s">
        <v>15</v>
      </c>
      <c r="I70">
        <f t="shared" si="28"/>
        <v>3</v>
      </c>
      <c r="J70">
        <f t="shared" si="25"/>
        <v>9</v>
      </c>
      <c r="K70" t="s">
        <v>27</v>
      </c>
      <c r="L70" t="str">
        <f t="shared" si="6"/>
        <v>Marzo</v>
      </c>
      <c r="M70" t="s">
        <v>28</v>
      </c>
      <c r="N70" t="str">
        <f t="shared" si="11"/>
        <v>{ nombre: "Tiempo Cuaresma, Semana 1 Domingo", archivo: "/salterios/src/evan/audios/tcs01domingo.mp3", fecha: `${year}-03-9` },</v>
      </c>
    </row>
    <row r="71" spans="1:14" x14ac:dyDescent="0.25">
      <c r="A71" t="s">
        <v>0</v>
      </c>
      <c r="B71" t="str">
        <f t="shared" si="17"/>
        <v>cuaresma</v>
      </c>
      <c r="C71" t="s">
        <v>2</v>
      </c>
      <c r="D71" s="2">
        <f>D70</f>
        <v>1</v>
      </c>
      <c r="E71" t="s">
        <v>3</v>
      </c>
      <c r="F71" t="s">
        <v>17</v>
      </c>
      <c r="G71" s="1" t="str">
        <f t="shared" ref="G71:G76" si="29">_xlfn.CONCAT(LEFT(A71,1),LEFT(B71,1),LEFT(C71,1),"0",D71,E71)</f>
        <v>tcs01lunes</v>
      </c>
      <c r="H71" t="s">
        <v>15</v>
      </c>
      <c r="I71">
        <f t="shared" si="28"/>
        <v>3</v>
      </c>
      <c r="J71">
        <f t="shared" si="25"/>
        <v>10</v>
      </c>
      <c r="K71" t="s">
        <v>27</v>
      </c>
      <c r="L71" t="str">
        <f t="shared" si="6"/>
        <v>Marzo</v>
      </c>
      <c r="M71" t="s">
        <v>28</v>
      </c>
      <c r="N71" t="str">
        <f t="shared" si="11"/>
        <v>{ nombre: "Tiempo Cuaresma, Semana 1 Lunes", archivo: "/salterios/src/evan/audios/tcs01lunes.mp3", fecha: `${year}-03-10` },</v>
      </c>
    </row>
    <row r="72" spans="1:14" x14ac:dyDescent="0.25">
      <c r="A72" t="s">
        <v>0</v>
      </c>
      <c r="B72" t="str">
        <f t="shared" si="17"/>
        <v>cuaresma</v>
      </c>
      <c r="C72" t="s">
        <v>2</v>
      </c>
      <c r="D72" s="2">
        <f t="shared" ref="D72:D76" si="30">D71</f>
        <v>1</v>
      </c>
      <c r="E72" t="s">
        <v>4</v>
      </c>
      <c r="F72" t="s">
        <v>17</v>
      </c>
      <c r="G72" s="1" t="str">
        <f t="shared" si="29"/>
        <v>tcs01martes</v>
      </c>
      <c r="H72" t="s">
        <v>15</v>
      </c>
      <c r="I72">
        <f t="shared" si="28"/>
        <v>3</v>
      </c>
      <c r="J72">
        <f t="shared" si="25"/>
        <v>11</v>
      </c>
      <c r="K72" t="s">
        <v>27</v>
      </c>
      <c r="L72" t="str">
        <f t="shared" si="6"/>
        <v>Marzo</v>
      </c>
      <c r="M72" t="s">
        <v>28</v>
      </c>
      <c r="N72" t="str">
        <f t="shared" si="11"/>
        <v>{ nombre: "Tiempo Cuaresma, Semana 1 Martes", archivo: "/salterios/src/evan/audios/tcs01martes.mp3", fecha: `${year}-03-11` },</v>
      </c>
    </row>
    <row r="73" spans="1:14" x14ac:dyDescent="0.25">
      <c r="A73" t="s">
        <v>0</v>
      </c>
      <c r="B73" t="str">
        <f t="shared" si="17"/>
        <v>cuaresma</v>
      </c>
      <c r="C73" t="s">
        <v>2</v>
      </c>
      <c r="D73" s="2">
        <f t="shared" si="30"/>
        <v>1</v>
      </c>
      <c r="E73" t="s">
        <v>5</v>
      </c>
      <c r="F73" t="s">
        <v>17</v>
      </c>
      <c r="G73" s="1" t="str">
        <f t="shared" si="29"/>
        <v>tcs01miercoles</v>
      </c>
      <c r="H73" t="s">
        <v>15</v>
      </c>
      <c r="I73">
        <f t="shared" si="28"/>
        <v>3</v>
      </c>
      <c r="J73">
        <f t="shared" si="25"/>
        <v>12</v>
      </c>
      <c r="K73" t="s">
        <v>27</v>
      </c>
      <c r="L73" t="str">
        <f t="shared" si="6"/>
        <v>Marzo</v>
      </c>
      <c r="M73" t="s">
        <v>28</v>
      </c>
      <c r="N73" t="str">
        <f t="shared" si="11"/>
        <v>{ nombre: "Tiempo Cuaresma, Semana 1 Miercoles", archivo: "/salterios/src/evan/audios/tcs01miercoles.mp3", fecha: `${year}-03-12` },</v>
      </c>
    </row>
    <row r="74" spans="1:14" x14ac:dyDescent="0.25">
      <c r="A74" t="s">
        <v>0</v>
      </c>
      <c r="B74" t="str">
        <f t="shared" si="17"/>
        <v>cuaresma</v>
      </c>
      <c r="C74" t="s">
        <v>2</v>
      </c>
      <c r="D74" s="2">
        <f t="shared" si="30"/>
        <v>1</v>
      </c>
      <c r="E74" t="s">
        <v>6</v>
      </c>
      <c r="F74" t="s">
        <v>17</v>
      </c>
      <c r="G74" s="1" t="str">
        <f t="shared" si="29"/>
        <v>tcs01jueves</v>
      </c>
      <c r="H74" t="s">
        <v>15</v>
      </c>
      <c r="I74">
        <f t="shared" si="28"/>
        <v>3</v>
      </c>
      <c r="J74">
        <f t="shared" si="25"/>
        <v>13</v>
      </c>
      <c r="K74" t="s">
        <v>27</v>
      </c>
      <c r="L74" t="str">
        <f t="shared" si="6"/>
        <v>Marzo</v>
      </c>
      <c r="M74" t="s">
        <v>28</v>
      </c>
      <c r="N74" t="str">
        <f t="shared" si="11"/>
        <v>{ nombre: "Tiempo Cuaresma, Semana 1 Jueves", archivo: "/salterios/src/evan/audios/tcs01jueves.mp3", fecha: `${year}-03-13` },</v>
      </c>
    </row>
    <row r="75" spans="1:14" x14ac:dyDescent="0.25">
      <c r="A75" t="s">
        <v>0</v>
      </c>
      <c r="B75" t="str">
        <f t="shared" si="17"/>
        <v>cuaresma</v>
      </c>
      <c r="C75" t="s">
        <v>2</v>
      </c>
      <c r="D75" s="2">
        <f t="shared" si="30"/>
        <v>1</v>
      </c>
      <c r="E75" t="s">
        <v>7</v>
      </c>
      <c r="F75" t="s">
        <v>17</v>
      </c>
      <c r="G75" s="1" t="str">
        <f t="shared" si="29"/>
        <v>tcs01viernes</v>
      </c>
      <c r="H75" t="s">
        <v>15</v>
      </c>
      <c r="I75">
        <f t="shared" si="28"/>
        <v>3</v>
      </c>
      <c r="J75">
        <f t="shared" si="25"/>
        <v>14</v>
      </c>
      <c r="K75" t="s">
        <v>27</v>
      </c>
      <c r="L75" t="str">
        <f t="shared" si="6"/>
        <v>Marzo</v>
      </c>
      <c r="M75" t="s">
        <v>28</v>
      </c>
      <c r="N75" t="str">
        <f t="shared" si="11"/>
        <v>{ nombre: "Tiempo Cuaresma, Semana 1 Viernes", archivo: "/salterios/src/evan/audios/tcs01viernes.mp3", fecha: `${year}-03-14` },</v>
      </c>
    </row>
    <row r="76" spans="1:14" x14ac:dyDescent="0.25">
      <c r="A76" t="s">
        <v>0</v>
      </c>
      <c r="B76" t="str">
        <f t="shared" si="17"/>
        <v>cuaresma</v>
      </c>
      <c r="C76" t="s">
        <v>2</v>
      </c>
      <c r="D76" s="2">
        <f t="shared" si="30"/>
        <v>1</v>
      </c>
      <c r="E76" t="s">
        <v>8</v>
      </c>
      <c r="F76" t="s">
        <v>17</v>
      </c>
      <c r="G76" s="1" t="str">
        <f t="shared" si="29"/>
        <v>tcs01sabado</v>
      </c>
      <c r="H76" t="s">
        <v>15</v>
      </c>
      <c r="I76">
        <f t="shared" si="28"/>
        <v>3</v>
      </c>
      <c r="J76">
        <f t="shared" si="25"/>
        <v>15</v>
      </c>
      <c r="K76" t="s">
        <v>27</v>
      </c>
      <c r="L76" t="str">
        <f t="shared" si="6"/>
        <v>Marzo</v>
      </c>
      <c r="M76" t="s">
        <v>28</v>
      </c>
      <c r="N76" t="str">
        <f t="shared" si="11"/>
        <v>{ nombre: "Tiempo Cuaresma, Semana 1 Sabado", archivo: "/salterios/src/evan/audios/tcs01sabado.mp3", fecha: `${year}-03-15` },</v>
      </c>
    </row>
    <row r="77" spans="1:14" x14ac:dyDescent="0.25">
      <c r="A77" t="s">
        <v>0</v>
      </c>
      <c r="B77" t="str">
        <f t="shared" si="17"/>
        <v>cuaresma</v>
      </c>
      <c r="C77" t="s">
        <v>2</v>
      </c>
      <c r="D77" s="2">
        <v>2</v>
      </c>
      <c r="E77" t="s">
        <v>9</v>
      </c>
      <c r="F77" t="s">
        <v>17</v>
      </c>
      <c r="G77" s="1" t="str">
        <f>_xlfn.CONCAT(LEFT(A77,1),LEFT(B77,1),LEFT(C77,1),"0",D77,E77)</f>
        <v>tcs02domingo</v>
      </c>
      <c r="H77" t="s">
        <v>15</v>
      </c>
      <c r="I77">
        <f t="shared" si="28"/>
        <v>3</v>
      </c>
      <c r="J77">
        <f t="shared" si="25"/>
        <v>16</v>
      </c>
      <c r="K77" t="s">
        <v>27</v>
      </c>
      <c r="L77" t="str">
        <f t="shared" si="6"/>
        <v>Marzo</v>
      </c>
      <c r="M77" t="s">
        <v>28</v>
      </c>
      <c r="N77" t="str">
        <f t="shared" si="11"/>
        <v>{ nombre: "Tiempo Cuaresma, Semana 2 Domingo", archivo: "/salterios/src/evan/audios/tcs02domingo.mp3", fecha: `${year}-03-16` },</v>
      </c>
    </row>
    <row r="78" spans="1:14" x14ac:dyDescent="0.25">
      <c r="A78" t="s">
        <v>0</v>
      </c>
      <c r="B78" t="str">
        <f t="shared" si="17"/>
        <v>cuaresma</v>
      </c>
      <c r="C78" t="s">
        <v>2</v>
      </c>
      <c r="D78" s="2">
        <f>D77</f>
        <v>2</v>
      </c>
      <c r="E78" t="s">
        <v>3</v>
      </c>
      <c r="F78" t="s">
        <v>17</v>
      </c>
      <c r="G78" s="1" t="str">
        <f t="shared" ref="G78:G83" si="31">_xlfn.CONCAT(LEFT(A78,1),LEFT(B78,1),LEFT(C78,1),"0",D78,E78)</f>
        <v>tcs02lunes</v>
      </c>
      <c r="H78" t="s">
        <v>15</v>
      </c>
      <c r="I78">
        <f t="shared" si="28"/>
        <v>3</v>
      </c>
      <c r="J78">
        <f t="shared" si="25"/>
        <v>17</v>
      </c>
      <c r="K78" t="s">
        <v>27</v>
      </c>
      <c r="L78" t="str">
        <f t="shared" ref="L78:L141" si="32">IF(I78=1,"Enero",
IF(I78=2,"Febrero",
IF(I78=3,"Marzo",
IF(I78=4,"Abril",
IF(I78=5,"Mayo",
IF(I78=6,"Junio",
IF(I78=7,"Julio",
IF(I78=8,"Agosto",
IF(I78=9,"Septiembre",
IF(I78=10,"Octubre",
IF(I78=11,"Noviembre",
IF(I78=12,"Diciembre",""))))))))))))</f>
        <v>Marzo</v>
      </c>
      <c r="M78" t="s">
        <v>28</v>
      </c>
      <c r="N78" t="str">
        <f t="shared" si="11"/>
        <v>{ nombre: "Tiempo Cuaresma, Semana 2 Lunes", archivo: "/salterios/src/evan/audios/tcs02lunes.mp3", fecha: `${year}-03-17` },</v>
      </c>
    </row>
    <row r="79" spans="1:14" x14ac:dyDescent="0.25">
      <c r="A79" t="s">
        <v>0</v>
      </c>
      <c r="B79" t="str">
        <f t="shared" si="17"/>
        <v>cuaresma</v>
      </c>
      <c r="C79" t="s">
        <v>2</v>
      </c>
      <c r="D79" s="2">
        <f t="shared" ref="D79:D83" si="33">D78</f>
        <v>2</v>
      </c>
      <c r="E79" t="s">
        <v>4</v>
      </c>
      <c r="F79" t="s">
        <v>17</v>
      </c>
      <c r="G79" s="1" t="str">
        <f t="shared" si="31"/>
        <v>tcs02martes</v>
      </c>
      <c r="H79" t="s">
        <v>15</v>
      </c>
      <c r="I79">
        <f t="shared" si="28"/>
        <v>3</v>
      </c>
      <c r="J79">
        <f t="shared" si="25"/>
        <v>18</v>
      </c>
      <c r="K79" t="s">
        <v>27</v>
      </c>
      <c r="L79" t="str">
        <f t="shared" si="32"/>
        <v>Marzo</v>
      </c>
      <c r="M79" t="s">
        <v>28</v>
      </c>
      <c r="N79" t="str">
        <f t="shared" si="11"/>
        <v>{ nombre: "Tiempo Cuaresma, Semana 2 Martes", archivo: "/salterios/src/evan/audios/tcs02martes.mp3", fecha: `${year}-03-18` },</v>
      </c>
    </row>
    <row r="80" spans="1:14" x14ac:dyDescent="0.25">
      <c r="A80" t="s">
        <v>0</v>
      </c>
      <c r="B80" t="str">
        <f t="shared" si="17"/>
        <v>cuaresma</v>
      </c>
      <c r="C80" t="s">
        <v>2</v>
      </c>
      <c r="D80" s="2">
        <f t="shared" si="33"/>
        <v>2</v>
      </c>
      <c r="E80" t="s">
        <v>5</v>
      </c>
      <c r="F80" t="s">
        <v>17</v>
      </c>
      <c r="G80" s="1" t="str">
        <f t="shared" si="31"/>
        <v>tcs02miercoles</v>
      </c>
      <c r="H80" t="s">
        <v>15</v>
      </c>
      <c r="I80">
        <f t="shared" si="28"/>
        <v>3</v>
      </c>
      <c r="J80">
        <f t="shared" si="25"/>
        <v>19</v>
      </c>
      <c r="K80" t="s">
        <v>27</v>
      </c>
      <c r="L80" t="str">
        <f t="shared" si="32"/>
        <v>Marzo</v>
      </c>
      <c r="M80" t="s">
        <v>28</v>
      </c>
      <c r="N80" t="str">
        <f t="shared" ref="N80:N143" si="34">_xlfn.CONCAT("{ nombre: ",H80,PROPER(A80)," ",PROPER(B80),", ",PROPER(C80)," ",D80," ",PROPER(E80),""",",F80,G80,".mp3",H80,", fecha: `${year}-",0,I80,"-",J80,"` },")</f>
        <v>{ nombre: "Tiempo Cuaresma, Semana 2 Miercoles", archivo: "/salterios/src/evan/audios/tcs02miercoles.mp3", fecha: `${year}-03-19` },</v>
      </c>
    </row>
    <row r="81" spans="1:14" x14ac:dyDescent="0.25">
      <c r="A81" t="s">
        <v>0</v>
      </c>
      <c r="B81" t="str">
        <f t="shared" si="17"/>
        <v>cuaresma</v>
      </c>
      <c r="C81" t="s">
        <v>2</v>
      </c>
      <c r="D81" s="2">
        <f t="shared" si="33"/>
        <v>2</v>
      </c>
      <c r="E81" t="s">
        <v>6</v>
      </c>
      <c r="F81" t="s">
        <v>17</v>
      </c>
      <c r="G81" s="1" t="str">
        <f t="shared" si="31"/>
        <v>tcs02jueves</v>
      </c>
      <c r="H81" t="s">
        <v>15</v>
      </c>
      <c r="I81">
        <f t="shared" si="28"/>
        <v>3</v>
      </c>
      <c r="J81">
        <f t="shared" si="25"/>
        <v>20</v>
      </c>
      <c r="K81" t="s">
        <v>27</v>
      </c>
      <c r="L81" t="str">
        <f t="shared" si="32"/>
        <v>Marzo</v>
      </c>
      <c r="M81" t="s">
        <v>28</v>
      </c>
      <c r="N81" t="str">
        <f t="shared" si="34"/>
        <v>{ nombre: "Tiempo Cuaresma, Semana 2 Jueves", archivo: "/salterios/src/evan/audios/tcs02jueves.mp3", fecha: `${year}-03-20` },</v>
      </c>
    </row>
    <row r="82" spans="1:14" x14ac:dyDescent="0.25">
      <c r="A82" t="s">
        <v>0</v>
      </c>
      <c r="B82" t="str">
        <f t="shared" si="17"/>
        <v>cuaresma</v>
      </c>
      <c r="C82" t="s">
        <v>2</v>
      </c>
      <c r="D82" s="2">
        <f t="shared" si="33"/>
        <v>2</v>
      </c>
      <c r="E82" t="s">
        <v>7</v>
      </c>
      <c r="F82" t="s">
        <v>17</v>
      </c>
      <c r="G82" s="1" t="str">
        <f t="shared" si="31"/>
        <v>tcs02viernes</v>
      </c>
      <c r="H82" t="s">
        <v>15</v>
      </c>
      <c r="I82">
        <f t="shared" si="28"/>
        <v>3</v>
      </c>
      <c r="J82">
        <f t="shared" si="25"/>
        <v>21</v>
      </c>
      <c r="K82" t="s">
        <v>27</v>
      </c>
      <c r="L82" t="str">
        <f t="shared" si="32"/>
        <v>Marzo</v>
      </c>
      <c r="M82" t="s">
        <v>28</v>
      </c>
      <c r="N82" t="str">
        <f t="shared" si="34"/>
        <v>{ nombre: "Tiempo Cuaresma, Semana 2 Viernes", archivo: "/salterios/src/evan/audios/tcs02viernes.mp3", fecha: `${year}-03-21` },</v>
      </c>
    </row>
    <row r="83" spans="1:14" x14ac:dyDescent="0.25">
      <c r="A83" t="s">
        <v>0</v>
      </c>
      <c r="B83" t="str">
        <f t="shared" si="17"/>
        <v>cuaresma</v>
      </c>
      <c r="C83" t="s">
        <v>2</v>
      </c>
      <c r="D83" s="2">
        <f t="shared" si="33"/>
        <v>2</v>
      </c>
      <c r="E83" t="s">
        <v>8</v>
      </c>
      <c r="F83" t="s">
        <v>17</v>
      </c>
      <c r="G83" s="1" t="str">
        <f t="shared" si="31"/>
        <v>tcs02sabado</v>
      </c>
      <c r="H83" t="s">
        <v>15</v>
      </c>
      <c r="I83">
        <f t="shared" si="28"/>
        <v>3</v>
      </c>
      <c r="J83">
        <f t="shared" si="25"/>
        <v>22</v>
      </c>
      <c r="K83" t="s">
        <v>27</v>
      </c>
      <c r="L83" t="str">
        <f t="shared" si="32"/>
        <v>Marzo</v>
      </c>
      <c r="M83" t="s">
        <v>28</v>
      </c>
      <c r="N83" t="str">
        <f t="shared" si="34"/>
        <v>{ nombre: "Tiempo Cuaresma, Semana 2 Sabado", archivo: "/salterios/src/evan/audios/tcs02sabado.mp3", fecha: `${year}-03-22` },</v>
      </c>
    </row>
    <row r="84" spans="1:14" x14ac:dyDescent="0.25">
      <c r="A84" t="s">
        <v>0</v>
      </c>
      <c r="B84" t="str">
        <f t="shared" si="17"/>
        <v>cuaresma</v>
      </c>
      <c r="C84" t="s">
        <v>2</v>
      </c>
      <c r="D84" s="2">
        <v>3</v>
      </c>
      <c r="E84" t="s">
        <v>9</v>
      </c>
      <c r="F84" t="s">
        <v>17</v>
      </c>
      <c r="G84" s="1" t="str">
        <f>_xlfn.CONCAT(LEFT(A84,1),LEFT(B84,1),LEFT(C84,1),"0",D84,E84)</f>
        <v>tcs03domingo</v>
      </c>
      <c r="H84" t="s">
        <v>15</v>
      </c>
      <c r="I84">
        <f t="shared" si="28"/>
        <v>3</v>
      </c>
      <c r="J84">
        <f t="shared" si="25"/>
        <v>23</v>
      </c>
      <c r="K84" t="s">
        <v>27</v>
      </c>
      <c r="L84" t="str">
        <f t="shared" si="32"/>
        <v>Marzo</v>
      </c>
      <c r="M84" t="s">
        <v>28</v>
      </c>
      <c r="N84" t="str">
        <f t="shared" si="34"/>
        <v>{ nombre: "Tiempo Cuaresma, Semana 3 Domingo", archivo: "/salterios/src/evan/audios/tcs03domingo.mp3", fecha: `${year}-03-23` },</v>
      </c>
    </row>
    <row r="85" spans="1:14" x14ac:dyDescent="0.25">
      <c r="A85" t="s">
        <v>0</v>
      </c>
      <c r="B85" t="str">
        <f t="shared" si="17"/>
        <v>cuaresma</v>
      </c>
      <c r="C85" t="s">
        <v>2</v>
      </c>
      <c r="D85" s="2">
        <f>D84</f>
        <v>3</v>
      </c>
      <c r="E85" t="s">
        <v>3</v>
      </c>
      <c r="F85" t="s">
        <v>17</v>
      </c>
      <c r="G85" s="1" t="str">
        <f t="shared" ref="G85:G90" si="35">_xlfn.CONCAT(LEFT(A85,1),LEFT(B85,1),LEFT(C85,1),"0",D85,E85)</f>
        <v>tcs03lunes</v>
      </c>
      <c r="H85" t="s">
        <v>15</v>
      </c>
      <c r="I85">
        <f t="shared" si="28"/>
        <v>3</v>
      </c>
      <c r="J85">
        <f t="shared" si="25"/>
        <v>24</v>
      </c>
      <c r="K85" t="s">
        <v>27</v>
      </c>
      <c r="L85" t="str">
        <f t="shared" si="32"/>
        <v>Marzo</v>
      </c>
      <c r="M85" t="s">
        <v>28</v>
      </c>
      <c r="N85" t="str">
        <f t="shared" si="34"/>
        <v>{ nombre: "Tiempo Cuaresma, Semana 3 Lunes", archivo: "/salterios/src/evan/audios/tcs03lunes.mp3", fecha: `${year}-03-24` },</v>
      </c>
    </row>
    <row r="86" spans="1:14" x14ac:dyDescent="0.25">
      <c r="A86" t="s">
        <v>0</v>
      </c>
      <c r="B86" t="str">
        <f t="shared" si="17"/>
        <v>cuaresma</v>
      </c>
      <c r="C86" t="s">
        <v>2</v>
      </c>
      <c r="D86" s="2">
        <f t="shared" ref="D86:D90" si="36">D85</f>
        <v>3</v>
      </c>
      <c r="E86" t="s">
        <v>4</v>
      </c>
      <c r="F86" t="s">
        <v>17</v>
      </c>
      <c r="G86" s="1" t="str">
        <f t="shared" si="35"/>
        <v>tcs03martes</v>
      </c>
      <c r="H86" t="s">
        <v>15</v>
      </c>
      <c r="I86">
        <f t="shared" si="28"/>
        <v>3</v>
      </c>
      <c r="J86">
        <f t="shared" si="25"/>
        <v>25</v>
      </c>
      <c r="K86" t="s">
        <v>27</v>
      </c>
      <c r="L86" t="str">
        <f t="shared" si="32"/>
        <v>Marzo</v>
      </c>
      <c r="M86" t="s">
        <v>28</v>
      </c>
      <c r="N86" t="str">
        <f t="shared" si="34"/>
        <v>{ nombre: "Tiempo Cuaresma, Semana 3 Martes", archivo: "/salterios/src/evan/audios/tcs03martes.mp3", fecha: `${year}-03-25` },</v>
      </c>
    </row>
    <row r="87" spans="1:14" x14ac:dyDescent="0.25">
      <c r="A87" t="s">
        <v>0</v>
      </c>
      <c r="B87" t="str">
        <f t="shared" si="17"/>
        <v>cuaresma</v>
      </c>
      <c r="C87" t="s">
        <v>2</v>
      </c>
      <c r="D87" s="2">
        <f t="shared" si="36"/>
        <v>3</v>
      </c>
      <c r="E87" t="s">
        <v>5</v>
      </c>
      <c r="F87" t="s">
        <v>17</v>
      </c>
      <c r="G87" s="1" t="str">
        <f t="shared" si="35"/>
        <v>tcs03miercoles</v>
      </c>
      <c r="H87" t="s">
        <v>15</v>
      </c>
      <c r="I87">
        <f t="shared" si="28"/>
        <v>3</v>
      </c>
      <c r="J87">
        <f t="shared" si="25"/>
        <v>26</v>
      </c>
      <c r="K87" t="s">
        <v>27</v>
      </c>
      <c r="L87" t="str">
        <f t="shared" si="32"/>
        <v>Marzo</v>
      </c>
      <c r="M87" t="s">
        <v>28</v>
      </c>
      <c r="N87" t="str">
        <f t="shared" si="34"/>
        <v>{ nombre: "Tiempo Cuaresma, Semana 3 Miercoles", archivo: "/salterios/src/evan/audios/tcs03miercoles.mp3", fecha: `${year}-03-26` },</v>
      </c>
    </row>
    <row r="88" spans="1:14" x14ac:dyDescent="0.25">
      <c r="A88" t="s">
        <v>0</v>
      </c>
      <c r="B88" t="str">
        <f t="shared" si="17"/>
        <v>cuaresma</v>
      </c>
      <c r="C88" t="s">
        <v>2</v>
      </c>
      <c r="D88" s="2">
        <f t="shared" si="36"/>
        <v>3</v>
      </c>
      <c r="E88" t="s">
        <v>6</v>
      </c>
      <c r="F88" t="s">
        <v>17</v>
      </c>
      <c r="G88" s="1" t="str">
        <f t="shared" si="35"/>
        <v>tcs03jueves</v>
      </c>
      <c r="H88" t="s">
        <v>15</v>
      </c>
      <c r="I88">
        <f t="shared" si="28"/>
        <v>3</v>
      </c>
      <c r="J88">
        <f t="shared" si="25"/>
        <v>27</v>
      </c>
      <c r="K88" t="s">
        <v>27</v>
      </c>
      <c r="L88" t="str">
        <f t="shared" si="32"/>
        <v>Marzo</v>
      </c>
      <c r="M88" t="s">
        <v>28</v>
      </c>
      <c r="N88" t="str">
        <f t="shared" si="34"/>
        <v>{ nombre: "Tiempo Cuaresma, Semana 3 Jueves", archivo: "/salterios/src/evan/audios/tcs03jueves.mp3", fecha: `${year}-03-27` },</v>
      </c>
    </row>
    <row r="89" spans="1:14" x14ac:dyDescent="0.25">
      <c r="A89" t="s">
        <v>0</v>
      </c>
      <c r="B89" t="str">
        <f t="shared" si="17"/>
        <v>cuaresma</v>
      </c>
      <c r="C89" t="s">
        <v>2</v>
      </c>
      <c r="D89" s="2">
        <f t="shared" si="36"/>
        <v>3</v>
      </c>
      <c r="E89" t="s">
        <v>7</v>
      </c>
      <c r="F89" t="s">
        <v>17</v>
      </c>
      <c r="G89" s="1" t="str">
        <f t="shared" si="35"/>
        <v>tcs03viernes</v>
      </c>
      <c r="H89" t="s">
        <v>15</v>
      </c>
      <c r="I89">
        <f t="shared" si="28"/>
        <v>3</v>
      </c>
      <c r="J89">
        <f t="shared" si="25"/>
        <v>28</v>
      </c>
      <c r="K89" t="s">
        <v>27</v>
      </c>
      <c r="L89" t="str">
        <f t="shared" si="32"/>
        <v>Marzo</v>
      </c>
      <c r="M89" t="s">
        <v>28</v>
      </c>
      <c r="N89" t="str">
        <f t="shared" si="34"/>
        <v>{ nombre: "Tiempo Cuaresma, Semana 3 Viernes", archivo: "/salterios/src/evan/audios/tcs03viernes.mp3", fecha: `${year}-03-28` },</v>
      </c>
    </row>
    <row r="90" spans="1:14" x14ac:dyDescent="0.25">
      <c r="A90" t="s">
        <v>0</v>
      </c>
      <c r="B90" t="str">
        <f t="shared" si="17"/>
        <v>cuaresma</v>
      </c>
      <c r="C90" t="s">
        <v>2</v>
      </c>
      <c r="D90" s="2">
        <f t="shared" si="36"/>
        <v>3</v>
      </c>
      <c r="E90" t="s">
        <v>8</v>
      </c>
      <c r="F90" t="s">
        <v>17</v>
      </c>
      <c r="G90" s="1" t="str">
        <f t="shared" si="35"/>
        <v>tcs03sabado</v>
      </c>
      <c r="H90" t="s">
        <v>15</v>
      </c>
      <c r="I90">
        <f t="shared" si="28"/>
        <v>3</v>
      </c>
      <c r="J90">
        <f t="shared" si="25"/>
        <v>29</v>
      </c>
      <c r="K90" t="s">
        <v>27</v>
      </c>
      <c r="L90" t="str">
        <f t="shared" si="32"/>
        <v>Marzo</v>
      </c>
      <c r="M90" t="s">
        <v>28</v>
      </c>
      <c r="N90" t="str">
        <f t="shared" si="34"/>
        <v>{ nombre: "Tiempo Cuaresma, Semana 3 Sabado", archivo: "/salterios/src/evan/audios/tcs03sabado.mp3", fecha: `${year}-03-29` },</v>
      </c>
    </row>
    <row r="91" spans="1:14" x14ac:dyDescent="0.25">
      <c r="A91" t="s">
        <v>0</v>
      </c>
      <c r="B91" t="str">
        <f t="shared" si="17"/>
        <v>cuaresma</v>
      </c>
      <c r="C91" t="s">
        <v>2</v>
      </c>
      <c r="D91" s="2">
        <v>4</v>
      </c>
      <c r="E91" t="s">
        <v>9</v>
      </c>
      <c r="F91" t="s">
        <v>17</v>
      </c>
      <c r="G91" s="1" t="str">
        <f>_xlfn.CONCAT(LEFT(A91,1),LEFT(B91,1),LEFT(C91,1),"0",D91,E91)</f>
        <v>tcs04domingo</v>
      </c>
      <c r="H91" t="s">
        <v>15</v>
      </c>
      <c r="I91">
        <f t="shared" si="28"/>
        <v>3</v>
      </c>
      <c r="J91">
        <f t="shared" si="25"/>
        <v>30</v>
      </c>
      <c r="K91" t="s">
        <v>27</v>
      </c>
      <c r="L91" t="str">
        <f t="shared" si="32"/>
        <v>Marzo</v>
      </c>
      <c r="M91" t="s">
        <v>28</v>
      </c>
      <c r="N91" t="str">
        <f t="shared" si="34"/>
        <v>{ nombre: "Tiempo Cuaresma, Semana 4 Domingo", archivo: "/salterios/src/evan/audios/tcs04domingo.mp3", fecha: `${year}-03-30` },</v>
      </c>
    </row>
    <row r="92" spans="1:14" x14ac:dyDescent="0.25">
      <c r="A92" t="s">
        <v>0</v>
      </c>
      <c r="B92" t="str">
        <f t="shared" si="17"/>
        <v>cuaresma</v>
      </c>
      <c r="C92" t="s">
        <v>2</v>
      </c>
      <c r="D92" s="2">
        <f>D91</f>
        <v>4</v>
      </c>
      <c r="E92" t="s">
        <v>3</v>
      </c>
      <c r="F92" t="s">
        <v>17</v>
      </c>
      <c r="G92" s="1" t="str">
        <f t="shared" ref="G92:G97" si="37">_xlfn.CONCAT(LEFT(A92,1),LEFT(B92,1),LEFT(C92,1),"0",D92,E92)</f>
        <v>tcs04lunes</v>
      </c>
      <c r="H92" t="s">
        <v>15</v>
      </c>
      <c r="I92">
        <f t="shared" si="28"/>
        <v>3</v>
      </c>
      <c r="J92">
        <f t="shared" si="25"/>
        <v>31</v>
      </c>
      <c r="K92" t="s">
        <v>27</v>
      </c>
      <c r="L92" t="str">
        <f t="shared" si="32"/>
        <v>Marzo</v>
      </c>
      <c r="M92" t="s">
        <v>28</v>
      </c>
      <c r="N92" t="str">
        <f t="shared" si="34"/>
        <v>{ nombre: "Tiempo Cuaresma, Semana 4 Lunes", archivo: "/salterios/src/evan/audios/tcs04lunes.mp3", fecha: `${year}-03-31` },</v>
      </c>
    </row>
    <row r="93" spans="1:14" x14ac:dyDescent="0.25">
      <c r="A93" t="s">
        <v>0</v>
      </c>
      <c r="B93" t="str">
        <f t="shared" si="17"/>
        <v>cuaresma</v>
      </c>
      <c r="C93" t="s">
        <v>2</v>
      </c>
      <c r="D93" s="2">
        <f t="shared" ref="D93:D97" si="38">D92</f>
        <v>4</v>
      </c>
      <c r="E93" t="s">
        <v>4</v>
      </c>
      <c r="F93" t="s">
        <v>17</v>
      </c>
      <c r="G93" s="1" t="str">
        <f t="shared" si="37"/>
        <v>tcs04martes</v>
      </c>
      <c r="H93" t="s">
        <v>15</v>
      </c>
      <c r="I93">
        <v>4</v>
      </c>
      <c r="J93">
        <v>1</v>
      </c>
      <c r="K93" t="s">
        <v>27</v>
      </c>
      <c r="L93" t="str">
        <f t="shared" si="32"/>
        <v>Abril</v>
      </c>
      <c r="M93" t="s">
        <v>28</v>
      </c>
      <c r="N93" t="str">
        <f t="shared" si="34"/>
        <v>{ nombre: "Tiempo Cuaresma, Semana 4 Martes", archivo: "/salterios/src/evan/audios/tcs04martes.mp3", fecha: `${year}-04-1` },</v>
      </c>
    </row>
    <row r="94" spans="1:14" x14ac:dyDescent="0.25">
      <c r="A94" t="s">
        <v>0</v>
      </c>
      <c r="B94" t="str">
        <f t="shared" si="17"/>
        <v>cuaresma</v>
      </c>
      <c r="C94" t="s">
        <v>2</v>
      </c>
      <c r="D94" s="2">
        <f t="shared" si="38"/>
        <v>4</v>
      </c>
      <c r="E94" t="s">
        <v>5</v>
      </c>
      <c r="F94" t="s">
        <v>17</v>
      </c>
      <c r="G94" s="1" t="str">
        <f t="shared" si="37"/>
        <v>tcs04miercoles</v>
      </c>
      <c r="H94" t="s">
        <v>15</v>
      </c>
      <c r="I94">
        <f>I93</f>
        <v>4</v>
      </c>
      <c r="J94">
        <f t="shared" si="25"/>
        <v>2</v>
      </c>
      <c r="K94" t="s">
        <v>27</v>
      </c>
      <c r="L94" t="str">
        <f t="shared" si="32"/>
        <v>Abril</v>
      </c>
      <c r="M94" t="s">
        <v>28</v>
      </c>
      <c r="N94" t="str">
        <f t="shared" si="34"/>
        <v>{ nombre: "Tiempo Cuaresma, Semana 4 Miercoles", archivo: "/salterios/src/evan/audios/tcs04miercoles.mp3", fecha: `${year}-04-2` },</v>
      </c>
    </row>
    <row r="95" spans="1:14" x14ac:dyDescent="0.25">
      <c r="A95" t="s">
        <v>0</v>
      </c>
      <c r="B95" t="str">
        <f t="shared" si="17"/>
        <v>cuaresma</v>
      </c>
      <c r="C95" t="s">
        <v>2</v>
      </c>
      <c r="D95" s="2">
        <f t="shared" si="38"/>
        <v>4</v>
      </c>
      <c r="E95" t="s">
        <v>6</v>
      </c>
      <c r="F95" t="s">
        <v>17</v>
      </c>
      <c r="G95" s="1" t="str">
        <f t="shared" si="37"/>
        <v>tcs04jueves</v>
      </c>
      <c r="H95" t="s">
        <v>15</v>
      </c>
      <c r="I95">
        <f t="shared" ref="I95:I158" si="39">I94</f>
        <v>4</v>
      </c>
      <c r="J95">
        <f t="shared" si="25"/>
        <v>3</v>
      </c>
      <c r="K95" t="s">
        <v>27</v>
      </c>
      <c r="L95" t="str">
        <f t="shared" si="32"/>
        <v>Abril</v>
      </c>
      <c r="M95" t="s">
        <v>28</v>
      </c>
      <c r="N95" t="str">
        <f t="shared" si="34"/>
        <v>{ nombre: "Tiempo Cuaresma, Semana 4 Jueves", archivo: "/salterios/src/evan/audios/tcs04jueves.mp3", fecha: `${year}-04-3` },</v>
      </c>
    </row>
    <row r="96" spans="1:14" x14ac:dyDescent="0.25">
      <c r="A96" t="s">
        <v>0</v>
      </c>
      <c r="B96" t="str">
        <f t="shared" si="17"/>
        <v>cuaresma</v>
      </c>
      <c r="C96" t="s">
        <v>2</v>
      </c>
      <c r="D96" s="2">
        <f t="shared" si="38"/>
        <v>4</v>
      </c>
      <c r="E96" t="s">
        <v>7</v>
      </c>
      <c r="F96" t="s">
        <v>17</v>
      </c>
      <c r="G96" s="1" t="str">
        <f t="shared" si="37"/>
        <v>tcs04viernes</v>
      </c>
      <c r="H96" t="s">
        <v>15</v>
      </c>
      <c r="I96">
        <f t="shared" si="39"/>
        <v>4</v>
      </c>
      <c r="J96">
        <f t="shared" si="25"/>
        <v>4</v>
      </c>
      <c r="K96" t="s">
        <v>27</v>
      </c>
      <c r="L96" t="str">
        <f t="shared" si="32"/>
        <v>Abril</v>
      </c>
      <c r="M96" t="s">
        <v>28</v>
      </c>
      <c r="N96" t="str">
        <f t="shared" si="34"/>
        <v>{ nombre: "Tiempo Cuaresma, Semana 4 Viernes", archivo: "/salterios/src/evan/audios/tcs04viernes.mp3", fecha: `${year}-04-4` },</v>
      </c>
    </row>
    <row r="97" spans="1:14" x14ac:dyDescent="0.25">
      <c r="A97" t="s">
        <v>0</v>
      </c>
      <c r="B97" t="str">
        <f t="shared" si="17"/>
        <v>cuaresma</v>
      </c>
      <c r="C97" t="s">
        <v>2</v>
      </c>
      <c r="D97" s="2">
        <f t="shared" si="38"/>
        <v>4</v>
      </c>
      <c r="E97" t="s">
        <v>8</v>
      </c>
      <c r="F97" t="s">
        <v>17</v>
      </c>
      <c r="G97" s="1" t="str">
        <f t="shared" si="37"/>
        <v>tcs04sabado</v>
      </c>
      <c r="H97" t="s">
        <v>15</v>
      </c>
      <c r="I97">
        <f t="shared" si="39"/>
        <v>4</v>
      </c>
      <c r="J97">
        <f t="shared" si="25"/>
        <v>5</v>
      </c>
      <c r="K97" t="s">
        <v>27</v>
      </c>
      <c r="L97" t="str">
        <f t="shared" si="32"/>
        <v>Abril</v>
      </c>
      <c r="M97" t="s">
        <v>28</v>
      </c>
      <c r="N97" t="str">
        <f t="shared" si="34"/>
        <v>{ nombre: "Tiempo Cuaresma, Semana 4 Sabado", archivo: "/salterios/src/evan/audios/tcs04sabado.mp3", fecha: `${year}-04-5` },</v>
      </c>
    </row>
    <row r="98" spans="1:14" x14ac:dyDescent="0.25">
      <c r="A98" t="s">
        <v>0</v>
      </c>
      <c r="B98" t="str">
        <f t="shared" si="17"/>
        <v>cuaresma</v>
      </c>
      <c r="C98" t="s">
        <v>2</v>
      </c>
      <c r="D98" s="2">
        <v>5</v>
      </c>
      <c r="E98" t="s">
        <v>9</v>
      </c>
      <c r="F98" t="s">
        <v>17</v>
      </c>
      <c r="G98" s="1" t="str">
        <f>_xlfn.CONCAT(LEFT(A98,1),LEFT(B98,1),LEFT(C98,1),"0",D98,E98)</f>
        <v>tcs05domingo</v>
      </c>
      <c r="H98" t="s">
        <v>15</v>
      </c>
      <c r="I98">
        <f t="shared" si="39"/>
        <v>4</v>
      </c>
      <c r="J98">
        <f t="shared" si="25"/>
        <v>6</v>
      </c>
      <c r="K98" t="s">
        <v>27</v>
      </c>
      <c r="L98" t="str">
        <f t="shared" si="32"/>
        <v>Abril</v>
      </c>
      <c r="M98" t="s">
        <v>28</v>
      </c>
      <c r="N98" t="str">
        <f t="shared" si="34"/>
        <v>{ nombre: "Tiempo Cuaresma, Semana 5 Domingo", archivo: "/salterios/src/evan/audios/tcs05domingo.mp3", fecha: `${year}-04-6` },</v>
      </c>
    </row>
    <row r="99" spans="1:14" x14ac:dyDescent="0.25">
      <c r="A99" t="s">
        <v>0</v>
      </c>
      <c r="B99" t="str">
        <f t="shared" si="17"/>
        <v>cuaresma</v>
      </c>
      <c r="C99" t="s">
        <v>2</v>
      </c>
      <c r="D99" s="2">
        <f>D98</f>
        <v>5</v>
      </c>
      <c r="E99" t="s">
        <v>3</v>
      </c>
      <c r="F99" t="s">
        <v>17</v>
      </c>
      <c r="G99" s="1" t="str">
        <f t="shared" ref="G99:G104" si="40">_xlfn.CONCAT(LEFT(A99,1),LEFT(B99,1),LEFT(C99,1),"0",D99,E99)</f>
        <v>tcs05lunes</v>
      </c>
      <c r="H99" t="s">
        <v>15</v>
      </c>
      <c r="I99">
        <f t="shared" si="39"/>
        <v>4</v>
      </c>
      <c r="J99">
        <f t="shared" si="25"/>
        <v>7</v>
      </c>
      <c r="K99" t="s">
        <v>27</v>
      </c>
      <c r="L99" t="str">
        <f t="shared" si="32"/>
        <v>Abril</v>
      </c>
      <c r="M99" t="s">
        <v>28</v>
      </c>
      <c r="N99" t="str">
        <f t="shared" si="34"/>
        <v>{ nombre: "Tiempo Cuaresma, Semana 5 Lunes", archivo: "/salterios/src/evan/audios/tcs05lunes.mp3", fecha: `${year}-04-7` },</v>
      </c>
    </row>
    <row r="100" spans="1:14" x14ac:dyDescent="0.25">
      <c r="A100" t="s">
        <v>0</v>
      </c>
      <c r="B100" t="str">
        <f t="shared" si="17"/>
        <v>cuaresma</v>
      </c>
      <c r="C100" t="s">
        <v>2</v>
      </c>
      <c r="D100" s="2">
        <f t="shared" ref="D100:D104" si="41">D99</f>
        <v>5</v>
      </c>
      <c r="E100" t="s">
        <v>4</v>
      </c>
      <c r="F100" t="s">
        <v>17</v>
      </c>
      <c r="G100" s="1" t="str">
        <f t="shared" si="40"/>
        <v>tcs05martes</v>
      </c>
      <c r="H100" t="s">
        <v>15</v>
      </c>
      <c r="I100">
        <f t="shared" si="39"/>
        <v>4</v>
      </c>
      <c r="J100">
        <f t="shared" si="25"/>
        <v>8</v>
      </c>
      <c r="K100" t="s">
        <v>27</v>
      </c>
      <c r="L100" t="str">
        <f t="shared" si="32"/>
        <v>Abril</v>
      </c>
      <c r="M100" t="s">
        <v>28</v>
      </c>
      <c r="N100" t="str">
        <f t="shared" si="34"/>
        <v>{ nombre: "Tiempo Cuaresma, Semana 5 Martes", archivo: "/salterios/src/evan/audios/tcs05martes.mp3", fecha: `${year}-04-8` },</v>
      </c>
    </row>
    <row r="101" spans="1:14" x14ac:dyDescent="0.25">
      <c r="A101" t="s">
        <v>0</v>
      </c>
      <c r="B101" t="str">
        <f t="shared" ref="B101:B164" si="42">B100</f>
        <v>cuaresma</v>
      </c>
      <c r="C101" t="s">
        <v>2</v>
      </c>
      <c r="D101" s="2">
        <f t="shared" si="41"/>
        <v>5</v>
      </c>
      <c r="E101" t="s">
        <v>5</v>
      </c>
      <c r="F101" t="s">
        <v>17</v>
      </c>
      <c r="G101" s="1" t="str">
        <f t="shared" si="40"/>
        <v>tcs05miercoles</v>
      </c>
      <c r="H101" t="s">
        <v>15</v>
      </c>
      <c r="I101">
        <f t="shared" si="39"/>
        <v>4</v>
      </c>
      <c r="J101">
        <f t="shared" si="25"/>
        <v>9</v>
      </c>
      <c r="K101" t="s">
        <v>27</v>
      </c>
      <c r="L101" t="str">
        <f t="shared" si="32"/>
        <v>Abril</v>
      </c>
      <c r="M101" t="s">
        <v>28</v>
      </c>
      <c r="N101" t="str">
        <f t="shared" si="34"/>
        <v>{ nombre: "Tiempo Cuaresma, Semana 5 Miercoles", archivo: "/salterios/src/evan/audios/tcs05miercoles.mp3", fecha: `${year}-04-9` },</v>
      </c>
    </row>
    <row r="102" spans="1:14" x14ac:dyDescent="0.25">
      <c r="A102" t="s">
        <v>0</v>
      </c>
      <c r="B102" t="str">
        <f t="shared" si="42"/>
        <v>cuaresma</v>
      </c>
      <c r="C102" t="s">
        <v>2</v>
      </c>
      <c r="D102" s="2">
        <f t="shared" si="41"/>
        <v>5</v>
      </c>
      <c r="E102" t="s">
        <v>6</v>
      </c>
      <c r="F102" t="s">
        <v>17</v>
      </c>
      <c r="G102" s="1" t="str">
        <f t="shared" si="40"/>
        <v>tcs05jueves</v>
      </c>
      <c r="H102" t="s">
        <v>15</v>
      </c>
      <c r="I102">
        <f t="shared" si="39"/>
        <v>4</v>
      </c>
      <c r="J102">
        <f t="shared" si="25"/>
        <v>10</v>
      </c>
      <c r="K102" t="s">
        <v>27</v>
      </c>
      <c r="L102" t="str">
        <f t="shared" si="32"/>
        <v>Abril</v>
      </c>
      <c r="M102" t="s">
        <v>28</v>
      </c>
      <c r="N102" t="str">
        <f t="shared" si="34"/>
        <v>{ nombre: "Tiempo Cuaresma, Semana 5 Jueves", archivo: "/salterios/src/evan/audios/tcs05jueves.mp3", fecha: `${year}-04-10` },</v>
      </c>
    </row>
    <row r="103" spans="1:14" x14ac:dyDescent="0.25">
      <c r="A103" t="s">
        <v>0</v>
      </c>
      <c r="B103" t="str">
        <f t="shared" si="42"/>
        <v>cuaresma</v>
      </c>
      <c r="C103" t="s">
        <v>2</v>
      </c>
      <c r="D103" s="2">
        <f t="shared" si="41"/>
        <v>5</v>
      </c>
      <c r="E103" t="s">
        <v>7</v>
      </c>
      <c r="F103" t="s">
        <v>17</v>
      </c>
      <c r="G103" s="1" t="str">
        <f t="shared" si="40"/>
        <v>tcs05viernes</v>
      </c>
      <c r="H103" t="s">
        <v>15</v>
      </c>
      <c r="I103">
        <f t="shared" si="39"/>
        <v>4</v>
      </c>
      <c r="J103">
        <f t="shared" si="25"/>
        <v>11</v>
      </c>
      <c r="K103" t="s">
        <v>27</v>
      </c>
      <c r="L103" t="str">
        <f t="shared" si="32"/>
        <v>Abril</v>
      </c>
      <c r="M103" t="s">
        <v>28</v>
      </c>
      <c r="N103" t="str">
        <f t="shared" si="34"/>
        <v>{ nombre: "Tiempo Cuaresma, Semana 5 Viernes", archivo: "/salterios/src/evan/audios/tcs05viernes.mp3", fecha: `${year}-04-11` },</v>
      </c>
    </row>
    <row r="104" spans="1:14" x14ac:dyDescent="0.25">
      <c r="A104" t="s">
        <v>0</v>
      </c>
      <c r="B104" t="str">
        <f t="shared" si="42"/>
        <v>cuaresma</v>
      </c>
      <c r="C104" t="s">
        <v>2</v>
      </c>
      <c r="D104" s="2">
        <f t="shared" si="41"/>
        <v>5</v>
      </c>
      <c r="E104" t="s">
        <v>8</v>
      </c>
      <c r="F104" t="s">
        <v>17</v>
      </c>
      <c r="G104" s="1" t="str">
        <f t="shared" si="40"/>
        <v>tcs05sabado</v>
      </c>
      <c r="H104" t="s">
        <v>15</v>
      </c>
      <c r="I104">
        <f t="shared" si="39"/>
        <v>4</v>
      </c>
      <c r="J104">
        <f t="shared" si="25"/>
        <v>12</v>
      </c>
      <c r="K104" t="s">
        <v>27</v>
      </c>
      <c r="L104" t="str">
        <f t="shared" si="32"/>
        <v>Abril</v>
      </c>
      <c r="M104" t="s">
        <v>28</v>
      </c>
      <c r="N104" t="str">
        <f t="shared" si="34"/>
        <v>{ nombre: "Tiempo Cuaresma, Semana 5 Sabado", archivo: "/salterios/src/evan/audios/tcs05sabado.mp3", fecha: `${year}-04-12` },</v>
      </c>
    </row>
    <row r="105" spans="1:14" x14ac:dyDescent="0.25">
      <c r="A105" t="s">
        <v>0</v>
      </c>
      <c r="B105" t="str">
        <f t="shared" si="42"/>
        <v>cuaresma</v>
      </c>
      <c r="C105" t="s">
        <v>21</v>
      </c>
      <c r="D105" s="2">
        <f>+D104+1</f>
        <v>6</v>
      </c>
      <c r="E105" t="s">
        <v>9</v>
      </c>
      <c r="F105" t="s">
        <v>17</v>
      </c>
      <c r="G105" s="1" t="str">
        <f>_xlfn.CONCAT(LEFT(A105,1),LEFT(B105,1),LEFT(C105,1),"0",D105,E105)</f>
        <v>tcs06domingo</v>
      </c>
      <c r="H105" t="s">
        <v>15</v>
      </c>
      <c r="I105">
        <f t="shared" si="39"/>
        <v>4</v>
      </c>
      <c r="J105">
        <f t="shared" si="25"/>
        <v>13</v>
      </c>
      <c r="K105" t="s">
        <v>27</v>
      </c>
      <c r="L105" t="str">
        <f t="shared" si="32"/>
        <v>Abril</v>
      </c>
      <c r="M105" t="s">
        <v>28</v>
      </c>
      <c r="N105" t="str">
        <f t="shared" si="34"/>
        <v>{ nombre: "Tiempo Cuaresma, Semana Del Domingo De Ramos En La Pasión Del Señor 6 Domingo", archivo: "/salterios/src/evan/audios/tcs06domingo.mp3", fecha: `${year}-04-13` },</v>
      </c>
    </row>
    <row r="106" spans="1:14" x14ac:dyDescent="0.25">
      <c r="A106" t="s">
        <v>0</v>
      </c>
      <c r="B106" t="str">
        <f t="shared" si="42"/>
        <v>cuaresma</v>
      </c>
      <c r="C106" t="s">
        <v>2</v>
      </c>
      <c r="D106" s="2">
        <f>D105</f>
        <v>6</v>
      </c>
      <c r="E106" t="s">
        <v>3</v>
      </c>
      <c r="F106" t="s">
        <v>17</v>
      </c>
      <c r="G106" s="1" t="str">
        <f t="shared" ref="G106:G111" si="43">_xlfn.CONCAT(LEFT(A106,1),LEFT(B106,1),LEFT(C106,1),"0",D106,E106)</f>
        <v>tcs06lunes</v>
      </c>
      <c r="H106" t="s">
        <v>15</v>
      </c>
      <c r="I106">
        <f t="shared" si="39"/>
        <v>4</v>
      </c>
      <c r="J106">
        <f t="shared" si="25"/>
        <v>14</v>
      </c>
      <c r="K106" t="s">
        <v>27</v>
      </c>
      <c r="L106" t="str">
        <f t="shared" si="32"/>
        <v>Abril</v>
      </c>
      <c r="M106" t="s">
        <v>28</v>
      </c>
      <c r="N106" t="str">
        <f t="shared" si="34"/>
        <v>{ nombre: "Tiempo Cuaresma, Semana 6 Lunes", archivo: "/salterios/src/evan/audios/tcs06lunes.mp3", fecha: `${year}-04-14` },</v>
      </c>
    </row>
    <row r="107" spans="1:14" x14ac:dyDescent="0.25">
      <c r="A107" t="s">
        <v>0</v>
      </c>
      <c r="B107" t="str">
        <f t="shared" si="42"/>
        <v>cuaresma</v>
      </c>
      <c r="C107" t="s">
        <v>2</v>
      </c>
      <c r="D107" s="2">
        <f t="shared" ref="D107:D111" si="44">D106</f>
        <v>6</v>
      </c>
      <c r="E107" t="s">
        <v>4</v>
      </c>
      <c r="F107" t="s">
        <v>17</v>
      </c>
      <c r="G107" s="1" t="str">
        <f t="shared" si="43"/>
        <v>tcs06martes</v>
      </c>
      <c r="H107" t="s">
        <v>15</v>
      </c>
      <c r="I107">
        <f t="shared" si="39"/>
        <v>4</v>
      </c>
      <c r="J107">
        <f t="shared" si="25"/>
        <v>15</v>
      </c>
      <c r="K107" t="s">
        <v>27</v>
      </c>
      <c r="L107" t="str">
        <f t="shared" si="32"/>
        <v>Abril</v>
      </c>
      <c r="M107" t="s">
        <v>28</v>
      </c>
      <c r="N107" t="str">
        <f t="shared" si="34"/>
        <v>{ nombre: "Tiempo Cuaresma, Semana 6 Martes", archivo: "/salterios/src/evan/audios/tcs06martes.mp3", fecha: `${year}-04-15` },</v>
      </c>
    </row>
    <row r="108" spans="1:14" x14ac:dyDescent="0.25">
      <c r="A108" t="s">
        <v>0</v>
      </c>
      <c r="B108" t="str">
        <f t="shared" si="42"/>
        <v>cuaresma</v>
      </c>
      <c r="C108" t="s">
        <v>2</v>
      </c>
      <c r="D108" s="2">
        <f t="shared" si="44"/>
        <v>6</v>
      </c>
      <c r="E108" t="s">
        <v>5</v>
      </c>
      <c r="F108" t="s">
        <v>17</v>
      </c>
      <c r="G108" s="1" t="str">
        <f t="shared" si="43"/>
        <v>tcs06miercoles</v>
      </c>
      <c r="H108" t="s">
        <v>15</v>
      </c>
      <c r="I108">
        <f t="shared" si="39"/>
        <v>4</v>
      </c>
      <c r="J108">
        <f t="shared" si="25"/>
        <v>16</v>
      </c>
      <c r="K108" t="s">
        <v>27</v>
      </c>
      <c r="L108" t="str">
        <f t="shared" si="32"/>
        <v>Abril</v>
      </c>
      <c r="M108" t="s">
        <v>28</v>
      </c>
      <c r="N108" t="str">
        <f t="shared" si="34"/>
        <v>{ nombre: "Tiempo Cuaresma, Semana 6 Miercoles", archivo: "/salterios/src/evan/audios/tcs06miercoles.mp3", fecha: `${year}-04-16` },</v>
      </c>
    </row>
    <row r="109" spans="1:14" x14ac:dyDescent="0.25">
      <c r="A109" t="s">
        <v>0</v>
      </c>
      <c r="B109" t="s">
        <v>22</v>
      </c>
      <c r="C109" t="s">
        <v>2</v>
      </c>
      <c r="D109" s="2">
        <f t="shared" si="44"/>
        <v>6</v>
      </c>
      <c r="E109" t="s">
        <v>6</v>
      </c>
      <c r="F109" t="s">
        <v>17</v>
      </c>
      <c r="G109" s="1" t="str">
        <f t="shared" si="43"/>
        <v>tts06jueves</v>
      </c>
      <c r="H109" t="s">
        <v>15</v>
      </c>
      <c r="I109">
        <f t="shared" si="39"/>
        <v>4</v>
      </c>
      <c r="J109">
        <f t="shared" si="25"/>
        <v>17</v>
      </c>
      <c r="K109" t="s">
        <v>27</v>
      </c>
      <c r="L109" t="str">
        <f t="shared" si="32"/>
        <v>Abril</v>
      </c>
      <c r="M109" t="s">
        <v>28</v>
      </c>
      <c r="N109" t="str">
        <f t="shared" si="34"/>
        <v>{ nombre: "Tiempo Triduo Pascual, Semana 6 Jueves", archivo: "/salterios/src/evan/audios/tts06jueves.mp3", fecha: `${year}-04-17` },</v>
      </c>
    </row>
    <row r="110" spans="1:14" x14ac:dyDescent="0.25">
      <c r="A110" t="s">
        <v>0</v>
      </c>
      <c r="B110" t="str">
        <f t="shared" si="42"/>
        <v>triduo pascual</v>
      </c>
      <c r="C110" t="s">
        <v>2</v>
      </c>
      <c r="D110" s="2">
        <f t="shared" si="44"/>
        <v>6</v>
      </c>
      <c r="E110" t="s">
        <v>7</v>
      </c>
      <c r="F110" t="s">
        <v>17</v>
      </c>
      <c r="G110" s="1" t="str">
        <f t="shared" si="43"/>
        <v>tts06viernes</v>
      </c>
      <c r="H110" t="s">
        <v>15</v>
      </c>
      <c r="I110">
        <f t="shared" si="39"/>
        <v>4</v>
      </c>
      <c r="J110">
        <f t="shared" si="25"/>
        <v>18</v>
      </c>
      <c r="K110" t="s">
        <v>27</v>
      </c>
      <c r="L110" t="str">
        <f t="shared" si="32"/>
        <v>Abril</v>
      </c>
      <c r="M110" t="s">
        <v>28</v>
      </c>
      <c r="N110" t="str">
        <f t="shared" si="34"/>
        <v>{ nombre: "Tiempo Triduo Pascual, Semana 6 Viernes", archivo: "/salterios/src/evan/audios/tts06viernes.mp3", fecha: `${year}-04-18` },</v>
      </c>
    </row>
    <row r="111" spans="1:14" x14ac:dyDescent="0.25">
      <c r="A111" t="s">
        <v>0</v>
      </c>
      <c r="B111" t="str">
        <f t="shared" si="42"/>
        <v>triduo pascual</v>
      </c>
      <c r="C111" t="s">
        <v>2</v>
      </c>
      <c r="D111" s="2">
        <f t="shared" si="44"/>
        <v>6</v>
      </c>
      <c r="E111" t="s">
        <v>8</v>
      </c>
      <c r="F111" t="s">
        <v>17</v>
      </c>
      <c r="G111" s="1" t="str">
        <f t="shared" si="43"/>
        <v>tts06sabado</v>
      </c>
      <c r="H111" t="s">
        <v>15</v>
      </c>
      <c r="I111">
        <f t="shared" si="39"/>
        <v>4</v>
      </c>
      <c r="J111">
        <f t="shared" si="25"/>
        <v>19</v>
      </c>
      <c r="K111" t="s">
        <v>27</v>
      </c>
      <c r="L111" t="str">
        <f t="shared" si="32"/>
        <v>Abril</v>
      </c>
      <c r="M111" t="s">
        <v>28</v>
      </c>
      <c r="N111" t="str">
        <f t="shared" si="34"/>
        <v>{ nombre: "Tiempo Triduo Pascual, Semana 6 Sabado", archivo: "/salterios/src/evan/audios/tts06sabado.mp3", fecha: `${year}-04-19` },</v>
      </c>
    </row>
    <row r="112" spans="1:14" x14ac:dyDescent="0.25">
      <c r="A112" t="s">
        <v>0</v>
      </c>
      <c r="B112" t="s">
        <v>23</v>
      </c>
      <c r="C112" t="s">
        <v>2</v>
      </c>
      <c r="D112" s="2">
        <v>1</v>
      </c>
      <c r="E112" t="s">
        <v>9</v>
      </c>
      <c r="F112" t="s">
        <v>17</v>
      </c>
      <c r="G112" s="1" t="str">
        <f>_xlfn.CONCAT(LEFT(A112,1),LEFT(B112,1),LEFT(C112,1),"0",D112,E112)</f>
        <v>tps01domingo</v>
      </c>
      <c r="H112" t="s">
        <v>15</v>
      </c>
      <c r="I112">
        <f t="shared" si="39"/>
        <v>4</v>
      </c>
      <c r="J112">
        <f t="shared" si="25"/>
        <v>20</v>
      </c>
      <c r="K112" t="s">
        <v>27</v>
      </c>
      <c r="L112" t="str">
        <f t="shared" si="32"/>
        <v>Abril</v>
      </c>
      <c r="M112" t="s">
        <v>28</v>
      </c>
      <c r="N112" t="str">
        <f t="shared" si="34"/>
        <v>{ nombre: "Tiempo Pascual, Semana 1 Domingo", archivo: "/salterios/src/evan/audios/tps01domingo.mp3", fecha: `${year}-04-20` },</v>
      </c>
    </row>
    <row r="113" spans="1:14" x14ac:dyDescent="0.25">
      <c r="A113" t="s">
        <v>0</v>
      </c>
      <c r="B113" t="str">
        <f t="shared" si="42"/>
        <v>pascual</v>
      </c>
      <c r="C113" t="s">
        <v>2</v>
      </c>
      <c r="D113" s="2">
        <f>D112</f>
        <v>1</v>
      </c>
      <c r="E113" t="s">
        <v>3</v>
      </c>
      <c r="F113" t="s">
        <v>17</v>
      </c>
      <c r="G113" s="1" t="str">
        <f t="shared" ref="G113:G118" si="45">_xlfn.CONCAT(LEFT(A113,1),LEFT(B113,1),LEFT(C113,1),"0",D113,E113)</f>
        <v>tps01lunes</v>
      </c>
      <c r="H113" t="s">
        <v>15</v>
      </c>
      <c r="I113">
        <f t="shared" si="39"/>
        <v>4</v>
      </c>
      <c r="J113">
        <f t="shared" si="25"/>
        <v>21</v>
      </c>
      <c r="K113" t="s">
        <v>27</v>
      </c>
      <c r="L113" t="str">
        <f t="shared" si="32"/>
        <v>Abril</v>
      </c>
      <c r="M113" t="s">
        <v>28</v>
      </c>
      <c r="N113" t="str">
        <f t="shared" si="34"/>
        <v>{ nombre: "Tiempo Pascual, Semana 1 Lunes", archivo: "/salterios/src/evan/audios/tps01lunes.mp3", fecha: `${year}-04-21` },</v>
      </c>
    </row>
    <row r="114" spans="1:14" x14ac:dyDescent="0.25">
      <c r="A114" t="s">
        <v>0</v>
      </c>
      <c r="B114" t="str">
        <f t="shared" si="42"/>
        <v>pascual</v>
      </c>
      <c r="C114" t="s">
        <v>2</v>
      </c>
      <c r="D114" s="2">
        <f t="shared" ref="D114:D118" si="46">D113</f>
        <v>1</v>
      </c>
      <c r="E114" t="s">
        <v>4</v>
      </c>
      <c r="F114" t="s">
        <v>17</v>
      </c>
      <c r="G114" s="1" t="str">
        <f t="shared" si="45"/>
        <v>tps01martes</v>
      </c>
      <c r="H114" t="s">
        <v>15</v>
      </c>
      <c r="I114">
        <f t="shared" si="39"/>
        <v>4</v>
      </c>
      <c r="J114">
        <f t="shared" si="25"/>
        <v>22</v>
      </c>
      <c r="K114" t="s">
        <v>27</v>
      </c>
      <c r="L114" t="str">
        <f t="shared" si="32"/>
        <v>Abril</v>
      </c>
      <c r="M114" t="s">
        <v>28</v>
      </c>
      <c r="N114" t="str">
        <f t="shared" si="34"/>
        <v>{ nombre: "Tiempo Pascual, Semana 1 Martes", archivo: "/salterios/src/evan/audios/tps01martes.mp3", fecha: `${year}-04-22` },</v>
      </c>
    </row>
    <row r="115" spans="1:14" x14ac:dyDescent="0.25">
      <c r="A115" t="s">
        <v>0</v>
      </c>
      <c r="B115" t="str">
        <f t="shared" si="42"/>
        <v>pascual</v>
      </c>
      <c r="C115" t="s">
        <v>2</v>
      </c>
      <c r="D115" s="2">
        <f t="shared" si="46"/>
        <v>1</v>
      </c>
      <c r="E115" t="s">
        <v>5</v>
      </c>
      <c r="F115" t="s">
        <v>17</v>
      </c>
      <c r="G115" s="1" t="str">
        <f t="shared" si="45"/>
        <v>tps01miercoles</v>
      </c>
      <c r="H115" t="s">
        <v>15</v>
      </c>
      <c r="I115">
        <f t="shared" si="39"/>
        <v>4</v>
      </c>
      <c r="J115">
        <f t="shared" si="25"/>
        <v>23</v>
      </c>
      <c r="K115" t="s">
        <v>27</v>
      </c>
      <c r="L115" t="str">
        <f t="shared" si="32"/>
        <v>Abril</v>
      </c>
      <c r="M115" t="s">
        <v>28</v>
      </c>
      <c r="N115" t="str">
        <f t="shared" si="34"/>
        <v>{ nombre: "Tiempo Pascual, Semana 1 Miercoles", archivo: "/salterios/src/evan/audios/tps01miercoles.mp3", fecha: `${year}-04-23` },</v>
      </c>
    </row>
    <row r="116" spans="1:14" x14ac:dyDescent="0.25">
      <c r="A116" t="s">
        <v>0</v>
      </c>
      <c r="B116" t="str">
        <f t="shared" si="42"/>
        <v>pascual</v>
      </c>
      <c r="C116" t="s">
        <v>2</v>
      </c>
      <c r="D116" s="2">
        <f t="shared" si="46"/>
        <v>1</v>
      </c>
      <c r="E116" t="s">
        <v>6</v>
      </c>
      <c r="F116" t="s">
        <v>17</v>
      </c>
      <c r="G116" s="1" t="str">
        <f t="shared" si="45"/>
        <v>tps01jueves</v>
      </c>
      <c r="H116" t="s">
        <v>15</v>
      </c>
      <c r="I116">
        <f t="shared" si="39"/>
        <v>4</v>
      </c>
      <c r="J116">
        <f t="shared" si="25"/>
        <v>24</v>
      </c>
      <c r="K116" t="s">
        <v>27</v>
      </c>
      <c r="L116" t="str">
        <f t="shared" si="32"/>
        <v>Abril</v>
      </c>
      <c r="M116" t="s">
        <v>28</v>
      </c>
      <c r="N116" t="str">
        <f t="shared" si="34"/>
        <v>{ nombre: "Tiempo Pascual, Semana 1 Jueves", archivo: "/salterios/src/evan/audios/tps01jueves.mp3", fecha: `${year}-04-24` },</v>
      </c>
    </row>
    <row r="117" spans="1:14" x14ac:dyDescent="0.25">
      <c r="A117" t="s">
        <v>0</v>
      </c>
      <c r="B117" t="str">
        <f t="shared" si="42"/>
        <v>pascual</v>
      </c>
      <c r="C117" t="s">
        <v>2</v>
      </c>
      <c r="D117" s="2">
        <f t="shared" si="46"/>
        <v>1</v>
      </c>
      <c r="E117" t="s">
        <v>7</v>
      </c>
      <c r="F117" t="s">
        <v>17</v>
      </c>
      <c r="G117" s="1" t="str">
        <f t="shared" si="45"/>
        <v>tps01viernes</v>
      </c>
      <c r="H117" t="s">
        <v>15</v>
      </c>
      <c r="I117">
        <f t="shared" si="39"/>
        <v>4</v>
      </c>
      <c r="J117">
        <f t="shared" si="25"/>
        <v>25</v>
      </c>
      <c r="K117" t="s">
        <v>27</v>
      </c>
      <c r="L117" t="str">
        <f t="shared" si="32"/>
        <v>Abril</v>
      </c>
      <c r="M117" t="s">
        <v>28</v>
      </c>
      <c r="N117" t="str">
        <f t="shared" si="34"/>
        <v>{ nombre: "Tiempo Pascual, Semana 1 Viernes", archivo: "/salterios/src/evan/audios/tps01viernes.mp3", fecha: `${year}-04-25` },</v>
      </c>
    </row>
    <row r="118" spans="1:14" x14ac:dyDescent="0.25">
      <c r="A118" t="s">
        <v>0</v>
      </c>
      <c r="B118" t="str">
        <f t="shared" si="42"/>
        <v>pascual</v>
      </c>
      <c r="C118" t="s">
        <v>2</v>
      </c>
      <c r="D118" s="2">
        <f t="shared" si="46"/>
        <v>1</v>
      </c>
      <c r="E118" t="s">
        <v>8</v>
      </c>
      <c r="F118" t="s">
        <v>17</v>
      </c>
      <c r="G118" s="1" t="str">
        <f t="shared" si="45"/>
        <v>tps01sabado</v>
      </c>
      <c r="H118" t="s">
        <v>15</v>
      </c>
      <c r="I118">
        <f t="shared" si="39"/>
        <v>4</v>
      </c>
      <c r="J118">
        <f t="shared" si="25"/>
        <v>26</v>
      </c>
      <c r="K118" t="s">
        <v>27</v>
      </c>
      <c r="L118" t="str">
        <f t="shared" si="32"/>
        <v>Abril</v>
      </c>
      <c r="M118" t="s">
        <v>28</v>
      </c>
      <c r="N118" t="str">
        <f t="shared" si="34"/>
        <v>{ nombre: "Tiempo Pascual, Semana 1 Sabado", archivo: "/salterios/src/evan/audios/tps01sabado.mp3", fecha: `${year}-04-26` },</v>
      </c>
    </row>
    <row r="119" spans="1:14" x14ac:dyDescent="0.25">
      <c r="A119" t="s">
        <v>0</v>
      </c>
      <c r="B119" t="str">
        <f t="shared" si="42"/>
        <v>pascual</v>
      </c>
      <c r="C119" t="s">
        <v>2</v>
      </c>
      <c r="D119" s="2">
        <v>2</v>
      </c>
      <c r="E119" t="s">
        <v>9</v>
      </c>
      <c r="F119" t="s">
        <v>17</v>
      </c>
      <c r="G119" s="1" t="str">
        <f>_xlfn.CONCAT(LEFT(A119,1),LEFT(B119,1),LEFT(C119,1),"0",D119,E119)</f>
        <v>tps02domingo</v>
      </c>
      <c r="H119" t="s">
        <v>15</v>
      </c>
      <c r="I119">
        <f t="shared" si="39"/>
        <v>4</v>
      </c>
      <c r="J119">
        <f t="shared" si="25"/>
        <v>27</v>
      </c>
      <c r="K119" t="s">
        <v>27</v>
      </c>
      <c r="L119" t="str">
        <f t="shared" si="32"/>
        <v>Abril</v>
      </c>
      <c r="M119" t="s">
        <v>28</v>
      </c>
      <c r="N119" t="str">
        <f t="shared" si="34"/>
        <v>{ nombre: "Tiempo Pascual, Semana 2 Domingo", archivo: "/salterios/src/evan/audios/tps02domingo.mp3", fecha: `${year}-04-27` },</v>
      </c>
    </row>
    <row r="120" spans="1:14" x14ac:dyDescent="0.25">
      <c r="A120" t="s">
        <v>0</v>
      </c>
      <c r="B120" t="str">
        <f t="shared" si="42"/>
        <v>pascual</v>
      </c>
      <c r="C120" t="s">
        <v>2</v>
      </c>
      <c r="D120" s="2">
        <f>D119</f>
        <v>2</v>
      </c>
      <c r="E120" t="s">
        <v>3</v>
      </c>
      <c r="F120" t="s">
        <v>17</v>
      </c>
      <c r="G120" s="1" t="str">
        <f t="shared" ref="G120:G125" si="47">_xlfn.CONCAT(LEFT(A120,1),LEFT(B120,1),LEFT(C120,1),"0",D120,E120)</f>
        <v>tps02lunes</v>
      </c>
      <c r="H120" t="s">
        <v>15</v>
      </c>
      <c r="I120">
        <f t="shared" si="39"/>
        <v>4</v>
      </c>
      <c r="J120">
        <f t="shared" si="25"/>
        <v>28</v>
      </c>
      <c r="K120" t="s">
        <v>27</v>
      </c>
      <c r="L120" t="str">
        <f t="shared" si="32"/>
        <v>Abril</v>
      </c>
      <c r="M120" t="s">
        <v>28</v>
      </c>
      <c r="N120" t="str">
        <f t="shared" si="34"/>
        <v>{ nombre: "Tiempo Pascual, Semana 2 Lunes", archivo: "/salterios/src/evan/audios/tps02lunes.mp3", fecha: `${year}-04-28` },</v>
      </c>
    </row>
    <row r="121" spans="1:14" x14ac:dyDescent="0.25">
      <c r="A121" t="s">
        <v>0</v>
      </c>
      <c r="B121" t="str">
        <f t="shared" si="42"/>
        <v>pascual</v>
      </c>
      <c r="C121" t="s">
        <v>2</v>
      </c>
      <c r="D121" s="2">
        <f t="shared" ref="D121:D125" si="48">D120</f>
        <v>2</v>
      </c>
      <c r="E121" t="s">
        <v>4</v>
      </c>
      <c r="F121" t="s">
        <v>17</v>
      </c>
      <c r="G121" s="1" t="str">
        <f t="shared" si="47"/>
        <v>tps02martes</v>
      </c>
      <c r="H121" t="s">
        <v>15</v>
      </c>
      <c r="I121">
        <f t="shared" si="39"/>
        <v>4</v>
      </c>
      <c r="J121">
        <f t="shared" si="25"/>
        <v>29</v>
      </c>
      <c r="K121" t="s">
        <v>27</v>
      </c>
      <c r="L121" t="str">
        <f t="shared" si="32"/>
        <v>Abril</v>
      </c>
      <c r="M121" t="s">
        <v>28</v>
      </c>
      <c r="N121" t="str">
        <f t="shared" si="34"/>
        <v>{ nombre: "Tiempo Pascual, Semana 2 Martes", archivo: "/salterios/src/evan/audios/tps02martes.mp3", fecha: `${year}-04-29` },</v>
      </c>
    </row>
    <row r="122" spans="1:14" x14ac:dyDescent="0.25">
      <c r="A122" t="s">
        <v>0</v>
      </c>
      <c r="B122" t="str">
        <f t="shared" si="42"/>
        <v>pascual</v>
      </c>
      <c r="C122" t="s">
        <v>2</v>
      </c>
      <c r="D122" s="2">
        <f t="shared" si="48"/>
        <v>2</v>
      </c>
      <c r="E122" t="s">
        <v>5</v>
      </c>
      <c r="F122" t="s">
        <v>17</v>
      </c>
      <c r="G122" s="1" t="str">
        <f t="shared" si="47"/>
        <v>tps02miercoles</v>
      </c>
      <c r="H122" t="s">
        <v>15</v>
      </c>
      <c r="I122">
        <f t="shared" si="39"/>
        <v>4</v>
      </c>
      <c r="J122">
        <f t="shared" si="25"/>
        <v>30</v>
      </c>
      <c r="K122" t="s">
        <v>27</v>
      </c>
      <c r="L122" t="str">
        <f t="shared" si="32"/>
        <v>Abril</v>
      </c>
      <c r="M122" t="s">
        <v>28</v>
      </c>
      <c r="N122" t="str">
        <f t="shared" si="34"/>
        <v>{ nombre: "Tiempo Pascual, Semana 2 Miercoles", archivo: "/salterios/src/evan/audios/tps02miercoles.mp3", fecha: `${year}-04-30` },</v>
      </c>
    </row>
    <row r="123" spans="1:14" x14ac:dyDescent="0.25">
      <c r="A123" t="s">
        <v>0</v>
      </c>
      <c r="B123" t="str">
        <f t="shared" si="42"/>
        <v>pascual</v>
      </c>
      <c r="C123" t="s">
        <v>2</v>
      </c>
      <c r="D123" s="2">
        <f t="shared" si="48"/>
        <v>2</v>
      </c>
      <c r="E123" t="s">
        <v>6</v>
      </c>
      <c r="F123" t="s">
        <v>17</v>
      </c>
      <c r="G123" s="1" t="str">
        <f t="shared" si="47"/>
        <v>tps02jueves</v>
      </c>
      <c r="H123" t="s">
        <v>15</v>
      </c>
      <c r="I123">
        <v>5</v>
      </c>
      <c r="J123">
        <v>1</v>
      </c>
      <c r="K123" t="s">
        <v>27</v>
      </c>
      <c r="L123" t="str">
        <f t="shared" si="32"/>
        <v>Mayo</v>
      </c>
      <c r="M123" t="s">
        <v>28</v>
      </c>
      <c r="N123" t="str">
        <f t="shared" si="34"/>
        <v>{ nombre: "Tiempo Pascual, Semana 2 Jueves", archivo: "/salterios/src/evan/audios/tps02jueves.mp3", fecha: `${year}-05-1` },</v>
      </c>
    </row>
    <row r="124" spans="1:14" x14ac:dyDescent="0.25">
      <c r="A124" t="s">
        <v>0</v>
      </c>
      <c r="B124" t="str">
        <f t="shared" si="42"/>
        <v>pascual</v>
      </c>
      <c r="C124" t="s">
        <v>2</v>
      </c>
      <c r="D124" s="2">
        <f t="shared" si="48"/>
        <v>2</v>
      </c>
      <c r="E124" t="s">
        <v>7</v>
      </c>
      <c r="F124" t="s">
        <v>17</v>
      </c>
      <c r="G124" s="1" t="str">
        <f t="shared" si="47"/>
        <v>tps02viernes</v>
      </c>
      <c r="H124" t="s">
        <v>15</v>
      </c>
      <c r="I124">
        <f t="shared" si="39"/>
        <v>5</v>
      </c>
      <c r="J124">
        <f t="shared" si="25"/>
        <v>2</v>
      </c>
      <c r="K124" t="s">
        <v>27</v>
      </c>
      <c r="L124" t="str">
        <f t="shared" si="32"/>
        <v>Mayo</v>
      </c>
      <c r="M124" t="s">
        <v>28</v>
      </c>
      <c r="N124" t="str">
        <f t="shared" si="34"/>
        <v>{ nombre: "Tiempo Pascual, Semana 2 Viernes", archivo: "/salterios/src/evan/audios/tps02viernes.mp3", fecha: `${year}-05-2` },</v>
      </c>
    </row>
    <row r="125" spans="1:14" x14ac:dyDescent="0.25">
      <c r="A125" t="s">
        <v>0</v>
      </c>
      <c r="B125" t="str">
        <f t="shared" si="42"/>
        <v>pascual</v>
      </c>
      <c r="C125" t="s">
        <v>2</v>
      </c>
      <c r="D125" s="2">
        <f t="shared" si="48"/>
        <v>2</v>
      </c>
      <c r="E125" t="s">
        <v>8</v>
      </c>
      <c r="F125" t="s">
        <v>17</v>
      </c>
      <c r="G125" s="1" t="str">
        <f t="shared" si="47"/>
        <v>tps02sabado</v>
      </c>
      <c r="H125" t="s">
        <v>15</v>
      </c>
      <c r="I125">
        <f t="shared" si="39"/>
        <v>5</v>
      </c>
      <c r="J125">
        <f t="shared" si="25"/>
        <v>3</v>
      </c>
      <c r="K125" t="s">
        <v>27</v>
      </c>
      <c r="L125" t="str">
        <f t="shared" si="32"/>
        <v>Mayo</v>
      </c>
      <c r="M125" t="s">
        <v>28</v>
      </c>
      <c r="N125" t="str">
        <f t="shared" si="34"/>
        <v>{ nombre: "Tiempo Pascual, Semana 2 Sabado", archivo: "/salterios/src/evan/audios/tps02sabado.mp3", fecha: `${year}-05-3` },</v>
      </c>
    </row>
    <row r="126" spans="1:14" x14ac:dyDescent="0.25">
      <c r="A126" t="s">
        <v>0</v>
      </c>
      <c r="B126" t="str">
        <f t="shared" si="42"/>
        <v>pascual</v>
      </c>
      <c r="C126" t="s">
        <v>2</v>
      </c>
      <c r="D126" s="2">
        <f>+D125+1</f>
        <v>3</v>
      </c>
      <c r="E126" t="s">
        <v>9</v>
      </c>
      <c r="F126" t="s">
        <v>17</v>
      </c>
      <c r="G126" s="1" t="str">
        <f>_xlfn.CONCAT(LEFT(A126,1),LEFT(B126,1),LEFT(C126,1),"0",D126,E126)</f>
        <v>tps03domingo</v>
      </c>
      <c r="H126" t="s">
        <v>15</v>
      </c>
      <c r="I126">
        <f t="shared" si="39"/>
        <v>5</v>
      </c>
      <c r="J126">
        <f t="shared" si="25"/>
        <v>4</v>
      </c>
      <c r="K126" t="s">
        <v>27</v>
      </c>
      <c r="L126" t="str">
        <f t="shared" si="32"/>
        <v>Mayo</v>
      </c>
      <c r="M126" t="s">
        <v>28</v>
      </c>
      <c r="N126" t="str">
        <f t="shared" si="34"/>
        <v>{ nombre: "Tiempo Pascual, Semana 3 Domingo", archivo: "/salterios/src/evan/audios/tps03domingo.mp3", fecha: `${year}-05-4` },</v>
      </c>
    </row>
    <row r="127" spans="1:14" x14ac:dyDescent="0.25">
      <c r="A127" t="s">
        <v>0</v>
      </c>
      <c r="B127" t="str">
        <f t="shared" si="42"/>
        <v>pascual</v>
      </c>
      <c r="C127" t="s">
        <v>2</v>
      </c>
      <c r="D127" s="2">
        <f>D126</f>
        <v>3</v>
      </c>
      <c r="E127" t="s">
        <v>3</v>
      </c>
      <c r="F127" t="s">
        <v>17</v>
      </c>
      <c r="G127" s="1" t="str">
        <f t="shared" ref="G127:G132" si="49">_xlfn.CONCAT(LEFT(A127,1),LEFT(B127,1),LEFT(C127,1),"0",D127,E127)</f>
        <v>tps03lunes</v>
      </c>
      <c r="H127" t="s">
        <v>15</v>
      </c>
      <c r="I127">
        <f t="shared" si="39"/>
        <v>5</v>
      </c>
      <c r="J127">
        <f t="shared" ref="J127:J190" si="50">+J126+1</f>
        <v>5</v>
      </c>
      <c r="K127" t="s">
        <v>27</v>
      </c>
      <c r="L127" t="str">
        <f t="shared" si="32"/>
        <v>Mayo</v>
      </c>
      <c r="M127" t="s">
        <v>28</v>
      </c>
      <c r="N127" t="str">
        <f t="shared" si="34"/>
        <v>{ nombre: "Tiempo Pascual, Semana 3 Lunes", archivo: "/salterios/src/evan/audios/tps03lunes.mp3", fecha: `${year}-05-5` },</v>
      </c>
    </row>
    <row r="128" spans="1:14" x14ac:dyDescent="0.25">
      <c r="A128" t="s">
        <v>0</v>
      </c>
      <c r="B128" t="str">
        <f t="shared" si="42"/>
        <v>pascual</v>
      </c>
      <c r="C128" t="s">
        <v>2</v>
      </c>
      <c r="D128" s="2">
        <f t="shared" ref="D128:D132" si="51">D127</f>
        <v>3</v>
      </c>
      <c r="E128" t="s">
        <v>4</v>
      </c>
      <c r="F128" t="s">
        <v>17</v>
      </c>
      <c r="G128" s="1" t="str">
        <f t="shared" si="49"/>
        <v>tps03martes</v>
      </c>
      <c r="H128" t="s">
        <v>15</v>
      </c>
      <c r="I128">
        <f t="shared" si="39"/>
        <v>5</v>
      </c>
      <c r="J128">
        <f t="shared" si="50"/>
        <v>6</v>
      </c>
      <c r="K128" t="s">
        <v>27</v>
      </c>
      <c r="L128" t="str">
        <f t="shared" si="32"/>
        <v>Mayo</v>
      </c>
      <c r="M128" t="s">
        <v>28</v>
      </c>
      <c r="N128" t="str">
        <f t="shared" si="34"/>
        <v>{ nombre: "Tiempo Pascual, Semana 3 Martes", archivo: "/salterios/src/evan/audios/tps03martes.mp3", fecha: `${year}-05-6` },</v>
      </c>
    </row>
    <row r="129" spans="1:14" x14ac:dyDescent="0.25">
      <c r="A129" t="s">
        <v>0</v>
      </c>
      <c r="B129" t="str">
        <f t="shared" si="42"/>
        <v>pascual</v>
      </c>
      <c r="C129" t="s">
        <v>2</v>
      </c>
      <c r="D129" s="2">
        <f t="shared" si="51"/>
        <v>3</v>
      </c>
      <c r="E129" t="s">
        <v>5</v>
      </c>
      <c r="F129" t="s">
        <v>17</v>
      </c>
      <c r="G129" s="1" t="str">
        <f t="shared" si="49"/>
        <v>tps03miercoles</v>
      </c>
      <c r="H129" t="s">
        <v>15</v>
      </c>
      <c r="I129">
        <f t="shared" si="39"/>
        <v>5</v>
      </c>
      <c r="J129">
        <f t="shared" si="50"/>
        <v>7</v>
      </c>
      <c r="K129" t="s">
        <v>27</v>
      </c>
      <c r="L129" t="str">
        <f t="shared" si="32"/>
        <v>Mayo</v>
      </c>
      <c r="M129" t="s">
        <v>28</v>
      </c>
      <c r="N129" t="str">
        <f t="shared" si="34"/>
        <v>{ nombre: "Tiempo Pascual, Semana 3 Miercoles", archivo: "/salterios/src/evan/audios/tps03miercoles.mp3", fecha: `${year}-05-7` },</v>
      </c>
    </row>
    <row r="130" spans="1:14" x14ac:dyDescent="0.25">
      <c r="A130" t="s">
        <v>0</v>
      </c>
      <c r="B130" t="str">
        <f t="shared" si="42"/>
        <v>pascual</v>
      </c>
      <c r="C130" t="s">
        <v>2</v>
      </c>
      <c r="D130" s="2">
        <f t="shared" si="51"/>
        <v>3</v>
      </c>
      <c r="E130" t="s">
        <v>6</v>
      </c>
      <c r="F130" t="s">
        <v>17</v>
      </c>
      <c r="G130" s="1" t="str">
        <f t="shared" si="49"/>
        <v>tps03jueves</v>
      </c>
      <c r="H130" t="s">
        <v>15</v>
      </c>
      <c r="I130">
        <f t="shared" si="39"/>
        <v>5</v>
      </c>
      <c r="J130">
        <f t="shared" si="50"/>
        <v>8</v>
      </c>
      <c r="K130" t="s">
        <v>27</v>
      </c>
      <c r="L130" t="str">
        <f t="shared" si="32"/>
        <v>Mayo</v>
      </c>
      <c r="M130" t="s">
        <v>28</v>
      </c>
      <c r="N130" t="str">
        <f t="shared" si="34"/>
        <v>{ nombre: "Tiempo Pascual, Semana 3 Jueves", archivo: "/salterios/src/evan/audios/tps03jueves.mp3", fecha: `${year}-05-8` },</v>
      </c>
    </row>
    <row r="131" spans="1:14" x14ac:dyDescent="0.25">
      <c r="A131" t="s">
        <v>0</v>
      </c>
      <c r="B131" t="str">
        <f t="shared" si="42"/>
        <v>pascual</v>
      </c>
      <c r="C131" t="s">
        <v>2</v>
      </c>
      <c r="D131" s="2">
        <f t="shared" si="51"/>
        <v>3</v>
      </c>
      <c r="E131" t="s">
        <v>7</v>
      </c>
      <c r="F131" t="s">
        <v>17</v>
      </c>
      <c r="G131" s="1" t="str">
        <f t="shared" si="49"/>
        <v>tps03viernes</v>
      </c>
      <c r="H131" t="s">
        <v>15</v>
      </c>
      <c r="I131">
        <f t="shared" si="39"/>
        <v>5</v>
      </c>
      <c r="J131">
        <f t="shared" si="50"/>
        <v>9</v>
      </c>
      <c r="K131" t="s">
        <v>27</v>
      </c>
      <c r="L131" t="str">
        <f t="shared" si="32"/>
        <v>Mayo</v>
      </c>
      <c r="M131" t="s">
        <v>28</v>
      </c>
      <c r="N131" t="str">
        <f t="shared" si="34"/>
        <v>{ nombre: "Tiempo Pascual, Semana 3 Viernes", archivo: "/salterios/src/evan/audios/tps03viernes.mp3", fecha: `${year}-05-9` },</v>
      </c>
    </row>
    <row r="132" spans="1:14" x14ac:dyDescent="0.25">
      <c r="A132" t="s">
        <v>0</v>
      </c>
      <c r="B132" t="str">
        <f t="shared" si="42"/>
        <v>pascual</v>
      </c>
      <c r="C132" t="s">
        <v>2</v>
      </c>
      <c r="D132" s="2">
        <f t="shared" si="51"/>
        <v>3</v>
      </c>
      <c r="E132" t="s">
        <v>8</v>
      </c>
      <c r="F132" t="s">
        <v>17</v>
      </c>
      <c r="G132" s="1" t="str">
        <f t="shared" si="49"/>
        <v>tps03sabado</v>
      </c>
      <c r="H132" t="s">
        <v>15</v>
      </c>
      <c r="I132">
        <f t="shared" si="39"/>
        <v>5</v>
      </c>
      <c r="J132">
        <f t="shared" si="50"/>
        <v>10</v>
      </c>
      <c r="K132" t="s">
        <v>27</v>
      </c>
      <c r="L132" t="str">
        <f t="shared" si="32"/>
        <v>Mayo</v>
      </c>
      <c r="M132" t="s">
        <v>28</v>
      </c>
      <c r="N132" t="str">
        <f t="shared" si="34"/>
        <v>{ nombre: "Tiempo Pascual, Semana 3 Sabado", archivo: "/salterios/src/evan/audios/tps03sabado.mp3", fecha: `${year}-05-10` },</v>
      </c>
    </row>
    <row r="133" spans="1:14" x14ac:dyDescent="0.25">
      <c r="A133" t="s">
        <v>0</v>
      </c>
      <c r="B133" t="str">
        <f t="shared" si="42"/>
        <v>pascual</v>
      </c>
      <c r="C133" t="s">
        <v>2</v>
      </c>
      <c r="D133" s="2">
        <f>+D132+1</f>
        <v>4</v>
      </c>
      <c r="E133" t="s">
        <v>9</v>
      </c>
      <c r="F133" t="s">
        <v>17</v>
      </c>
      <c r="G133" s="1" t="str">
        <f>_xlfn.CONCAT(LEFT(A133,1),LEFT(B133,1),LEFT(C133,1),"0",D133,E133)</f>
        <v>tps04domingo</v>
      </c>
      <c r="H133" t="s">
        <v>15</v>
      </c>
      <c r="I133">
        <f t="shared" si="39"/>
        <v>5</v>
      </c>
      <c r="J133">
        <f t="shared" si="50"/>
        <v>11</v>
      </c>
      <c r="K133" t="s">
        <v>27</v>
      </c>
      <c r="L133" t="str">
        <f t="shared" si="32"/>
        <v>Mayo</v>
      </c>
      <c r="M133" t="s">
        <v>28</v>
      </c>
      <c r="N133" t="str">
        <f t="shared" si="34"/>
        <v>{ nombre: "Tiempo Pascual, Semana 4 Domingo", archivo: "/salterios/src/evan/audios/tps04domingo.mp3", fecha: `${year}-05-11` },</v>
      </c>
    </row>
    <row r="134" spans="1:14" x14ac:dyDescent="0.25">
      <c r="A134" t="s">
        <v>0</v>
      </c>
      <c r="B134" t="str">
        <f t="shared" si="42"/>
        <v>pascual</v>
      </c>
      <c r="C134" t="s">
        <v>2</v>
      </c>
      <c r="D134" s="2">
        <f>D133</f>
        <v>4</v>
      </c>
      <c r="E134" t="s">
        <v>3</v>
      </c>
      <c r="F134" t="s">
        <v>17</v>
      </c>
      <c r="G134" s="1" t="str">
        <f t="shared" ref="G134:G139" si="52">_xlfn.CONCAT(LEFT(A134,1),LEFT(B134,1),LEFT(C134,1),"0",D134,E134)</f>
        <v>tps04lunes</v>
      </c>
      <c r="H134" t="s">
        <v>15</v>
      </c>
      <c r="I134">
        <f t="shared" si="39"/>
        <v>5</v>
      </c>
      <c r="J134">
        <f t="shared" si="50"/>
        <v>12</v>
      </c>
      <c r="K134" t="s">
        <v>27</v>
      </c>
      <c r="L134" t="str">
        <f t="shared" si="32"/>
        <v>Mayo</v>
      </c>
      <c r="M134" t="s">
        <v>28</v>
      </c>
      <c r="N134" t="str">
        <f t="shared" si="34"/>
        <v>{ nombre: "Tiempo Pascual, Semana 4 Lunes", archivo: "/salterios/src/evan/audios/tps04lunes.mp3", fecha: `${year}-05-12` },</v>
      </c>
    </row>
    <row r="135" spans="1:14" x14ac:dyDescent="0.25">
      <c r="A135" t="s">
        <v>0</v>
      </c>
      <c r="B135" t="str">
        <f t="shared" si="42"/>
        <v>pascual</v>
      </c>
      <c r="C135" t="s">
        <v>2</v>
      </c>
      <c r="D135" s="2">
        <f t="shared" ref="D135:D139" si="53">D134</f>
        <v>4</v>
      </c>
      <c r="E135" t="s">
        <v>4</v>
      </c>
      <c r="F135" t="s">
        <v>17</v>
      </c>
      <c r="G135" s="1" t="str">
        <f t="shared" si="52"/>
        <v>tps04martes</v>
      </c>
      <c r="H135" t="s">
        <v>15</v>
      </c>
      <c r="I135">
        <f t="shared" si="39"/>
        <v>5</v>
      </c>
      <c r="J135">
        <f t="shared" si="50"/>
        <v>13</v>
      </c>
      <c r="K135" t="s">
        <v>27</v>
      </c>
      <c r="L135" t="str">
        <f t="shared" si="32"/>
        <v>Mayo</v>
      </c>
      <c r="M135" t="s">
        <v>28</v>
      </c>
      <c r="N135" t="str">
        <f t="shared" si="34"/>
        <v>{ nombre: "Tiempo Pascual, Semana 4 Martes", archivo: "/salterios/src/evan/audios/tps04martes.mp3", fecha: `${year}-05-13` },</v>
      </c>
    </row>
    <row r="136" spans="1:14" x14ac:dyDescent="0.25">
      <c r="A136" t="s">
        <v>0</v>
      </c>
      <c r="B136" t="str">
        <f t="shared" si="42"/>
        <v>pascual</v>
      </c>
      <c r="C136" t="s">
        <v>2</v>
      </c>
      <c r="D136" s="2">
        <f t="shared" si="53"/>
        <v>4</v>
      </c>
      <c r="E136" t="s">
        <v>5</v>
      </c>
      <c r="F136" t="s">
        <v>17</v>
      </c>
      <c r="G136" s="1" t="str">
        <f t="shared" si="52"/>
        <v>tps04miercoles</v>
      </c>
      <c r="H136" t="s">
        <v>15</v>
      </c>
      <c r="I136">
        <f t="shared" si="39"/>
        <v>5</v>
      </c>
      <c r="J136">
        <f t="shared" si="50"/>
        <v>14</v>
      </c>
      <c r="K136" t="s">
        <v>27</v>
      </c>
      <c r="L136" t="str">
        <f t="shared" si="32"/>
        <v>Mayo</v>
      </c>
      <c r="M136" t="s">
        <v>28</v>
      </c>
      <c r="N136" t="str">
        <f t="shared" si="34"/>
        <v>{ nombre: "Tiempo Pascual, Semana 4 Miercoles", archivo: "/salterios/src/evan/audios/tps04miercoles.mp3", fecha: `${year}-05-14` },</v>
      </c>
    </row>
    <row r="137" spans="1:14" x14ac:dyDescent="0.25">
      <c r="A137" t="s">
        <v>0</v>
      </c>
      <c r="B137" t="str">
        <f t="shared" si="42"/>
        <v>pascual</v>
      </c>
      <c r="C137" t="s">
        <v>2</v>
      </c>
      <c r="D137" s="2">
        <f t="shared" si="53"/>
        <v>4</v>
      </c>
      <c r="E137" t="s">
        <v>6</v>
      </c>
      <c r="F137" t="s">
        <v>17</v>
      </c>
      <c r="G137" s="1" t="str">
        <f t="shared" si="52"/>
        <v>tps04jueves</v>
      </c>
      <c r="H137" t="s">
        <v>15</v>
      </c>
      <c r="I137">
        <f t="shared" si="39"/>
        <v>5</v>
      </c>
      <c r="J137">
        <f t="shared" si="50"/>
        <v>15</v>
      </c>
      <c r="K137" t="s">
        <v>27</v>
      </c>
      <c r="L137" t="str">
        <f t="shared" si="32"/>
        <v>Mayo</v>
      </c>
      <c r="M137" t="s">
        <v>28</v>
      </c>
      <c r="N137" t="str">
        <f t="shared" si="34"/>
        <v>{ nombre: "Tiempo Pascual, Semana 4 Jueves", archivo: "/salterios/src/evan/audios/tps04jueves.mp3", fecha: `${year}-05-15` },</v>
      </c>
    </row>
    <row r="138" spans="1:14" x14ac:dyDescent="0.25">
      <c r="A138" t="s">
        <v>0</v>
      </c>
      <c r="B138" t="str">
        <f t="shared" si="42"/>
        <v>pascual</v>
      </c>
      <c r="C138" t="s">
        <v>2</v>
      </c>
      <c r="D138" s="2">
        <f t="shared" si="53"/>
        <v>4</v>
      </c>
      <c r="E138" t="s">
        <v>7</v>
      </c>
      <c r="F138" t="s">
        <v>17</v>
      </c>
      <c r="G138" s="1" t="str">
        <f t="shared" si="52"/>
        <v>tps04viernes</v>
      </c>
      <c r="H138" t="s">
        <v>15</v>
      </c>
      <c r="I138">
        <f t="shared" si="39"/>
        <v>5</v>
      </c>
      <c r="J138">
        <f t="shared" si="50"/>
        <v>16</v>
      </c>
      <c r="K138" t="s">
        <v>27</v>
      </c>
      <c r="L138" t="str">
        <f t="shared" si="32"/>
        <v>Mayo</v>
      </c>
      <c r="M138" t="s">
        <v>28</v>
      </c>
      <c r="N138" t="str">
        <f t="shared" si="34"/>
        <v>{ nombre: "Tiempo Pascual, Semana 4 Viernes", archivo: "/salterios/src/evan/audios/tps04viernes.mp3", fecha: `${year}-05-16` },</v>
      </c>
    </row>
    <row r="139" spans="1:14" x14ac:dyDescent="0.25">
      <c r="A139" t="s">
        <v>0</v>
      </c>
      <c r="B139" t="str">
        <f t="shared" si="42"/>
        <v>pascual</v>
      </c>
      <c r="C139" t="s">
        <v>2</v>
      </c>
      <c r="D139" s="2">
        <f t="shared" si="53"/>
        <v>4</v>
      </c>
      <c r="E139" t="s">
        <v>8</v>
      </c>
      <c r="F139" t="s">
        <v>17</v>
      </c>
      <c r="G139" s="1" t="str">
        <f t="shared" si="52"/>
        <v>tps04sabado</v>
      </c>
      <c r="H139" t="s">
        <v>15</v>
      </c>
      <c r="I139">
        <f t="shared" si="39"/>
        <v>5</v>
      </c>
      <c r="J139">
        <f t="shared" si="50"/>
        <v>17</v>
      </c>
      <c r="K139" t="s">
        <v>27</v>
      </c>
      <c r="L139" t="str">
        <f t="shared" si="32"/>
        <v>Mayo</v>
      </c>
      <c r="M139" t="s">
        <v>28</v>
      </c>
      <c r="N139" t="str">
        <f t="shared" si="34"/>
        <v>{ nombre: "Tiempo Pascual, Semana 4 Sabado", archivo: "/salterios/src/evan/audios/tps04sabado.mp3", fecha: `${year}-05-17` },</v>
      </c>
    </row>
    <row r="140" spans="1:14" x14ac:dyDescent="0.25">
      <c r="A140" t="s">
        <v>0</v>
      </c>
      <c r="B140" t="str">
        <f t="shared" si="42"/>
        <v>pascual</v>
      </c>
      <c r="C140" t="s">
        <v>2</v>
      </c>
      <c r="D140" s="2">
        <f>+D139+1</f>
        <v>5</v>
      </c>
      <c r="E140" t="s">
        <v>9</v>
      </c>
      <c r="F140" t="s">
        <v>17</v>
      </c>
      <c r="G140" s="1" t="str">
        <f>_xlfn.CONCAT(LEFT(A140,1),LEFT(B140,1),LEFT(C140,1),"0",D140,E140)</f>
        <v>tps05domingo</v>
      </c>
      <c r="H140" t="s">
        <v>15</v>
      </c>
      <c r="I140">
        <f t="shared" si="39"/>
        <v>5</v>
      </c>
      <c r="J140">
        <f t="shared" si="50"/>
        <v>18</v>
      </c>
      <c r="K140" t="s">
        <v>27</v>
      </c>
      <c r="L140" t="str">
        <f t="shared" si="32"/>
        <v>Mayo</v>
      </c>
      <c r="M140" t="s">
        <v>28</v>
      </c>
      <c r="N140" t="str">
        <f t="shared" si="34"/>
        <v>{ nombre: "Tiempo Pascual, Semana 5 Domingo", archivo: "/salterios/src/evan/audios/tps05domingo.mp3", fecha: `${year}-05-18` },</v>
      </c>
    </row>
    <row r="141" spans="1:14" x14ac:dyDescent="0.25">
      <c r="A141" t="s">
        <v>0</v>
      </c>
      <c r="B141" t="str">
        <f t="shared" si="42"/>
        <v>pascual</v>
      </c>
      <c r="C141" t="s">
        <v>2</v>
      </c>
      <c r="D141" s="2">
        <f>D140</f>
        <v>5</v>
      </c>
      <c r="E141" t="s">
        <v>3</v>
      </c>
      <c r="F141" t="s">
        <v>17</v>
      </c>
      <c r="G141" s="1" t="str">
        <f t="shared" ref="G141:G146" si="54">_xlfn.CONCAT(LEFT(A141,1),LEFT(B141,1),LEFT(C141,1),"0",D141,E141)</f>
        <v>tps05lunes</v>
      </c>
      <c r="H141" t="s">
        <v>15</v>
      </c>
      <c r="I141">
        <f t="shared" si="39"/>
        <v>5</v>
      </c>
      <c r="J141">
        <f t="shared" si="50"/>
        <v>19</v>
      </c>
      <c r="K141" t="s">
        <v>27</v>
      </c>
      <c r="L141" t="str">
        <f t="shared" si="32"/>
        <v>Mayo</v>
      </c>
      <c r="M141" t="s">
        <v>28</v>
      </c>
      <c r="N141" t="str">
        <f t="shared" si="34"/>
        <v>{ nombre: "Tiempo Pascual, Semana 5 Lunes", archivo: "/salterios/src/evan/audios/tps05lunes.mp3", fecha: `${year}-05-19` },</v>
      </c>
    </row>
    <row r="142" spans="1:14" x14ac:dyDescent="0.25">
      <c r="A142" t="s">
        <v>0</v>
      </c>
      <c r="B142" t="str">
        <f t="shared" si="42"/>
        <v>pascual</v>
      </c>
      <c r="C142" t="s">
        <v>2</v>
      </c>
      <c r="D142" s="2">
        <f t="shared" ref="D142:D146" si="55">D141</f>
        <v>5</v>
      </c>
      <c r="E142" t="s">
        <v>4</v>
      </c>
      <c r="F142" t="s">
        <v>17</v>
      </c>
      <c r="G142" s="1" t="str">
        <f t="shared" si="54"/>
        <v>tps05martes</v>
      </c>
      <c r="H142" t="s">
        <v>15</v>
      </c>
      <c r="I142">
        <f t="shared" si="39"/>
        <v>5</v>
      </c>
      <c r="J142">
        <f t="shared" si="50"/>
        <v>20</v>
      </c>
      <c r="K142" t="s">
        <v>27</v>
      </c>
      <c r="L142" t="str">
        <f t="shared" ref="L142:L205" si="56">IF(I142=1,"Enero",
IF(I142=2,"Febrero",
IF(I142=3,"Marzo",
IF(I142=4,"Abril",
IF(I142=5,"Mayo",
IF(I142=6,"Junio",
IF(I142=7,"Julio",
IF(I142=8,"Agosto",
IF(I142=9,"Septiembre",
IF(I142=10,"Octubre",
IF(I142=11,"Noviembre",
IF(I142=12,"Diciembre",""))))))))))))</f>
        <v>Mayo</v>
      </c>
      <c r="M142" t="s">
        <v>28</v>
      </c>
      <c r="N142" t="str">
        <f t="shared" si="34"/>
        <v>{ nombre: "Tiempo Pascual, Semana 5 Martes", archivo: "/salterios/src/evan/audios/tps05martes.mp3", fecha: `${year}-05-20` },</v>
      </c>
    </row>
    <row r="143" spans="1:14" x14ac:dyDescent="0.25">
      <c r="A143" t="s">
        <v>0</v>
      </c>
      <c r="B143" t="str">
        <f t="shared" si="42"/>
        <v>pascual</v>
      </c>
      <c r="C143" t="s">
        <v>2</v>
      </c>
      <c r="D143" s="2">
        <f t="shared" si="55"/>
        <v>5</v>
      </c>
      <c r="E143" t="s">
        <v>5</v>
      </c>
      <c r="F143" t="s">
        <v>17</v>
      </c>
      <c r="G143" s="1" t="str">
        <f t="shared" si="54"/>
        <v>tps05miercoles</v>
      </c>
      <c r="H143" t="s">
        <v>15</v>
      </c>
      <c r="I143">
        <f t="shared" si="39"/>
        <v>5</v>
      </c>
      <c r="J143">
        <f t="shared" si="50"/>
        <v>21</v>
      </c>
      <c r="K143" t="s">
        <v>27</v>
      </c>
      <c r="L143" t="str">
        <f t="shared" si="56"/>
        <v>Mayo</v>
      </c>
      <c r="M143" t="s">
        <v>28</v>
      </c>
      <c r="N143" t="str">
        <f t="shared" si="34"/>
        <v>{ nombre: "Tiempo Pascual, Semana 5 Miercoles", archivo: "/salterios/src/evan/audios/tps05miercoles.mp3", fecha: `${year}-05-21` },</v>
      </c>
    </row>
    <row r="144" spans="1:14" x14ac:dyDescent="0.25">
      <c r="A144" t="s">
        <v>0</v>
      </c>
      <c r="B144" t="str">
        <f t="shared" si="42"/>
        <v>pascual</v>
      </c>
      <c r="C144" t="s">
        <v>2</v>
      </c>
      <c r="D144" s="2">
        <f t="shared" si="55"/>
        <v>5</v>
      </c>
      <c r="E144" t="s">
        <v>6</v>
      </c>
      <c r="F144" t="s">
        <v>17</v>
      </c>
      <c r="G144" s="1" t="str">
        <f t="shared" si="54"/>
        <v>tps05jueves</v>
      </c>
      <c r="H144" t="s">
        <v>15</v>
      </c>
      <c r="I144">
        <f t="shared" si="39"/>
        <v>5</v>
      </c>
      <c r="J144">
        <f t="shared" si="50"/>
        <v>22</v>
      </c>
      <c r="K144" t="s">
        <v>27</v>
      </c>
      <c r="L144" t="str">
        <f t="shared" si="56"/>
        <v>Mayo</v>
      </c>
      <c r="M144" t="s">
        <v>28</v>
      </c>
      <c r="N144" t="str">
        <f t="shared" ref="N144:N207" si="57">_xlfn.CONCAT("{ nombre: ",H144,PROPER(A144)," ",PROPER(B144),", ",PROPER(C144)," ",D144," ",PROPER(E144),""",",F144,G144,".mp3",H144,", fecha: `${year}-",0,I144,"-",J144,"` },")</f>
        <v>{ nombre: "Tiempo Pascual, Semana 5 Jueves", archivo: "/salterios/src/evan/audios/tps05jueves.mp3", fecha: `${year}-05-22` },</v>
      </c>
    </row>
    <row r="145" spans="1:14" x14ac:dyDescent="0.25">
      <c r="A145" t="s">
        <v>0</v>
      </c>
      <c r="B145" t="str">
        <f t="shared" si="42"/>
        <v>pascual</v>
      </c>
      <c r="C145" t="s">
        <v>2</v>
      </c>
      <c r="D145" s="2">
        <f t="shared" si="55"/>
        <v>5</v>
      </c>
      <c r="E145" t="s">
        <v>7</v>
      </c>
      <c r="F145" t="s">
        <v>17</v>
      </c>
      <c r="G145" s="1" t="str">
        <f t="shared" si="54"/>
        <v>tps05viernes</v>
      </c>
      <c r="H145" t="s">
        <v>15</v>
      </c>
      <c r="I145">
        <f t="shared" si="39"/>
        <v>5</v>
      </c>
      <c r="J145">
        <f t="shared" si="50"/>
        <v>23</v>
      </c>
      <c r="K145" t="s">
        <v>27</v>
      </c>
      <c r="L145" t="str">
        <f t="shared" si="56"/>
        <v>Mayo</v>
      </c>
      <c r="M145" t="s">
        <v>28</v>
      </c>
      <c r="N145" t="str">
        <f t="shared" si="57"/>
        <v>{ nombre: "Tiempo Pascual, Semana 5 Viernes", archivo: "/salterios/src/evan/audios/tps05viernes.mp3", fecha: `${year}-05-23` },</v>
      </c>
    </row>
    <row r="146" spans="1:14" x14ac:dyDescent="0.25">
      <c r="A146" t="s">
        <v>0</v>
      </c>
      <c r="B146" t="str">
        <f t="shared" si="42"/>
        <v>pascual</v>
      </c>
      <c r="C146" t="s">
        <v>2</v>
      </c>
      <c r="D146" s="2">
        <f t="shared" si="55"/>
        <v>5</v>
      </c>
      <c r="E146" t="s">
        <v>8</v>
      </c>
      <c r="F146" t="s">
        <v>17</v>
      </c>
      <c r="G146" s="1" t="str">
        <f t="shared" si="54"/>
        <v>tps05sabado</v>
      </c>
      <c r="H146" t="s">
        <v>15</v>
      </c>
      <c r="I146">
        <f t="shared" si="39"/>
        <v>5</v>
      </c>
      <c r="J146">
        <f t="shared" si="50"/>
        <v>24</v>
      </c>
      <c r="K146" t="s">
        <v>27</v>
      </c>
      <c r="L146" t="str">
        <f t="shared" si="56"/>
        <v>Mayo</v>
      </c>
      <c r="M146" t="s">
        <v>28</v>
      </c>
      <c r="N146" t="str">
        <f t="shared" si="57"/>
        <v>{ nombre: "Tiempo Pascual, Semana 5 Sabado", archivo: "/salterios/src/evan/audios/tps05sabado.mp3", fecha: `${year}-05-24` },</v>
      </c>
    </row>
    <row r="147" spans="1:14" x14ac:dyDescent="0.25">
      <c r="A147" t="s">
        <v>0</v>
      </c>
      <c r="B147" t="str">
        <f t="shared" si="42"/>
        <v>pascual</v>
      </c>
      <c r="C147" t="s">
        <v>2</v>
      </c>
      <c r="D147" s="2">
        <f>+D146+1</f>
        <v>6</v>
      </c>
      <c r="E147" t="s">
        <v>9</v>
      </c>
      <c r="F147" t="s">
        <v>17</v>
      </c>
      <c r="G147" s="1" t="str">
        <f>_xlfn.CONCAT(LEFT(A147,1),LEFT(B147,1),LEFT(C147,1),"0",D147,E147)</f>
        <v>tps06domingo</v>
      </c>
      <c r="H147" t="s">
        <v>15</v>
      </c>
      <c r="I147">
        <f t="shared" si="39"/>
        <v>5</v>
      </c>
      <c r="J147">
        <f t="shared" si="50"/>
        <v>25</v>
      </c>
      <c r="K147" t="s">
        <v>27</v>
      </c>
      <c r="L147" t="str">
        <f t="shared" si="56"/>
        <v>Mayo</v>
      </c>
      <c r="M147" t="s">
        <v>28</v>
      </c>
      <c r="N147" t="str">
        <f t="shared" si="57"/>
        <v>{ nombre: "Tiempo Pascual, Semana 6 Domingo", archivo: "/salterios/src/evan/audios/tps06domingo.mp3", fecha: `${year}-05-25` },</v>
      </c>
    </row>
    <row r="148" spans="1:14" x14ac:dyDescent="0.25">
      <c r="A148" t="s">
        <v>0</v>
      </c>
      <c r="B148" t="str">
        <f t="shared" si="42"/>
        <v>pascual</v>
      </c>
      <c r="C148" t="s">
        <v>2</v>
      </c>
      <c r="D148" s="2">
        <f>D147</f>
        <v>6</v>
      </c>
      <c r="E148" t="s">
        <v>3</v>
      </c>
      <c r="F148" t="s">
        <v>17</v>
      </c>
      <c r="G148" s="1" t="str">
        <f t="shared" ref="G148:G153" si="58">_xlfn.CONCAT(LEFT(A148,1),LEFT(B148,1),LEFT(C148,1),"0",D148,E148)</f>
        <v>tps06lunes</v>
      </c>
      <c r="H148" t="s">
        <v>15</v>
      </c>
      <c r="I148">
        <f t="shared" si="39"/>
        <v>5</v>
      </c>
      <c r="J148">
        <f t="shared" si="50"/>
        <v>26</v>
      </c>
      <c r="K148" t="s">
        <v>27</v>
      </c>
      <c r="L148" t="str">
        <f t="shared" si="56"/>
        <v>Mayo</v>
      </c>
      <c r="M148" t="s">
        <v>28</v>
      </c>
      <c r="N148" t="str">
        <f t="shared" si="57"/>
        <v>{ nombre: "Tiempo Pascual, Semana 6 Lunes", archivo: "/salterios/src/evan/audios/tps06lunes.mp3", fecha: `${year}-05-26` },</v>
      </c>
    </row>
    <row r="149" spans="1:14" x14ac:dyDescent="0.25">
      <c r="A149" t="s">
        <v>0</v>
      </c>
      <c r="B149" t="str">
        <f t="shared" si="42"/>
        <v>pascual</v>
      </c>
      <c r="C149" t="s">
        <v>2</v>
      </c>
      <c r="D149" s="2">
        <f t="shared" ref="D149:D153" si="59">D148</f>
        <v>6</v>
      </c>
      <c r="E149" t="s">
        <v>4</v>
      </c>
      <c r="F149" t="s">
        <v>17</v>
      </c>
      <c r="G149" s="1" t="str">
        <f t="shared" si="58"/>
        <v>tps06martes</v>
      </c>
      <c r="H149" t="s">
        <v>15</v>
      </c>
      <c r="I149">
        <f t="shared" si="39"/>
        <v>5</v>
      </c>
      <c r="J149">
        <f t="shared" si="50"/>
        <v>27</v>
      </c>
      <c r="K149" t="s">
        <v>27</v>
      </c>
      <c r="L149" t="str">
        <f t="shared" si="56"/>
        <v>Mayo</v>
      </c>
      <c r="M149" t="s">
        <v>28</v>
      </c>
      <c r="N149" t="str">
        <f t="shared" si="57"/>
        <v>{ nombre: "Tiempo Pascual, Semana 6 Martes", archivo: "/salterios/src/evan/audios/tps06martes.mp3", fecha: `${year}-05-27` },</v>
      </c>
    </row>
    <row r="150" spans="1:14" x14ac:dyDescent="0.25">
      <c r="A150" t="s">
        <v>0</v>
      </c>
      <c r="B150" t="str">
        <f t="shared" si="42"/>
        <v>pascual</v>
      </c>
      <c r="C150" t="s">
        <v>2</v>
      </c>
      <c r="D150" s="2">
        <f t="shared" si="59"/>
        <v>6</v>
      </c>
      <c r="E150" t="s">
        <v>5</v>
      </c>
      <c r="F150" t="s">
        <v>17</v>
      </c>
      <c r="G150" s="1" t="str">
        <f t="shared" si="58"/>
        <v>tps06miercoles</v>
      </c>
      <c r="H150" t="s">
        <v>15</v>
      </c>
      <c r="I150">
        <f t="shared" si="39"/>
        <v>5</v>
      </c>
      <c r="J150">
        <f t="shared" si="50"/>
        <v>28</v>
      </c>
      <c r="K150" t="s">
        <v>27</v>
      </c>
      <c r="L150" t="str">
        <f t="shared" si="56"/>
        <v>Mayo</v>
      </c>
      <c r="M150" t="s">
        <v>28</v>
      </c>
      <c r="N150" t="str">
        <f t="shared" si="57"/>
        <v>{ nombre: "Tiempo Pascual, Semana 6 Miercoles", archivo: "/salterios/src/evan/audios/tps06miercoles.mp3", fecha: `${year}-05-28` },</v>
      </c>
    </row>
    <row r="151" spans="1:14" x14ac:dyDescent="0.25">
      <c r="A151" t="s">
        <v>0</v>
      </c>
      <c r="B151" t="str">
        <f t="shared" si="42"/>
        <v>pascual</v>
      </c>
      <c r="C151" t="s">
        <v>2</v>
      </c>
      <c r="D151" s="2">
        <f t="shared" si="59"/>
        <v>6</v>
      </c>
      <c r="E151" t="s">
        <v>6</v>
      </c>
      <c r="F151" t="s">
        <v>17</v>
      </c>
      <c r="G151" s="1" t="str">
        <f t="shared" si="58"/>
        <v>tps06jueves</v>
      </c>
      <c r="H151" t="s">
        <v>15</v>
      </c>
      <c r="I151">
        <f t="shared" si="39"/>
        <v>5</v>
      </c>
      <c r="J151">
        <f t="shared" si="50"/>
        <v>29</v>
      </c>
      <c r="K151" t="s">
        <v>27</v>
      </c>
      <c r="L151" t="str">
        <f t="shared" si="56"/>
        <v>Mayo</v>
      </c>
      <c r="M151" t="s">
        <v>28</v>
      </c>
      <c r="N151" t="str">
        <f t="shared" si="57"/>
        <v>{ nombre: "Tiempo Pascual, Semana 6 Jueves", archivo: "/salterios/src/evan/audios/tps06jueves.mp3", fecha: `${year}-05-29` },</v>
      </c>
    </row>
    <row r="152" spans="1:14" x14ac:dyDescent="0.25">
      <c r="A152" t="s">
        <v>0</v>
      </c>
      <c r="B152" t="str">
        <f t="shared" si="42"/>
        <v>pascual</v>
      </c>
      <c r="C152" t="s">
        <v>2</v>
      </c>
      <c r="D152" s="2">
        <f t="shared" si="59"/>
        <v>6</v>
      </c>
      <c r="E152" t="s">
        <v>7</v>
      </c>
      <c r="F152" t="s">
        <v>17</v>
      </c>
      <c r="G152" s="1" t="str">
        <f t="shared" si="58"/>
        <v>tps06viernes</v>
      </c>
      <c r="H152" t="s">
        <v>15</v>
      </c>
      <c r="I152">
        <f t="shared" si="39"/>
        <v>5</v>
      </c>
      <c r="J152">
        <f t="shared" si="50"/>
        <v>30</v>
      </c>
      <c r="K152" t="s">
        <v>27</v>
      </c>
      <c r="L152" t="str">
        <f t="shared" si="56"/>
        <v>Mayo</v>
      </c>
      <c r="M152" t="s">
        <v>28</v>
      </c>
      <c r="N152" t="str">
        <f t="shared" si="57"/>
        <v>{ nombre: "Tiempo Pascual, Semana 6 Viernes", archivo: "/salterios/src/evan/audios/tps06viernes.mp3", fecha: `${year}-05-30` },</v>
      </c>
    </row>
    <row r="153" spans="1:14" x14ac:dyDescent="0.25">
      <c r="A153" t="s">
        <v>0</v>
      </c>
      <c r="B153" t="str">
        <f t="shared" si="42"/>
        <v>pascual</v>
      </c>
      <c r="C153" t="s">
        <v>2</v>
      </c>
      <c r="D153" s="2">
        <f t="shared" si="59"/>
        <v>6</v>
      </c>
      <c r="E153" t="s">
        <v>8</v>
      </c>
      <c r="F153" t="s">
        <v>17</v>
      </c>
      <c r="G153" s="1" t="str">
        <f t="shared" si="58"/>
        <v>tps06sabado</v>
      </c>
      <c r="H153" t="s">
        <v>15</v>
      </c>
      <c r="I153">
        <f t="shared" si="39"/>
        <v>5</v>
      </c>
      <c r="J153">
        <f t="shared" si="50"/>
        <v>31</v>
      </c>
      <c r="K153" t="s">
        <v>27</v>
      </c>
      <c r="L153" t="str">
        <f t="shared" si="56"/>
        <v>Mayo</v>
      </c>
      <c r="M153" t="s">
        <v>28</v>
      </c>
      <c r="N153" t="str">
        <f t="shared" si="57"/>
        <v>{ nombre: "Tiempo Pascual, Semana 6 Sabado", archivo: "/salterios/src/evan/audios/tps06sabado.mp3", fecha: `${year}-05-31` },</v>
      </c>
    </row>
    <row r="154" spans="1:14" x14ac:dyDescent="0.25">
      <c r="A154" t="s">
        <v>0</v>
      </c>
      <c r="B154" t="str">
        <f t="shared" si="42"/>
        <v>pascual</v>
      </c>
      <c r="C154" t="s">
        <v>2</v>
      </c>
      <c r="D154" s="2">
        <f>+D153+1</f>
        <v>7</v>
      </c>
      <c r="E154" t="s">
        <v>9</v>
      </c>
      <c r="F154" t="s">
        <v>17</v>
      </c>
      <c r="G154" s="1" t="str">
        <f>_xlfn.CONCAT(LEFT(A154,1),LEFT(B154,1),LEFT(C154,1),"0",D154,E154)</f>
        <v>tps07domingo</v>
      </c>
      <c r="H154" t="s">
        <v>15</v>
      </c>
      <c r="I154">
        <v>6</v>
      </c>
      <c r="J154">
        <v>1</v>
      </c>
      <c r="K154" t="s">
        <v>27</v>
      </c>
      <c r="L154" t="str">
        <f t="shared" si="56"/>
        <v>Junio</v>
      </c>
      <c r="M154" t="s">
        <v>28</v>
      </c>
      <c r="N154" t="str">
        <f t="shared" si="57"/>
        <v>{ nombre: "Tiempo Pascual, Semana 7 Domingo", archivo: "/salterios/src/evan/audios/tps07domingo.mp3", fecha: `${year}-06-1` },</v>
      </c>
    </row>
    <row r="155" spans="1:14" x14ac:dyDescent="0.25">
      <c r="A155" t="s">
        <v>0</v>
      </c>
      <c r="B155" t="str">
        <f t="shared" si="42"/>
        <v>pascual</v>
      </c>
      <c r="C155" t="s">
        <v>2</v>
      </c>
      <c r="D155" s="2">
        <f>D154</f>
        <v>7</v>
      </c>
      <c r="E155" t="s">
        <v>3</v>
      </c>
      <c r="F155" t="s">
        <v>17</v>
      </c>
      <c r="G155" s="1" t="str">
        <f t="shared" ref="G155:G160" si="60">_xlfn.CONCAT(LEFT(A155,1),LEFT(B155,1),LEFT(C155,1),"0",D155,E155)</f>
        <v>tps07lunes</v>
      </c>
      <c r="H155" t="s">
        <v>15</v>
      </c>
      <c r="I155">
        <f t="shared" si="39"/>
        <v>6</v>
      </c>
      <c r="J155">
        <f t="shared" si="50"/>
        <v>2</v>
      </c>
      <c r="K155" t="s">
        <v>27</v>
      </c>
      <c r="L155" t="str">
        <f t="shared" si="56"/>
        <v>Junio</v>
      </c>
      <c r="M155" t="s">
        <v>28</v>
      </c>
      <c r="N155" t="str">
        <f t="shared" si="57"/>
        <v>{ nombre: "Tiempo Pascual, Semana 7 Lunes", archivo: "/salterios/src/evan/audios/tps07lunes.mp3", fecha: `${year}-06-2` },</v>
      </c>
    </row>
    <row r="156" spans="1:14" x14ac:dyDescent="0.25">
      <c r="A156" t="s">
        <v>0</v>
      </c>
      <c r="B156" t="str">
        <f t="shared" si="42"/>
        <v>pascual</v>
      </c>
      <c r="C156" t="s">
        <v>2</v>
      </c>
      <c r="D156" s="2">
        <f t="shared" ref="D156:D160" si="61">D155</f>
        <v>7</v>
      </c>
      <c r="E156" t="s">
        <v>4</v>
      </c>
      <c r="F156" t="s">
        <v>17</v>
      </c>
      <c r="G156" s="1" t="str">
        <f t="shared" si="60"/>
        <v>tps07martes</v>
      </c>
      <c r="H156" t="s">
        <v>15</v>
      </c>
      <c r="I156">
        <f t="shared" si="39"/>
        <v>6</v>
      </c>
      <c r="J156">
        <f t="shared" si="50"/>
        <v>3</v>
      </c>
      <c r="K156" t="s">
        <v>27</v>
      </c>
      <c r="L156" t="str">
        <f t="shared" si="56"/>
        <v>Junio</v>
      </c>
      <c r="M156" t="s">
        <v>28</v>
      </c>
      <c r="N156" t="str">
        <f t="shared" si="57"/>
        <v>{ nombre: "Tiempo Pascual, Semana 7 Martes", archivo: "/salterios/src/evan/audios/tps07martes.mp3", fecha: `${year}-06-3` },</v>
      </c>
    </row>
    <row r="157" spans="1:14" x14ac:dyDescent="0.25">
      <c r="A157" t="s">
        <v>0</v>
      </c>
      <c r="B157" t="str">
        <f t="shared" si="42"/>
        <v>pascual</v>
      </c>
      <c r="C157" t="s">
        <v>2</v>
      </c>
      <c r="D157" s="2">
        <f t="shared" si="61"/>
        <v>7</v>
      </c>
      <c r="E157" t="s">
        <v>5</v>
      </c>
      <c r="F157" t="s">
        <v>17</v>
      </c>
      <c r="G157" s="1" t="str">
        <f t="shared" si="60"/>
        <v>tps07miercoles</v>
      </c>
      <c r="H157" t="s">
        <v>15</v>
      </c>
      <c r="I157">
        <f t="shared" si="39"/>
        <v>6</v>
      </c>
      <c r="J157">
        <f t="shared" si="50"/>
        <v>4</v>
      </c>
      <c r="K157" t="s">
        <v>27</v>
      </c>
      <c r="L157" t="str">
        <f t="shared" si="56"/>
        <v>Junio</v>
      </c>
      <c r="M157" t="s">
        <v>28</v>
      </c>
      <c r="N157" t="str">
        <f t="shared" si="57"/>
        <v>{ nombre: "Tiempo Pascual, Semana 7 Miercoles", archivo: "/salterios/src/evan/audios/tps07miercoles.mp3", fecha: `${year}-06-4` },</v>
      </c>
    </row>
    <row r="158" spans="1:14" x14ac:dyDescent="0.25">
      <c r="A158" t="s">
        <v>0</v>
      </c>
      <c r="B158" t="str">
        <f t="shared" si="42"/>
        <v>pascual</v>
      </c>
      <c r="C158" t="s">
        <v>2</v>
      </c>
      <c r="D158" s="2">
        <f t="shared" si="61"/>
        <v>7</v>
      </c>
      <c r="E158" t="s">
        <v>6</v>
      </c>
      <c r="F158" t="s">
        <v>17</v>
      </c>
      <c r="G158" s="1" t="str">
        <f t="shared" si="60"/>
        <v>tps07jueves</v>
      </c>
      <c r="H158" t="s">
        <v>15</v>
      </c>
      <c r="I158">
        <f t="shared" si="39"/>
        <v>6</v>
      </c>
      <c r="J158">
        <f t="shared" si="50"/>
        <v>5</v>
      </c>
      <c r="K158" t="s">
        <v>27</v>
      </c>
      <c r="L158" t="str">
        <f t="shared" si="56"/>
        <v>Junio</v>
      </c>
      <c r="M158" t="s">
        <v>28</v>
      </c>
      <c r="N158" t="str">
        <f t="shared" si="57"/>
        <v>{ nombre: "Tiempo Pascual, Semana 7 Jueves", archivo: "/salterios/src/evan/audios/tps07jueves.mp3", fecha: `${year}-06-5` },</v>
      </c>
    </row>
    <row r="159" spans="1:14" x14ac:dyDescent="0.25">
      <c r="A159" t="s">
        <v>0</v>
      </c>
      <c r="B159" t="str">
        <f t="shared" si="42"/>
        <v>pascual</v>
      </c>
      <c r="C159" t="s">
        <v>2</v>
      </c>
      <c r="D159" s="2">
        <f t="shared" si="61"/>
        <v>7</v>
      </c>
      <c r="E159" t="s">
        <v>7</v>
      </c>
      <c r="F159" t="s">
        <v>17</v>
      </c>
      <c r="G159" s="1" t="str">
        <f t="shared" si="60"/>
        <v>tps07viernes</v>
      </c>
      <c r="H159" t="s">
        <v>15</v>
      </c>
      <c r="I159">
        <f t="shared" ref="I159:I222" si="62">I158</f>
        <v>6</v>
      </c>
      <c r="J159">
        <f t="shared" si="50"/>
        <v>6</v>
      </c>
      <c r="K159" t="s">
        <v>27</v>
      </c>
      <c r="L159" t="str">
        <f t="shared" si="56"/>
        <v>Junio</v>
      </c>
      <c r="M159" t="s">
        <v>28</v>
      </c>
      <c r="N159" t="str">
        <f t="shared" si="57"/>
        <v>{ nombre: "Tiempo Pascual, Semana 7 Viernes", archivo: "/salterios/src/evan/audios/tps07viernes.mp3", fecha: `${year}-06-6` },</v>
      </c>
    </row>
    <row r="160" spans="1:14" x14ac:dyDescent="0.25">
      <c r="A160" t="s">
        <v>0</v>
      </c>
      <c r="B160" t="str">
        <f t="shared" si="42"/>
        <v>pascual</v>
      </c>
      <c r="C160" t="s">
        <v>2</v>
      </c>
      <c r="D160" s="2">
        <f t="shared" si="61"/>
        <v>7</v>
      </c>
      <c r="E160" t="s">
        <v>8</v>
      </c>
      <c r="F160" t="s">
        <v>17</v>
      </c>
      <c r="G160" s="1" t="str">
        <f t="shared" si="60"/>
        <v>tps07sabado</v>
      </c>
      <c r="H160" t="s">
        <v>15</v>
      </c>
      <c r="I160">
        <f t="shared" si="62"/>
        <v>6</v>
      </c>
      <c r="J160">
        <f t="shared" si="50"/>
        <v>7</v>
      </c>
      <c r="K160" t="s">
        <v>27</v>
      </c>
      <c r="L160" t="str">
        <f t="shared" si="56"/>
        <v>Junio</v>
      </c>
      <c r="M160" t="s">
        <v>28</v>
      </c>
      <c r="N160" t="str">
        <f t="shared" si="57"/>
        <v>{ nombre: "Tiempo Pascual, Semana 7 Sabado", archivo: "/salterios/src/evan/audios/tps07sabado.mp3", fecha: `${year}-06-7` },</v>
      </c>
    </row>
    <row r="161" spans="1:14" x14ac:dyDescent="0.25">
      <c r="A161" t="s">
        <v>0</v>
      </c>
      <c r="B161" t="s">
        <v>24</v>
      </c>
      <c r="C161" t="s">
        <v>2</v>
      </c>
      <c r="D161" s="2">
        <v>10</v>
      </c>
      <c r="E161" t="s">
        <v>9</v>
      </c>
      <c r="F161" t="s">
        <v>17</v>
      </c>
      <c r="G161" s="1" t="str">
        <f>_xlfn.CONCAT(LEFT(A161,1),LEFT(B161,1),LEFT(C161,1),"0",D161,E161)</f>
        <v>tps010domingo</v>
      </c>
      <c r="H161" t="s">
        <v>15</v>
      </c>
      <c r="I161">
        <f t="shared" si="62"/>
        <v>6</v>
      </c>
      <c r="J161">
        <f t="shared" si="50"/>
        <v>8</v>
      </c>
      <c r="K161" t="s">
        <v>27</v>
      </c>
      <c r="L161" t="str">
        <f t="shared" si="56"/>
        <v>Junio</v>
      </c>
      <c r="M161" t="s">
        <v>28</v>
      </c>
      <c r="N161" t="str">
        <f t="shared" si="57"/>
        <v>{ nombre: "Tiempo Pascual Pentecostes, Semana 10 Domingo", archivo: "/salterios/src/evan/audios/tps010domingo.mp3", fecha: `${year}-06-8` },</v>
      </c>
    </row>
    <row r="162" spans="1:14" x14ac:dyDescent="0.25">
      <c r="A162" t="s">
        <v>0</v>
      </c>
      <c r="B162" t="s">
        <v>1</v>
      </c>
      <c r="C162" t="s">
        <v>2</v>
      </c>
      <c r="D162" s="2">
        <f>D161</f>
        <v>10</v>
      </c>
      <c r="E162" t="s">
        <v>3</v>
      </c>
      <c r="F162" t="s">
        <v>17</v>
      </c>
      <c r="G162" s="1" t="str">
        <f t="shared" ref="G162:G167" si="63">_xlfn.CONCAT(LEFT(A162,1),LEFT(B162,1),LEFT(C162,1),"0",D162,E162)</f>
        <v>tos010lunes</v>
      </c>
      <c r="H162" t="s">
        <v>15</v>
      </c>
      <c r="I162">
        <f t="shared" si="62"/>
        <v>6</v>
      </c>
      <c r="J162">
        <f t="shared" si="50"/>
        <v>9</v>
      </c>
      <c r="K162" t="s">
        <v>27</v>
      </c>
      <c r="L162" t="str">
        <f t="shared" si="56"/>
        <v>Junio</v>
      </c>
      <c r="M162" t="s">
        <v>28</v>
      </c>
      <c r="N162" t="str">
        <f t="shared" si="57"/>
        <v>{ nombre: "Tiempo Ordinario, Semana 10 Lunes", archivo: "/salterios/src/evan/audios/tos010lunes.mp3", fecha: `${year}-06-9` },</v>
      </c>
    </row>
    <row r="163" spans="1:14" x14ac:dyDescent="0.25">
      <c r="A163" t="s">
        <v>0</v>
      </c>
      <c r="B163" t="str">
        <f t="shared" si="42"/>
        <v>ordinario</v>
      </c>
      <c r="C163" t="s">
        <v>2</v>
      </c>
      <c r="D163" s="2">
        <f t="shared" ref="D163:D167" si="64">D162</f>
        <v>10</v>
      </c>
      <c r="E163" t="s">
        <v>4</v>
      </c>
      <c r="F163" t="s">
        <v>17</v>
      </c>
      <c r="G163" s="1" t="str">
        <f t="shared" si="63"/>
        <v>tos010martes</v>
      </c>
      <c r="H163" t="s">
        <v>15</v>
      </c>
      <c r="I163">
        <f t="shared" si="62"/>
        <v>6</v>
      </c>
      <c r="J163">
        <f t="shared" si="50"/>
        <v>10</v>
      </c>
      <c r="K163" t="s">
        <v>27</v>
      </c>
      <c r="L163" t="str">
        <f t="shared" si="56"/>
        <v>Junio</v>
      </c>
      <c r="M163" t="s">
        <v>28</v>
      </c>
      <c r="N163" t="str">
        <f t="shared" si="57"/>
        <v>{ nombre: "Tiempo Ordinario, Semana 10 Martes", archivo: "/salterios/src/evan/audios/tos010martes.mp3", fecha: `${year}-06-10` },</v>
      </c>
    </row>
    <row r="164" spans="1:14" x14ac:dyDescent="0.25">
      <c r="A164" t="s">
        <v>0</v>
      </c>
      <c r="B164" t="str">
        <f t="shared" si="42"/>
        <v>ordinario</v>
      </c>
      <c r="C164" t="s">
        <v>2</v>
      </c>
      <c r="D164" s="2">
        <f t="shared" si="64"/>
        <v>10</v>
      </c>
      <c r="E164" t="s">
        <v>5</v>
      </c>
      <c r="F164" t="s">
        <v>17</v>
      </c>
      <c r="G164" s="1" t="str">
        <f t="shared" si="63"/>
        <v>tos010miercoles</v>
      </c>
      <c r="H164" t="s">
        <v>15</v>
      </c>
      <c r="I164">
        <f t="shared" si="62"/>
        <v>6</v>
      </c>
      <c r="J164">
        <f t="shared" si="50"/>
        <v>11</v>
      </c>
      <c r="K164" t="s">
        <v>27</v>
      </c>
      <c r="L164" t="str">
        <f t="shared" si="56"/>
        <v>Junio</v>
      </c>
      <c r="M164" t="s">
        <v>28</v>
      </c>
      <c r="N164" t="str">
        <f t="shared" si="57"/>
        <v>{ nombre: "Tiempo Ordinario, Semana 10 Miercoles", archivo: "/salterios/src/evan/audios/tos010miercoles.mp3", fecha: `${year}-06-11` },</v>
      </c>
    </row>
    <row r="165" spans="1:14" x14ac:dyDescent="0.25">
      <c r="A165" t="s">
        <v>0</v>
      </c>
      <c r="B165" t="str">
        <f t="shared" ref="B165:B228" si="65">B164</f>
        <v>ordinario</v>
      </c>
      <c r="C165" t="s">
        <v>2</v>
      </c>
      <c r="D165" s="2">
        <f t="shared" si="64"/>
        <v>10</v>
      </c>
      <c r="E165" t="s">
        <v>6</v>
      </c>
      <c r="F165" t="s">
        <v>17</v>
      </c>
      <c r="G165" s="1" t="str">
        <f t="shared" si="63"/>
        <v>tos010jueves</v>
      </c>
      <c r="H165" t="s">
        <v>15</v>
      </c>
      <c r="I165">
        <f t="shared" si="62"/>
        <v>6</v>
      </c>
      <c r="J165">
        <f t="shared" si="50"/>
        <v>12</v>
      </c>
      <c r="K165" t="s">
        <v>27</v>
      </c>
      <c r="L165" t="str">
        <f t="shared" si="56"/>
        <v>Junio</v>
      </c>
      <c r="M165" t="s">
        <v>28</v>
      </c>
      <c r="N165" t="str">
        <f t="shared" si="57"/>
        <v>{ nombre: "Tiempo Ordinario, Semana 10 Jueves", archivo: "/salterios/src/evan/audios/tos010jueves.mp3", fecha: `${year}-06-12` },</v>
      </c>
    </row>
    <row r="166" spans="1:14" x14ac:dyDescent="0.25">
      <c r="A166" t="s">
        <v>0</v>
      </c>
      <c r="B166" t="str">
        <f t="shared" si="65"/>
        <v>ordinario</v>
      </c>
      <c r="C166" t="s">
        <v>2</v>
      </c>
      <c r="D166" s="2">
        <f t="shared" si="64"/>
        <v>10</v>
      </c>
      <c r="E166" t="s">
        <v>7</v>
      </c>
      <c r="F166" t="s">
        <v>17</v>
      </c>
      <c r="G166" s="1" t="str">
        <f t="shared" si="63"/>
        <v>tos010viernes</v>
      </c>
      <c r="H166" t="s">
        <v>15</v>
      </c>
      <c r="I166">
        <f t="shared" si="62"/>
        <v>6</v>
      </c>
      <c r="J166">
        <f t="shared" si="50"/>
        <v>13</v>
      </c>
      <c r="K166" t="s">
        <v>27</v>
      </c>
      <c r="L166" t="str">
        <f t="shared" si="56"/>
        <v>Junio</v>
      </c>
      <c r="M166" t="s">
        <v>28</v>
      </c>
      <c r="N166" t="str">
        <f t="shared" si="57"/>
        <v>{ nombre: "Tiempo Ordinario, Semana 10 Viernes", archivo: "/salterios/src/evan/audios/tos010viernes.mp3", fecha: `${year}-06-13` },</v>
      </c>
    </row>
    <row r="167" spans="1:14" x14ac:dyDescent="0.25">
      <c r="A167" t="s">
        <v>0</v>
      </c>
      <c r="B167" t="str">
        <f t="shared" si="65"/>
        <v>ordinario</v>
      </c>
      <c r="C167" t="s">
        <v>2</v>
      </c>
      <c r="D167" s="2">
        <f t="shared" si="64"/>
        <v>10</v>
      </c>
      <c r="E167" t="s">
        <v>8</v>
      </c>
      <c r="F167" t="s">
        <v>17</v>
      </c>
      <c r="G167" s="1" t="str">
        <f t="shared" si="63"/>
        <v>tos010sabado</v>
      </c>
      <c r="H167" t="s">
        <v>15</v>
      </c>
      <c r="I167">
        <f t="shared" si="62"/>
        <v>6</v>
      </c>
      <c r="J167">
        <f t="shared" si="50"/>
        <v>14</v>
      </c>
      <c r="K167" t="s">
        <v>27</v>
      </c>
      <c r="L167" t="str">
        <f t="shared" si="56"/>
        <v>Junio</v>
      </c>
      <c r="M167" t="s">
        <v>28</v>
      </c>
      <c r="N167" t="str">
        <f t="shared" si="57"/>
        <v>{ nombre: "Tiempo Ordinario, Semana 10 Sabado", archivo: "/salterios/src/evan/audios/tos010sabado.mp3", fecha: `${year}-06-14` },</v>
      </c>
    </row>
    <row r="168" spans="1:14" x14ac:dyDescent="0.25">
      <c r="A168" t="s">
        <v>0</v>
      </c>
      <c r="B168" t="str">
        <f t="shared" si="65"/>
        <v>ordinario</v>
      </c>
      <c r="C168" t="s">
        <v>2</v>
      </c>
      <c r="D168" s="2">
        <f>+D167+1</f>
        <v>11</v>
      </c>
      <c r="E168" t="s">
        <v>9</v>
      </c>
      <c r="F168" t="s">
        <v>17</v>
      </c>
      <c r="G168" s="1" t="str">
        <f>_xlfn.CONCAT(LEFT(A168,1),LEFT(B168,1),LEFT(C168,1),"0",D168,E168)</f>
        <v>tos011domingo</v>
      </c>
      <c r="H168" t="s">
        <v>15</v>
      </c>
      <c r="I168">
        <f t="shared" si="62"/>
        <v>6</v>
      </c>
      <c r="J168">
        <f t="shared" si="50"/>
        <v>15</v>
      </c>
      <c r="K168" t="s">
        <v>27</v>
      </c>
      <c r="L168" t="str">
        <f t="shared" si="56"/>
        <v>Junio</v>
      </c>
      <c r="M168" t="s">
        <v>28</v>
      </c>
      <c r="N168" t="str">
        <f t="shared" si="57"/>
        <v>{ nombre: "Tiempo Ordinario, Semana 11 Domingo", archivo: "/salterios/src/evan/audios/tos011domingo.mp3", fecha: `${year}-06-15` },</v>
      </c>
    </row>
    <row r="169" spans="1:14" x14ac:dyDescent="0.25">
      <c r="A169" t="s">
        <v>0</v>
      </c>
      <c r="B169" t="str">
        <f t="shared" si="65"/>
        <v>ordinario</v>
      </c>
      <c r="C169" t="s">
        <v>2</v>
      </c>
      <c r="D169" s="2">
        <f>D168</f>
        <v>11</v>
      </c>
      <c r="E169" t="s">
        <v>3</v>
      </c>
      <c r="F169" t="s">
        <v>17</v>
      </c>
      <c r="G169" s="1" t="str">
        <f t="shared" ref="G169:G174" si="66">_xlfn.CONCAT(LEFT(A169,1),LEFT(B169,1),LEFT(C169,1),"0",D169,E169)</f>
        <v>tos011lunes</v>
      </c>
      <c r="H169" t="s">
        <v>15</v>
      </c>
      <c r="I169">
        <f t="shared" si="62"/>
        <v>6</v>
      </c>
      <c r="J169">
        <f t="shared" si="50"/>
        <v>16</v>
      </c>
      <c r="K169" t="s">
        <v>27</v>
      </c>
      <c r="L169" t="str">
        <f t="shared" si="56"/>
        <v>Junio</v>
      </c>
      <c r="M169" t="s">
        <v>28</v>
      </c>
      <c r="N169" t="str">
        <f t="shared" si="57"/>
        <v>{ nombre: "Tiempo Ordinario, Semana 11 Lunes", archivo: "/salterios/src/evan/audios/tos011lunes.mp3", fecha: `${year}-06-16` },</v>
      </c>
    </row>
    <row r="170" spans="1:14" x14ac:dyDescent="0.25">
      <c r="A170" t="s">
        <v>0</v>
      </c>
      <c r="B170" t="str">
        <f t="shared" si="65"/>
        <v>ordinario</v>
      </c>
      <c r="C170" t="s">
        <v>2</v>
      </c>
      <c r="D170" s="2">
        <f t="shared" ref="D170:D174" si="67">D169</f>
        <v>11</v>
      </c>
      <c r="E170" t="s">
        <v>4</v>
      </c>
      <c r="F170" t="s">
        <v>17</v>
      </c>
      <c r="G170" s="1" t="str">
        <f t="shared" si="66"/>
        <v>tos011martes</v>
      </c>
      <c r="H170" t="s">
        <v>15</v>
      </c>
      <c r="I170">
        <f t="shared" si="62"/>
        <v>6</v>
      </c>
      <c r="J170">
        <f t="shared" si="50"/>
        <v>17</v>
      </c>
      <c r="K170" t="s">
        <v>27</v>
      </c>
      <c r="L170" t="str">
        <f t="shared" si="56"/>
        <v>Junio</v>
      </c>
      <c r="M170" t="s">
        <v>28</v>
      </c>
      <c r="N170" t="str">
        <f t="shared" si="57"/>
        <v>{ nombre: "Tiempo Ordinario, Semana 11 Martes", archivo: "/salterios/src/evan/audios/tos011martes.mp3", fecha: `${year}-06-17` },</v>
      </c>
    </row>
    <row r="171" spans="1:14" x14ac:dyDescent="0.25">
      <c r="A171" t="s">
        <v>0</v>
      </c>
      <c r="B171" t="str">
        <f t="shared" si="65"/>
        <v>ordinario</v>
      </c>
      <c r="C171" t="s">
        <v>2</v>
      </c>
      <c r="D171" s="2">
        <f t="shared" si="67"/>
        <v>11</v>
      </c>
      <c r="E171" t="s">
        <v>5</v>
      </c>
      <c r="F171" t="s">
        <v>17</v>
      </c>
      <c r="G171" s="1" t="str">
        <f t="shared" si="66"/>
        <v>tos011miercoles</v>
      </c>
      <c r="H171" t="s">
        <v>15</v>
      </c>
      <c r="I171">
        <f t="shared" si="62"/>
        <v>6</v>
      </c>
      <c r="J171">
        <f t="shared" si="50"/>
        <v>18</v>
      </c>
      <c r="K171" t="s">
        <v>27</v>
      </c>
      <c r="L171" t="str">
        <f t="shared" si="56"/>
        <v>Junio</v>
      </c>
      <c r="M171" t="s">
        <v>28</v>
      </c>
      <c r="N171" t="str">
        <f t="shared" si="57"/>
        <v>{ nombre: "Tiempo Ordinario, Semana 11 Miercoles", archivo: "/salterios/src/evan/audios/tos011miercoles.mp3", fecha: `${year}-06-18` },</v>
      </c>
    </row>
    <row r="172" spans="1:14" x14ac:dyDescent="0.25">
      <c r="A172" t="s">
        <v>0</v>
      </c>
      <c r="B172" t="str">
        <f t="shared" si="65"/>
        <v>ordinario</v>
      </c>
      <c r="C172" t="s">
        <v>2</v>
      </c>
      <c r="D172" s="2">
        <f t="shared" si="67"/>
        <v>11</v>
      </c>
      <c r="E172" t="s">
        <v>6</v>
      </c>
      <c r="F172" t="s">
        <v>17</v>
      </c>
      <c r="G172" s="1" t="str">
        <f t="shared" si="66"/>
        <v>tos011jueves</v>
      </c>
      <c r="H172" t="s">
        <v>15</v>
      </c>
      <c r="I172">
        <f t="shared" si="62"/>
        <v>6</v>
      </c>
      <c r="J172">
        <f t="shared" si="50"/>
        <v>19</v>
      </c>
      <c r="K172" t="s">
        <v>27</v>
      </c>
      <c r="L172" t="str">
        <f t="shared" si="56"/>
        <v>Junio</v>
      </c>
      <c r="M172" t="s">
        <v>28</v>
      </c>
      <c r="N172" t="str">
        <f t="shared" si="57"/>
        <v>{ nombre: "Tiempo Ordinario, Semana 11 Jueves", archivo: "/salterios/src/evan/audios/tos011jueves.mp3", fecha: `${year}-06-19` },</v>
      </c>
    </row>
    <row r="173" spans="1:14" x14ac:dyDescent="0.25">
      <c r="A173" t="s">
        <v>0</v>
      </c>
      <c r="B173" t="str">
        <f t="shared" si="65"/>
        <v>ordinario</v>
      </c>
      <c r="C173" t="s">
        <v>2</v>
      </c>
      <c r="D173" s="2">
        <f t="shared" si="67"/>
        <v>11</v>
      </c>
      <c r="E173" t="s">
        <v>7</v>
      </c>
      <c r="F173" t="s">
        <v>17</v>
      </c>
      <c r="G173" s="1" t="str">
        <f t="shared" si="66"/>
        <v>tos011viernes</v>
      </c>
      <c r="H173" t="s">
        <v>15</v>
      </c>
      <c r="I173">
        <f t="shared" si="62"/>
        <v>6</v>
      </c>
      <c r="J173">
        <f t="shared" si="50"/>
        <v>20</v>
      </c>
      <c r="K173" t="s">
        <v>27</v>
      </c>
      <c r="L173" t="str">
        <f t="shared" si="56"/>
        <v>Junio</v>
      </c>
      <c r="M173" t="s">
        <v>28</v>
      </c>
      <c r="N173" t="str">
        <f t="shared" si="57"/>
        <v>{ nombre: "Tiempo Ordinario, Semana 11 Viernes", archivo: "/salterios/src/evan/audios/tos011viernes.mp3", fecha: `${year}-06-20` },</v>
      </c>
    </row>
    <row r="174" spans="1:14" x14ac:dyDescent="0.25">
      <c r="A174" t="s">
        <v>0</v>
      </c>
      <c r="B174" t="str">
        <f t="shared" si="65"/>
        <v>ordinario</v>
      </c>
      <c r="C174" t="s">
        <v>2</v>
      </c>
      <c r="D174" s="2">
        <f t="shared" si="67"/>
        <v>11</v>
      </c>
      <c r="E174" t="s">
        <v>8</v>
      </c>
      <c r="F174" t="s">
        <v>17</v>
      </c>
      <c r="G174" s="1" t="str">
        <f t="shared" si="66"/>
        <v>tos011sabado</v>
      </c>
      <c r="H174" t="s">
        <v>15</v>
      </c>
      <c r="I174">
        <f t="shared" si="62"/>
        <v>6</v>
      </c>
      <c r="J174">
        <f t="shared" si="50"/>
        <v>21</v>
      </c>
      <c r="K174" t="s">
        <v>27</v>
      </c>
      <c r="L174" t="str">
        <f t="shared" si="56"/>
        <v>Junio</v>
      </c>
      <c r="M174" t="s">
        <v>28</v>
      </c>
      <c r="N174" t="str">
        <f t="shared" si="57"/>
        <v>{ nombre: "Tiempo Ordinario, Semana 11 Sabado", archivo: "/salterios/src/evan/audios/tos011sabado.mp3", fecha: `${year}-06-21` },</v>
      </c>
    </row>
    <row r="175" spans="1:14" x14ac:dyDescent="0.25">
      <c r="A175" t="s">
        <v>0</v>
      </c>
      <c r="B175" t="str">
        <f t="shared" si="65"/>
        <v>ordinario</v>
      </c>
      <c r="C175" t="s">
        <v>2</v>
      </c>
      <c r="D175" s="2">
        <f>+D174+1</f>
        <v>12</v>
      </c>
      <c r="E175" t="s">
        <v>9</v>
      </c>
      <c r="F175" t="s">
        <v>17</v>
      </c>
      <c r="G175" s="1" t="str">
        <f>_xlfn.CONCAT(LEFT(A175,1),LEFT(B175,1),LEFT(C175,1),"0",D175,E175)</f>
        <v>tos012domingo</v>
      </c>
      <c r="H175" t="s">
        <v>15</v>
      </c>
      <c r="I175">
        <f t="shared" si="62"/>
        <v>6</v>
      </c>
      <c r="J175">
        <f t="shared" si="50"/>
        <v>22</v>
      </c>
      <c r="K175" t="s">
        <v>27</v>
      </c>
      <c r="L175" t="str">
        <f t="shared" si="56"/>
        <v>Junio</v>
      </c>
      <c r="M175" t="s">
        <v>28</v>
      </c>
      <c r="N175" t="str">
        <f t="shared" si="57"/>
        <v>{ nombre: "Tiempo Ordinario, Semana 12 Domingo", archivo: "/salterios/src/evan/audios/tos012domingo.mp3", fecha: `${year}-06-22` },</v>
      </c>
    </row>
    <row r="176" spans="1:14" x14ac:dyDescent="0.25">
      <c r="A176" t="s">
        <v>0</v>
      </c>
      <c r="B176" t="str">
        <f t="shared" si="65"/>
        <v>ordinario</v>
      </c>
      <c r="C176" t="s">
        <v>2</v>
      </c>
      <c r="D176" s="2">
        <f>D175</f>
        <v>12</v>
      </c>
      <c r="E176" t="s">
        <v>3</v>
      </c>
      <c r="F176" t="s">
        <v>17</v>
      </c>
      <c r="G176" s="1" t="str">
        <f t="shared" ref="G176:G181" si="68">_xlfn.CONCAT(LEFT(A176,1),LEFT(B176,1),LEFT(C176,1),"0",D176,E176)</f>
        <v>tos012lunes</v>
      </c>
      <c r="H176" t="s">
        <v>15</v>
      </c>
      <c r="I176">
        <f t="shared" si="62"/>
        <v>6</v>
      </c>
      <c r="J176">
        <f t="shared" si="50"/>
        <v>23</v>
      </c>
      <c r="K176" t="s">
        <v>27</v>
      </c>
      <c r="L176" t="str">
        <f t="shared" si="56"/>
        <v>Junio</v>
      </c>
      <c r="M176" t="s">
        <v>28</v>
      </c>
      <c r="N176" t="str">
        <f t="shared" si="57"/>
        <v>{ nombre: "Tiempo Ordinario, Semana 12 Lunes", archivo: "/salterios/src/evan/audios/tos012lunes.mp3", fecha: `${year}-06-23` },</v>
      </c>
    </row>
    <row r="177" spans="1:14" x14ac:dyDescent="0.25">
      <c r="A177" t="s">
        <v>0</v>
      </c>
      <c r="B177" t="str">
        <f t="shared" si="65"/>
        <v>ordinario</v>
      </c>
      <c r="C177" t="s">
        <v>2</v>
      </c>
      <c r="D177" s="2">
        <f t="shared" ref="D177:D181" si="69">D176</f>
        <v>12</v>
      </c>
      <c r="E177" t="s">
        <v>4</v>
      </c>
      <c r="F177" t="s">
        <v>17</v>
      </c>
      <c r="G177" s="1" t="str">
        <f t="shared" si="68"/>
        <v>tos012martes</v>
      </c>
      <c r="H177" t="s">
        <v>15</v>
      </c>
      <c r="I177">
        <f t="shared" si="62"/>
        <v>6</v>
      </c>
      <c r="J177">
        <f t="shared" si="50"/>
        <v>24</v>
      </c>
      <c r="K177" t="s">
        <v>27</v>
      </c>
      <c r="L177" t="str">
        <f t="shared" si="56"/>
        <v>Junio</v>
      </c>
      <c r="M177" t="s">
        <v>28</v>
      </c>
      <c r="N177" t="str">
        <f t="shared" si="57"/>
        <v>{ nombre: "Tiempo Ordinario, Semana 12 Martes", archivo: "/salterios/src/evan/audios/tos012martes.mp3", fecha: `${year}-06-24` },</v>
      </c>
    </row>
    <row r="178" spans="1:14" x14ac:dyDescent="0.25">
      <c r="A178" t="s">
        <v>0</v>
      </c>
      <c r="B178" t="str">
        <f t="shared" si="65"/>
        <v>ordinario</v>
      </c>
      <c r="C178" t="s">
        <v>2</v>
      </c>
      <c r="D178" s="2">
        <f t="shared" si="69"/>
        <v>12</v>
      </c>
      <c r="E178" t="s">
        <v>5</v>
      </c>
      <c r="F178" t="s">
        <v>17</v>
      </c>
      <c r="G178" s="1" t="str">
        <f t="shared" si="68"/>
        <v>tos012miercoles</v>
      </c>
      <c r="H178" t="s">
        <v>15</v>
      </c>
      <c r="I178">
        <f t="shared" si="62"/>
        <v>6</v>
      </c>
      <c r="J178">
        <f t="shared" si="50"/>
        <v>25</v>
      </c>
      <c r="K178" t="s">
        <v>27</v>
      </c>
      <c r="L178" t="str">
        <f t="shared" si="56"/>
        <v>Junio</v>
      </c>
      <c r="M178" t="s">
        <v>28</v>
      </c>
      <c r="N178" t="str">
        <f t="shared" si="57"/>
        <v>{ nombre: "Tiempo Ordinario, Semana 12 Miercoles", archivo: "/salterios/src/evan/audios/tos012miercoles.mp3", fecha: `${year}-06-25` },</v>
      </c>
    </row>
    <row r="179" spans="1:14" x14ac:dyDescent="0.25">
      <c r="A179" t="s">
        <v>0</v>
      </c>
      <c r="B179" t="str">
        <f t="shared" si="65"/>
        <v>ordinario</v>
      </c>
      <c r="C179" t="s">
        <v>2</v>
      </c>
      <c r="D179" s="2">
        <f t="shared" si="69"/>
        <v>12</v>
      </c>
      <c r="E179" t="s">
        <v>6</v>
      </c>
      <c r="F179" t="s">
        <v>17</v>
      </c>
      <c r="G179" s="1" t="str">
        <f t="shared" si="68"/>
        <v>tos012jueves</v>
      </c>
      <c r="H179" t="s">
        <v>15</v>
      </c>
      <c r="I179">
        <f t="shared" si="62"/>
        <v>6</v>
      </c>
      <c r="J179">
        <f t="shared" si="50"/>
        <v>26</v>
      </c>
      <c r="K179" t="s">
        <v>27</v>
      </c>
      <c r="L179" t="str">
        <f t="shared" si="56"/>
        <v>Junio</v>
      </c>
      <c r="M179" t="s">
        <v>28</v>
      </c>
      <c r="N179" t="str">
        <f t="shared" si="57"/>
        <v>{ nombre: "Tiempo Ordinario, Semana 12 Jueves", archivo: "/salterios/src/evan/audios/tos012jueves.mp3", fecha: `${year}-06-26` },</v>
      </c>
    </row>
    <row r="180" spans="1:14" x14ac:dyDescent="0.25">
      <c r="A180" t="s">
        <v>0</v>
      </c>
      <c r="B180" t="str">
        <f t="shared" si="65"/>
        <v>ordinario</v>
      </c>
      <c r="C180" t="s">
        <v>2</v>
      </c>
      <c r="D180" s="2">
        <f t="shared" si="69"/>
        <v>12</v>
      </c>
      <c r="E180" t="s">
        <v>7</v>
      </c>
      <c r="F180" t="s">
        <v>17</v>
      </c>
      <c r="G180" s="1" t="str">
        <f t="shared" si="68"/>
        <v>tos012viernes</v>
      </c>
      <c r="H180" t="s">
        <v>15</v>
      </c>
      <c r="I180">
        <f t="shared" si="62"/>
        <v>6</v>
      </c>
      <c r="J180">
        <f t="shared" si="50"/>
        <v>27</v>
      </c>
      <c r="K180" t="s">
        <v>27</v>
      </c>
      <c r="L180" t="str">
        <f t="shared" si="56"/>
        <v>Junio</v>
      </c>
      <c r="M180" t="s">
        <v>28</v>
      </c>
      <c r="N180" t="str">
        <f t="shared" si="57"/>
        <v>{ nombre: "Tiempo Ordinario, Semana 12 Viernes", archivo: "/salterios/src/evan/audios/tos012viernes.mp3", fecha: `${year}-06-27` },</v>
      </c>
    </row>
    <row r="181" spans="1:14" x14ac:dyDescent="0.25">
      <c r="A181" t="s">
        <v>0</v>
      </c>
      <c r="B181" t="str">
        <f t="shared" si="65"/>
        <v>ordinario</v>
      </c>
      <c r="C181" t="s">
        <v>2</v>
      </c>
      <c r="D181" s="2">
        <f t="shared" si="69"/>
        <v>12</v>
      </c>
      <c r="E181" t="s">
        <v>8</v>
      </c>
      <c r="F181" t="s">
        <v>17</v>
      </c>
      <c r="G181" s="1" t="str">
        <f t="shared" si="68"/>
        <v>tos012sabado</v>
      </c>
      <c r="H181" t="s">
        <v>15</v>
      </c>
      <c r="I181">
        <f t="shared" si="62"/>
        <v>6</v>
      </c>
      <c r="J181">
        <f t="shared" si="50"/>
        <v>28</v>
      </c>
      <c r="K181" t="s">
        <v>27</v>
      </c>
      <c r="L181" t="str">
        <f t="shared" si="56"/>
        <v>Junio</v>
      </c>
      <c r="M181" t="s">
        <v>28</v>
      </c>
      <c r="N181" t="str">
        <f t="shared" si="57"/>
        <v>{ nombre: "Tiempo Ordinario, Semana 12 Sabado", archivo: "/salterios/src/evan/audios/tos012sabado.mp3", fecha: `${year}-06-28` },</v>
      </c>
    </row>
    <row r="182" spans="1:14" x14ac:dyDescent="0.25">
      <c r="A182" t="s">
        <v>0</v>
      </c>
      <c r="B182" t="str">
        <f t="shared" si="65"/>
        <v>ordinario</v>
      </c>
      <c r="C182" t="s">
        <v>2</v>
      </c>
      <c r="D182" s="2">
        <f>+D181+1</f>
        <v>13</v>
      </c>
      <c r="E182" t="s">
        <v>9</v>
      </c>
      <c r="F182" t="s">
        <v>17</v>
      </c>
      <c r="G182" s="1" t="str">
        <f>_xlfn.CONCAT(LEFT(A182,1),LEFT(B182,1),LEFT(C182,1),"0",D182,E182)</f>
        <v>tos013domingo</v>
      </c>
      <c r="H182" t="s">
        <v>15</v>
      </c>
      <c r="I182">
        <f t="shared" si="62"/>
        <v>6</v>
      </c>
      <c r="J182">
        <f t="shared" si="50"/>
        <v>29</v>
      </c>
      <c r="K182" t="s">
        <v>27</v>
      </c>
      <c r="L182" t="str">
        <f t="shared" si="56"/>
        <v>Junio</v>
      </c>
      <c r="M182" t="s">
        <v>28</v>
      </c>
      <c r="N182" t="str">
        <f t="shared" si="57"/>
        <v>{ nombre: "Tiempo Ordinario, Semana 13 Domingo", archivo: "/salterios/src/evan/audios/tos013domingo.mp3", fecha: `${year}-06-29` },</v>
      </c>
    </row>
    <row r="183" spans="1:14" x14ac:dyDescent="0.25">
      <c r="A183" t="s">
        <v>0</v>
      </c>
      <c r="B183" t="str">
        <f t="shared" si="65"/>
        <v>ordinario</v>
      </c>
      <c r="C183" t="s">
        <v>2</v>
      </c>
      <c r="D183" s="2">
        <f>D182</f>
        <v>13</v>
      </c>
      <c r="E183" t="s">
        <v>3</v>
      </c>
      <c r="F183" t="s">
        <v>17</v>
      </c>
      <c r="G183" s="1" t="str">
        <f t="shared" ref="G183:G188" si="70">_xlfn.CONCAT(LEFT(A183,1),LEFT(B183,1),LEFT(C183,1),"0",D183,E183)</f>
        <v>tos013lunes</v>
      </c>
      <c r="H183" t="s">
        <v>15</v>
      </c>
      <c r="I183">
        <f t="shared" si="62"/>
        <v>6</v>
      </c>
      <c r="J183">
        <f t="shared" si="50"/>
        <v>30</v>
      </c>
      <c r="K183" t="s">
        <v>27</v>
      </c>
      <c r="L183" t="str">
        <f t="shared" si="56"/>
        <v>Junio</v>
      </c>
      <c r="M183" t="s">
        <v>28</v>
      </c>
      <c r="N183" t="str">
        <f t="shared" si="57"/>
        <v>{ nombre: "Tiempo Ordinario, Semana 13 Lunes", archivo: "/salterios/src/evan/audios/tos013lunes.mp3", fecha: `${year}-06-30` },</v>
      </c>
    </row>
    <row r="184" spans="1:14" x14ac:dyDescent="0.25">
      <c r="A184" t="s">
        <v>0</v>
      </c>
      <c r="B184" t="str">
        <f t="shared" si="65"/>
        <v>ordinario</v>
      </c>
      <c r="C184" t="s">
        <v>2</v>
      </c>
      <c r="D184" s="2">
        <f t="shared" ref="D184:D188" si="71">D183</f>
        <v>13</v>
      </c>
      <c r="E184" t="s">
        <v>4</v>
      </c>
      <c r="F184" t="s">
        <v>17</v>
      </c>
      <c r="G184" s="1" t="str">
        <f t="shared" si="70"/>
        <v>tos013martes</v>
      </c>
      <c r="H184" t="s">
        <v>15</v>
      </c>
      <c r="I184">
        <v>7</v>
      </c>
      <c r="J184">
        <v>1</v>
      </c>
      <c r="K184" t="s">
        <v>27</v>
      </c>
      <c r="L184" t="str">
        <f t="shared" si="56"/>
        <v>Julio</v>
      </c>
      <c r="M184" t="s">
        <v>28</v>
      </c>
      <c r="N184" t="str">
        <f t="shared" si="57"/>
        <v>{ nombre: "Tiempo Ordinario, Semana 13 Martes", archivo: "/salterios/src/evan/audios/tos013martes.mp3", fecha: `${year}-07-1` },</v>
      </c>
    </row>
    <row r="185" spans="1:14" x14ac:dyDescent="0.25">
      <c r="A185" t="s">
        <v>0</v>
      </c>
      <c r="B185" t="str">
        <f t="shared" si="65"/>
        <v>ordinario</v>
      </c>
      <c r="C185" t="s">
        <v>2</v>
      </c>
      <c r="D185" s="2">
        <f t="shared" si="71"/>
        <v>13</v>
      </c>
      <c r="E185" t="s">
        <v>5</v>
      </c>
      <c r="F185" t="s">
        <v>17</v>
      </c>
      <c r="G185" s="1" t="str">
        <f t="shared" si="70"/>
        <v>tos013miercoles</v>
      </c>
      <c r="H185" t="s">
        <v>15</v>
      </c>
      <c r="I185">
        <f t="shared" si="62"/>
        <v>7</v>
      </c>
      <c r="J185">
        <f t="shared" si="50"/>
        <v>2</v>
      </c>
      <c r="K185" t="s">
        <v>27</v>
      </c>
      <c r="L185" t="str">
        <f t="shared" si="56"/>
        <v>Julio</v>
      </c>
      <c r="M185" t="s">
        <v>28</v>
      </c>
      <c r="N185" t="str">
        <f t="shared" si="57"/>
        <v>{ nombre: "Tiempo Ordinario, Semana 13 Miercoles", archivo: "/salterios/src/evan/audios/tos013miercoles.mp3", fecha: `${year}-07-2` },</v>
      </c>
    </row>
    <row r="186" spans="1:14" x14ac:dyDescent="0.25">
      <c r="A186" t="s">
        <v>0</v>
      </c>
      <c r="B186" t="str">
        <f t="shared" si="65"/>
        <v>ordinario</v>
      </c>
      <c r="C186" t="s">
        <v>2</v>
      </c>
      <c r="D186" s="2">
        <f t="shared" si="71"/>
        <v>13</v>
      </c>
      <c r="E186" t="s">
        <v>6</v>
      </c>
      <c r="F186" t="s">
        <v>17</v>
      </c>
      <c r="G186" s="1" t="str">
        <f t="shared" si="70"/>
        <v>tos013jueves</v>
      </c>
      <c r="H186" t="s">
        <v>15</v>
      </c>
      <c r="I186">
        <f t="shared" si="62"/>
        <v>7</v>
      </c>
      <c r="J186">
        <f t="shared" si="50"/>
        <v>3</v>
      </c>
      <c r="K186" t="s">
        <v>27</v>
      </c>
      <c r="L186" t="str">
        <f t="shared" si="56"/>
        <v>Julio</v>
      </c>
      <c r="M186" t="s">
        <v>28</v>
      </c>
      <c r="N186" t="str">
        <f t="shared" si="57"/>
        <v>{ nombre: "Tiempo Ordinario, Semana 13 Jueves", archivo: "/salterios/src/evan/audios/tos013jueves.mp3", fecha: `${year}-07-3` },</v>
      </c>
    </row>
    <row r="187" spans="1:14" x14ac:dyDescent="0.25">
      <c r="A187" t="s">
        <v>0</v>
      </c>
      <c r="B187" t="str">
        <f t="shared" si="65"/>
        <v>ordinario</v>
      </c>
      <c r="C187" t="s">
        <v>2</v>
      </c>
      <c r="D187" s="2">
        <f t="shared" si="71"/>
        <v>13</v>
      </c>
      <c r="E187" t="s">
        <v>7</v>
      </c>
      <c r="F187" t="s">
        <v>17</v>
      </c>
      <c r="G187" s="1" t="str">
        <f t="shared" si="70"/>
        <v>tos013viernes</v>
      </c>
      <c r="H187" t="s">
        <v>15</v>
      </c>
      <c r="I187">
        <f t="shared" si="62"/>
        <v>7</v>
      </c>
      <c r="J187">
        <f t="shared" si="50"/>
        <v>4</v>
      </c>
      <c r="K187" t="s">
        <v>27</v>
      </c>
      <c r="L187" t="str">
        <f t="shared" si="56"/>
        <v>Julio</v>
      </c>
      <c r="M187" t="s">
        <v>28</v>
      </c>
      <c r="N187" t="str">
        <f t="shared" si="57"/>
        <v>{ nombre: "Tiempo Ordinario, Semana 13 Viernes", archivo: "/salterios/src/evan/audios/tos013viernes.mp3", fecha: `${year}-07-4` },</v>
      </c>
    </row>
    <row r="188" spans="1:14" x14ac:dyDescent="0.25">
      <c r="A188" t="s">
        <v>0</v>
      </c>
      <c r="B188" t="str">
        <f t="shared" si="65"/>
        <v>ordinario</v>
      </c>
      <c r="C188" t="s">
        <v>2</v>
      </c>
      <c r="D188" s="2">
        <f t="shared" si="71"/>
        <v>13</v>
      </c>
      <c r="E188" t="s">
        <v>8</v>
      </c>
      <c r="F188" t="s">
        <v>17</v>
      </c>
      <c r="G188" s="1" t="str">
        <f t="shared" si="70"/>
        <v>tos013sabado</v>
      </c>
      <c r="H188" t="s">
        <v>15</v>
      </c>
      <c r="I188">
        <f t="shared" si="62"/>
        <v>7</v>
      </c>
      <c r="J188">
        <f t="shared" si="50"/>
        <v>5</v>
      </c>
      <c r="K188" t="s">
        <v>27</v>
      </c>
      <c r="L188" t="str">
        <f t="shared" si="56"/>
        <v>Julio</v>
      </c>
      <c r="M188" t="s">
        <v>28</v>
      </c>
      <c r="N188" t="str">
        <f t="shared" si="57"/>
        <v>{ nombre: "Tiempo Ordinario, Semana 13 Sabado", archivo: "/salterios/src/evan/audios/tos013sabado.mp3", fecha: `${year}-07-5` },</v>
      </c>
    </row>
    <row r="189" spans="1:14" x14ac:dyDescent="0.25">
      <c r="A189" t="s">
        <v>0</v>
      </c>
      <c r="B189" t="str">
        <f t="shared" si="65"/>
        <v>ordinario</v>
      </c>
      <c r="C189" t="s">
        <v>2</v>
      </c>
      <c r="D189" s="2">
        <f>+D188+1</f>
        <v>14</v>
      </c>
      <c r="E189" t="s">
        <v>9</v>
      </c>
      <c r="F189" t="s">
        <v>17</v>
      </c>
      <c r="G189" s="1" t="str">
        <f>_xlfn.CONCAT(LEFT(A189,1),LEFT(B189,1),LEFT(C189,1),"0",D189,E189)</f>
        <v>tos014domingo</v>
      </c>
      <c r="H189" t="s">
        <v>15</v>
      </c>
      <c r="I189">
        <f t="shared" si="62"/>
        <v>7</v>
      </c>
      <c r="J189">
        <f t="shared" si="50"/>
        <v>6</v>
      </c>
      <c r="K189" t="s">
        <v>27</v>
      </c>
      <c r="L189" t="str">
        <f t="shared" si="56"/>
        <v>Julio</v>
      </c>
      <c r="M189" t="s">
        <v>28</v>
      </c>
      <c r="N189" t="str">
        <f t="shared" si="57"/>
        <v>{ nombre: "Tiempo Ordinario, Semana 14 Domingo", archivo: "/salterios/src/evan/audios/tos014domingo.mp3", fecha: `${year}-07-6` },</v>
      </c>
    </row>
    <row r="190" spans="1:14" x14ac:dyDescent="0.25">
      <c r="A190" t="s">
        <v>0</v>
      </c>
      <c r="B190" t="str">
        <f t="shared" si="65"/>
        <v>ordinario</v>
      </c>
      <c r="C190" t="s">
        <v>2</v>
      </c>
      <c r="D190" s="2">
        <f>D189</f>
        <v>14</v>
      </c>
      <c r="E190" t="s">
        <v>3</v>
      </c>
      <c r="F190" t="s">
        <v>17</v>
      </c>
      <c r="G190" s="1" t="str">
        <f t="shared" ref="G190:G195" si="72">_xlfn.CONCAT(LEFT(A190,1),LEFT(B190,1),LEFT(C190,1),"0",D190,E190)</f>
        <v>tos014lunes</v>
      </c>
      <c r="H190" t="s">
        <v>15</v>
      </c>
      <c r="I190">
        <f t="shared" si="62"/>
        <v>7</v>
      </c>
      <c r="J190">
        <f t="shared" si="50"/>
        <v>7</v>
      </c>
      <c r="K190" t="s">
        <v>27</v>
      </c>
      <c r="L190" t="str">
        <f t="shared" si="56"/>
        <v>Julio</v>
      </c>
      <c r="M190" t="s">
        <v>28</v>
      </c>
      <c r="N190" t="str">
        <f t="shared" si="57"/>
        <v>{ nombre: "Tiempo Ordinario, Semana 14 Lunes", archivo: "/salterios/src/evan/audios/tos014lunes.mp3", fecha: `${year}-07-7` },</v>
      </c>
    </row>
    <row r="191" spans="1:14" x14ac:dyDescent="0.25">
      <c r="A191" t="s">
        <v>0</v>
      </c>
      <c r="B191" t="str">
        <f t="shared" si="65"/>
        <v>ordinario</v>
      </c>
      <c r="C191" t="s">
        <v>2</v>
      </c>
      <c r="D191" s="2">
        <f t="shared" ref="D191:D195" si="73">D190</f>
        <v>14</v>
      </c>
      <c r="E191" t="s">
        <v>4</v>
      </c>
      <c r="F191" t="s">
        <v>17</v>
      </c>
      <c r="G191" s="1" t="str">
        <f t="shared" si="72"/>
        <v>tos014martes</v>
      </c>
      <c r="H191" t="s">
        <v>15</v>
      </c>
      <c r="I191">
        <f t="shared" si="62"/>
        <v>7</v>
      </c>
      <c r="J191">
        <f t="shared" ref="J191:J254" si="74">+J190+1</f>
        <v>8</v>
      </c>
      <c r="K191" t="s">
        <v>27</v>
      </c>
      <c r="L191" t="str">
        <f t="shared" si="56"/>
        <v>Julio</v>
      </c>
      <c r="M191" t="s">
        <v>28</v>
      </c>
      <c r="N191" t="str">
        <f t="shared" si="57"/>
        <v>{ nombre: "Tiempo Ordinario, Semana 14 Martes", archivo: "/salterios/src/evan/audios/tos014martes.mp3", fecha: `${year}-07-8` },</v>
      </c>
    </row>
    <row r="192" spans="1:14" x14ac:dyDescent="0.25">
      <c r="A192" t="s">
        <v>0</v>
      </c>
      <c r="B192" t="str">
        <f t="shared" si="65"/>
        <v>ordinario</v>
      </c>
      <c r="C192" t="s">
        <v>2</v>
      </c>
      <c r="D192" s="2">
        <f t="shared" si="73"/>
        <v>14</v>
      </c>
      <c r="E192" t="s">
        <v>5</v>
      </c>
      <c r="F192" t="s">
        <v>17</v>
      </c>
      <c r="G192" s="1" t="str">
        <f t="shared" si="72"/>
        <v>tos014miercoles</v>
      </c>
      <c r="H192" t="s">
        <v>15</v>
      </c>
      <c r="I192">
        <f t="shared" si="62"/>
        <v>7</v>
      </c>
      <c r="J192">
        <f t="shared" si="74"/>
        <v>9</v>
      </c>
      <c r="K192" t="s">
        <v>27</v>
      </c>
      <c r="L192" t="str">
        <f t="shared" si="56"/>
        <v>Julio</v>
      </c>
      <c r="M192" t="s">
        <v>28</v>
      </c>
      <c r="N192" t="str">
        <f t="shared" si="57"/>
        <v>{ nombre: "Tiempo Ordinario, Semana 14 Miercoles", archivo: "/salterios/src/evan/audios/tos014miercoles.mp3", fecha: `${year}-07-9` },</v>
      </c>
    </row>
    <row r="193" spans="1:14" x14ac:dyDescent="0.25">
      <c r="A193" t="s">
        <v>0</v>
      </c>
      <c r="B193" t="str">
        <f t="shared" si="65"/>
        <v>ordinario</v>
      </c>
      <c r="C193" t="s">
        <v>2</v>
      </c>
      <c r="D193" s="2">
        <f t="shared" si="73"/>
        <v>14</v>
      </c>
      <c r="E193" t="s">
        <v>6</v>
      </c>
      <c r="F193" t="s">
        <v>17</v>
      </c>
      <c r="G193" s="1" t="str">
        <f t="shared" si="72"/>
        <v>tos014jueves</v>
      </c>
      <c r="H193" t="s">
        <v>15</v>
      </c>
      <c r="I193">
        <f t="shared" si="62"/>
        <v>7</v>
      </c>
      <c r="J193">
        <f t="shared" si="74"/>
        <v>10</v>
      </c>
      <c r="K193" t="s">
        <v>27</v>
      </c>
      <c r="L193" t="str">
        <f t="shared" si="56"/>
        <v>Julio</v>
      </c>
      <c r="M193" t="s">
        <v>28</v>
      </c>
      <c r="N193" t="str">
        <f t="shared" si="57"/>
        <v>{ nombre: "Tiempo Ordinario, Semana 14 Jueves", archivo: "/salterios/src/evan/audios/tos014jueves.mp3", fecha: `${year}-07-10` },</v>
      </c>
    </row>
    <row r="194" spans="1:14" x14ac:dyDescent="0.25">
      <c r="A194" t="s">
        <v>0</v>
      </c>
      <c r="B194" t="str">
        <f t="shared" si="65"/>
        <v>ordinario</v>
      </c>
      <c r="C194" t="s">
        <v>2</v>
      </c>
      <c r="D194" s="2">
        <f t="shared" si="73"/>
        <v>14</v>
      </c>
      <c r="E194" t="s">
        <v>7</v>
      </c>
      <c r="F194" t="s">
        <v>17</v>
      </c>
      <c r="G194" s="1" t="str">
        <f t="shared" si="72"/>
        <v>tos014viernes</v>
      </c>
      <c r="H194" t="s">
        <v>15</v>
      </c>
      <c r="I194">
        <f t="shared" si="62"/>
        <v>7</v>
      </c>
      <c r="J194">
        <f t="shared" si="74"/>
        <v>11</v>
      </c>
      <c r="K194" t="s">
        <v>27</v>
      </c>
      <c r="L194" t="str">
        <f t="shared" si="56"/>
        <v>Julio</v>
      </c>
      <c r="M194" t="s">
        <v>28</v>
      </c>
      <c r="N194" t="str">
        <f t="shared" si="57"/>
        <v>{ nombre: "Tiempo Ordinario, Semana 14 Viernes", archivo: "/salterios/src/evan/audios/tos014viernes.mp3", fecha: `${year}-07-11` },</v>
      </c>
    </row>
    <row r="195" spans="1:14" x14ac:dyDescent="0.25">
      <c r="A195" t="s">
        <v>0</v>
      </c>
      <c r="B195" t="str">
        <f t="shared" si="65"/>
        <v>ordinario</v>
      </c>
      <c r="C195" t="s">
        <v>2</v>
      </c>
      <c r="D195" s="2">
        <f t="shared" si="73"/>
        <v>14</v>
      </c>
      <c r="E195" t="s">
        <v>8</v>
      </c>
      <c r="F195" t="s">
        <v>17</v>
      </c>
      <c r="G195" s="1" t="str">
        <f t="shared" si="72"/>
        <v>tos014sabado</v>
      </c>
      <c r="H195" t="s">
        <v>15</v>
      </c>
      <c r="I195">
        <f t="shared" si="62"/>
        <v>7</v>
      </c>
      <c r="J195">
        <f t="shared" si="74"/>
        <v>12</v>
      </c>
      <c r="K195" t="s">
        <v>27</v>
      </c>
      <c r="L195" t="str">
        <f t="shared" si="56"/>
        <v>Julio</v>
      </c>
      <c r="M195" t="s">
        <v>28</v>
      </c>
      <c r="N195" t="str">
        <f t="shared" si="57"/>
        <v>{ nombre: "Tiempo Ordinario, Semana 14 Sabado", archivo: "/salterios/src/evan/audios/tos014sabado.mp3", fecha: `${year}-07-12` },</v>
      </c>
    </row>
    <row r="196" spans="1:14" x14ac:dyDescent="0.25">
      <c r="A196" t="s">
        <v>0</v>
      </c>
      <c r="B196" t="str">
        <f t="shared" si="65"/>
        <v>ordinario</v>
      </c>
      <c r="C196" t="s">
        <v>2</v>
      </c>
      <c r="D196" s="2">
        <f>+D195+1</f>
        <v>15</v>
      </c>
      <c r="E196" t="s">
        <v>9</v>
      </c>
      <c r="F196" t="s">
        <v>17</v>
      </c>
      <c r="G196" s="1" t="str">
        <f>_xlfn.CONCAT(LEFT(A196,1),LEFT(B196,1),LEFT(C196,1),"0",D196,E196)</f>
        <v>tos015domingo</v>
      </c>
      <c r="H196" t="s">
        <v>15</v>
      </c>
      <c r="I196">
        <f t="shared" si="62"/>
        <v>7</v>
      </c>
      <c r="J196">
        <f t="shared" si="74"/>
        <v>13</v>
      </c>
      <c r="K196" t="s">
        <v>27</v>
      </c>
      <c r="L196" t="str">
        <f t="shared" si="56"/>
        <v>Julio</v>
      </c>
      <c r="M196" t="s">
        <v>28</v>
      </c>
      <c r="N196" t="str">
        <f t="shared" si="57"/>
        <v>{ nombre: "Tiempo Ordinario, Semana 15 Domingo", archivo: "/salterios/src/evan/audios/tos015domingo.mp3", fecha: `${year}-07-13` },</v>
      </c>
    </row>
    <row r="197" spans="1:14" x14ac:dyDescent="0.25">
      <c r="A197" t="s">
        <v>0</v>
      </c>
      <c r="B197" t="str">
        <f t="shared" si="65"/>
        <v>ordinario</v>
      </c>
      <c r="C197" t="s">
        <v>2</v>
      </c>
      <c r="D197" s="2">
        <f>D196</f>
        <v>15</v>
      </c>
      <c r="E197" t="s">
        <v>3</v>
      </c>
      <c r="F197" t="s">
        <v>17</v>
      </c>
      <c r="G197" s="1" t="str">
        <f t="shared" ref="G197:G202" si="75">_xlfn.CONCAT(LEFT(A197,1),LEFT(B197,1),LEFT(C197,1),"0",D197,E197)</f>
        <v>tos015lunes</v>
      </c>
      <c r="H197" t="s">
        <v>15</v>
      </c>
      <c r="I197">
        <f t="shared" si="62"/>
        <v>7</v>
      </c>
      <c r="J197">
        <f t="shared" si="74"/>
        <v>14</v>
      </c>
      <c r="K197" t="s">
        <v>27</v>
      </c>
      <c r="L197" t="str">
        <f t="shared" si="56"/>
        <v>Julio</v>
      </c>
      <c r="M197" t="s">
        <v>28</v>
      </c>
      <c r="N197" t="str">
        <f t="shared" si="57"/>
        <v>{ nombre: "Tiempo Ordinario, Semana 15 Lunes", archivo: "/salterios/src/evan/audios/tos015lunes.mp3", fecha: `${year}-07-14` },</v>
      </c>
    </row>
    <row r="198" spans="1:14" x14ac:dyDescent="0.25">
      <c r="A198" t="s">
        <v>0</v>
      </c>
      <c r="B198" t="str">
        <f t="shared" si="65"/>
        <v>ordinario</v>
      </c>
      <c r="C198" t="s">
        <v>2</v>
      </c>
      <c r="D198" s="2">
        <f t="shared" ref="D198:D202" si="76">D197</f>
        <v>15</v>
      </c>
      <c r="E198" t="s">
        <v>4</v>
      </c>
      <c r="F198" t="s">
        <v>17</v>
      </c>
      <c r="G198" s="1" t="str">
        <f t="shared" si="75"/>
        <v>tos015martes</v>
      </c>
      <c r="H198" t="s">
        <v>15</v>
      </c>
      <c r="I198">
        <f t="shared" si="62"/>
        <v>7</v>
      </c>
      <c r="J198">
        <f t="shared" si="74"/>
        <v>15</v>
      </c>
      <c r="K198" t="s">
        <v>27</v>
      </c>
      <c r="L198" t="str">
        <f t="shared" si="56"/>
        <v>Julio</v>
      </c>
      <c r="M198" t="s">
        <v>28</v>
      </c>
      <c r="N198" t="str">
        <f t="shared" si="57"/>
        <v>{ nombre: "Tiempo Ordinario, Semana 15 Martes", archivo: "/salterios/src/evan/audios/tos015martes.mp3", fecha: `${year}-07-15` },</v>
      </c>
    </row>
    <row r="199" spans="1:14" x14ac:dyDescent="0.25">
      <c r="A199" t="s">
        <v>0</v>
      </c>
      <c r="B199" t="str">
        <f t="shared" si="65"/>
        <v>ordinario</v>
      </c>
      <c r="C199" t="s">
        <v>2</v>
      </c>
      <c r="D199" s="2">
        <f t="shared" si="76"/>
        <v>15</v>
      </c>
      <c r="E199" t="s">
        <v>5</v>
      </c>
      <c r="F199" t="s">
        <v>17</v>
      </c>
      <c r="G199" s="1" t="str">
        <f t="shared" si="75"/>
        <v>tos015miercoles</v>
      </c>
      <c r="H199" t="s">
        <v>15</v>
      </c>
      <c r="I199">
        <f t="shared" si="62"/>
        <v>7</v>
      </c>
      <c r="J199">
        <f t="shared" si="74"/>
        <v>16</v>
      </c>
      <c r="K199" t="s">
        <v>27</v>
      </c>
      <c r="L199" t="str">
        <f t="shared" si="56"/>
        <v>Julio</v>
      </c>
      <c r="M199" t="s">
        <v>28</v>
      </c>
      <c r="N199" t="str">
        <f t="shared" si="57"/>
        <v>{ nombre: "Tiempo Ordinario, Semana 15 Miercoles", archivo: "/salterios/src/evan/audios/tos015miercoles.mp3", fecha: `${year}-07-16` },</v>
      </c>
    </row>
    <row r="200" spans="1:14" x14ac:dyDescent="0.25">
      <c r="A200" t="s">
        <v>0</v>
      </c>
      <c r="B200" t="str">
        <f t="shared" si="65"/>
        <v>ordinario</v>
      </c>
      <c r="C200" t="s">
        <v>2</v>
      </c>
      <c r="D200" s="2">
        <f t="shared" si="76"/>
        <v>15</v>
      </c>
      <c r="E200" t="s">
        <v>6</v>
      </c>
      <c r="F200" t="s">
        <v>17</v>
      </c>
      <c r="G200" s="1" t="str">
        <f t="shared" si="75"/>
        <v>tos015jueves</v>
      </c>
      <c r="H200" t="s">
        <v>15</v>
      </c>
      <c r="I200">
        <f t="shared" si="62"/>
        <v>7</v>
      </c>
      <c r="J200">
        <f t="shared" si="74"/>
        <v>17</v>
      </c>
      <c r="K200" t="s">
        <v>27</v>
      </c>
      <c r="L200" t="str">
        <f t="shared" si="56"/>
        <v>Julio</v>
      </c>
      <c r="M200" t="s">
        <v>28</v>
      </c>
      <c r="N200" t="str">
        <f t="shared" si="57"/>
        <v>{ nombre: "Tiempo Ordinario, Semana 15 Jueves", archivo: "/salterios/src/evan/audios/tos015jueves.mp3", fecha: `${year}-07-17` },</v>
      </c>
    </row>
    <row r="201" spans="1:14" x14ac:dyDescent="0.25">
      <c r="A201" t="s">
        <v>0</v>
      </c>
      <c r="B201" t="str">
        <f t="shared" si="65"/>
        <v>ordinario</v>
      </c>
      <c r="C201" t="s">
        <v>2</v>
      </c>
      <c r="D201" s="2">
        <f t="shared" si="76"/>
        <v>15</v>
      </c>
      <c r="E201" t="s">
        <v>7</v>
      </c>
      <c r="F201" t="s">
        <v>17</v>
      </c>
      <c r="G201" s="1" t="str">
        <f t="shared" si="75"/>
        <v>tos015viernes</v>
      </c>
      <c r="H201" t="s">
        <v>15</v>
      </c>
      <c r="I201">
        <f t="shared" si="62"/>
        <v>7</v>
      </c>
      <c r="J201">
        <f t="shared" si="74"/>
        <v>18</v>
      </c>
      <c r="K201" t="s">
        <v>27</v>
      </c>
      <c r="L201" t="str">
        <f t="shared" si="56"/>
        <v>Julio</v>
      </c>
      <c r="M201" t="s">
        <v>28</v>
      </c>
      <c r="N201" t="str">
        <f t="shared" si="57"/>
        <v>{ nombre: "Tiempo Ordinario, Semana 15 Viernes", archivo: "/salterios/src/evan/audios/tos015viernes.mp3", fecha: `${year}-07-18` },</v>
      </c>
    </row>
    <row r="202" spans="1:14" x14ac:dyDescent="0.25">
      <c r="A202" t="s">
        <v>0</v>
      </c>
      <c r="B202" t="str">
        <f t="shared" si="65"/>
        <v>ordinario</v>
      </c>
      <c r="C202" t="s">
        <v>2</v>
      </c>
      <c r="D202" s="2">
        <f t="shared" si="76"/>
        <v>15</v>
      </c>
      <c r="E202" t="s">
        <v>8</v>
      </c>
      <c r="F202" t="s">
        <v>17</v>
      </c>
      <c r="G202" s="1" t="str">
        <f t="shared" si="75"/>
        <v>tos015sabado</v>
      </c>
      <c r="H202" t="s">
        <v>15</v>
      </c>
      <c r="I202">
        <f t="shared" si="62"/>
        <v>7</v>
      </c>
      <c r="J202">
        <f t="shared" si="74"/>
        <v>19</v>
      </c>
      <c r="K202" t="s">
        <v>27</v>
      </c>
      <c r="L202" t="str">
        <f t="shared" si="56"/>
        <v>Julio</v>
      </c>
      <c r="M202" t="s">
        <v>28</v>
      </c>
      <c r="N202" t="str">
        <f t="shared" si="57"/>
        <v>{ nombre: "Tiempo Ordinario, Semana 15 Sabado", archivo: "/salterios/src/evan/audios/tos015sabado.mp3", fecha: `${year}-07-19` },</v>
      </c>
    </row>
    <row r="203" spans="1:14" x14ac:dyDescent="0.25">
      <c r="A203" t="s">
        <v>0</v>
      </c>
      <c r="B203" t="str">
        <f t="shared" si="65"/>
        <v>ordinario</v>
      </c>
      <c r="C203" t="s">
        <v>2</v>
      </c>
      <c r="D203" s="2">
        <f>+D202+1</f>
        <v>16</v>
      </c>
      <c r="E203" t="s">
        <v>9</v>
      </c>
      <c r="F203" t="s">
        <v>17</v>
      </c>
      <c r="G203" s="1" t="str">
        <f>_xlfn.CONCAT(LEFT(A203,1),LEFT(B203,1),LEFT(C203,1),"0",D203,E203)</f>
        <v>tos016domingo</v>
      </c>
      <c r="H203" t="s">
        <v>15</v>
      </c>
      <c r="I203">
        <f t="shared" si="62"/>
        <v>7</v>
      </c>
      <c r="J203">
        <f t="shared" si="74"/>
        <v>20</v>
      </c>
      <c r="K203" t="s">
        <v>27</v>
      </c>
      <c r="L203" t="str">
        <f t="shared" si="56"/>
        <v>Julio</v>
      </c>
      <c r="M203" t="s">
        <v>28</v>
      </c>
      <c r="N203" t="str">
        <f t="shared" si="57"/>
        <v>{ nombre: "Tiempo Ordinario, Semana 16 Domingo", archivo: "/salterios/src/evan/audios/tos016domingo.mp3", fecha: `${year}-07-20` },</v>
      </c>
    </row>
    <row r="204" spans="1:14" x14ac:dyDescent="0.25">
      <c r="A204" t="s">
        <v>0</v>
      </c>
      <c r="B204" t="str">
        <f t="shared" si="65"/>
        <v>ordinario</v>
      </c>
      <c r="C204" t="s">
        <v>2</v>
      </c>
      <c r="D204" s="2">
        <f>D203</f>
        <v>16</v>
      </c>
      <c r="E204" t="s">
        <v>3</v>
      </c>
      <c r="F204" t="s">
        <v>17</v>
      </c>
      <c r="G204" s="1" t="str">
        <f t="shared" ref="G204:G209" si="77">_xlfn.CONCAT(LEFT(A204,1),LEFT(B204,1),LEFT(C204,1),"0",D204,E204)</f>
        <v>tos016lunes</v>
      </c>
      <c r="H204" t="s">
        <v>15</v>
      </c>
      <c r="I204">
        <f t="shared" si="62"/>
        <v>7</v>
      </c>
      <c r="J204">
        <f t="shared" si="74"/>
        <v>21</v>
      </c>
      <c r="K204" t="s">
        <v>27</v>
      </c>
      <c r="L204" t="str">
        <f t="shared" si="56"/>
        <v>Julio</v>
      </c>
      <c r="M204" t="s">
        <v>28</v>
      </c>
      <c r="N204" t="str">
        <f t="shared" si="57"/>
        <v>{ nombre: "Tiempo Ordinario, Semana 16 Lunes", archivo: "/salterios/src/evan/audios/tos016lunes.mp3", fecha: `${year}-07-21` },</v>
      </c>
    </row>
    <row r="205" spans="1:14" x14ac:dyDescent="0.25">
      <c r="A205" t="s">
        <v>0</v>
      </c>
      <c r="B205" t="str">
        <f t="shared" si="65"/>
        <v>ordinario</v>
      </c>
      <c r="C205" t="s">
        <v>2</v>
      </c>
      <c r="D205" s="2">
        <f t="shared" ref="D205:D209" si="78">D204</f>
        <v>16</v>
      </c>
      <c r="E205" t="s">
        <v>4</v>
      </c>
      <c r="F205" t="s">
        <v>17</v>
      </c>
      <c r="G205" s="1" t="str">
        <f t="shared" si="77"/>
        <v>tos016martes</v>
      </c>
      <c r="H205" t="s">
        <v>15</v>
      </c>
      <c r="I205">
        <f t="shared" si="62"/>
        <v>7</v>
      </c>
      <c r="J205">
        <f t="shared" si="74"/>
        <v>22</v>
      </c>
      <c r="K205" t="s">
        <v>27</v>
      </c>
      <c r="L205" t="str">
        <f t="shared" si="56"/>
        <v>Julio</v>
      </c>
      <c r="M205" t="s">
        <v>28</v>
      </c>
      <c r="N205" t="str">
        <f t="shared" si="57"/>
        <v>{ nombre: "Tiempo Ordinario, Semana 16 Martes", archivo: "/salterios/src/evan/audios/tos016martes.mp3", fecha: `${year}-07-22` },</v>
      </c>
    </row>
    <row r="206" spans="1:14" x14ac:dyDescent="0.25">
      <c r="A206" t="s">
        <v>0</v>
      </c>
      <c r="B206" t="str">
        <f t="shared" si="65"/>
        <v>ordinario</v>
      </c>
      <c r="C206" t="s">
        <v>2</v>
      </c>
      <c r="D206" s="2">
        <f t="shared" si="78"/>
        <v>16</v>
      </c>
      <c r="E206" t="s">
        <v>5</v>
      </c>
      <c r="F206" t="s">
        <v>17</v>
      </c>
      <c r="G206" s="1" t="str">
        <f t="shared" si="77"/>
        <v>tos016miercoles</v>
      </c>
      <c r="H206" t="s">
        <v>15</v>
      </c>
      <c r="I206">
        <f t="shared" si="62"/>
        <v>7</v>
      </c>
      <c r="J206">
        <f t="shared" si="74"/>
        <v>23</v>
      </c>
      <c r="K206" t="s">
        <v>27</v>
      </c>
      <c r="L206" t="str">
        <f t="shared" ref="L206:L269" si="79">IF(I206=1,"Enero",
IF(I206=2,"Febrero",
IF(I206=3,"Marzo",
IF(I206=4,"Abril",
IF(I206=5,"Mayo",
IF(I206=6,"Junio",
IF(I206=7,"Julio",
IF(I206=8,"Agosto",
IF(I206=9,"Septiembre",
IF(I206=10,"Octubre",
IF(I206=11,"Noviembre",
IF(I206=12,"Diciembre",""))))))))))))</f>
        <v>Julio</v>
      </c>
      <c r="M206" t="s">
        <v>28</v>
      </c>
      <c r="N206" t="str">
        <f t="shared" si="57"/>
        <v>{ nombre: "Tiempo Ordinario, Semana 16 Miercoles", archivo: "/salterios/src/evan/audios/tos016miercoles.mp3", fecha: `${year}-07-23` },</v>
      </c>
    </row>
    <row r="207" spans="1:14" x14ac:dyDescent="0.25">
      <c r="A207" t="s">
        <v>0</v>
      </c>
      <c r="B207" t="str">
        <f t="shared" si="65"/>
        <v>ordinario</v>
      </c>
      <c r="C207" t="s">
        <v>2</v>
      </c>
      <c r="D207" s="2">
        <f t="shared" si="78"/>
        <v>16</v>
      </c>
      <c r="E207" t="s">
        <v>6</v>
      </c>
      <c r="F207" t="s">
        <v>17</v>
      </c>
      <c r="G207" s="1" t="str">
        <f t="shared" si="77"/>
        <v>tos016jueves</v>
      </c>
      <c r="H207" t="s">
        <v>15</v>
      </c>
      <c r="I207">
        <f t="shared" si="62"/>
        <v>7</v>
      </c>
      <c r="J207">
        <f t="shared" si="74"/>
        <v>24</v>
      </c>
      <c r="K207" t="s">
        <v>27</v>
      </c>
      <c r="L207" t="str">
        <f t="shared" si="79"/>
        <v>Julio</v>
      </c>
      <c r="M207" t="s">
        <v>28</v>
      </c>
      <c r="N207" t="str">
        <f t="shared" si="57"/>
        <v>{ nombre: "Tiempo Ordinario, Semana 16 Jueves", archivo: "/salterios/src/evan/audios/tos016jueves.mp3", fecha: `${year}-07-24` },</v>
      </c>
    </row>
    <row r="208" spans="1:14" x14ac:dyDescent="0.25">
      <c r="A208" t="s">
        <v>0</v>
      </c>
      <c r="B208" t="str">
        <f t="shared" si="65"/>
        <v>ordinario</v>
      </c>
      <c r="C208" t="s">
        <v>2</v>
      </c>
      <c r="D208" s="2">
        <f t="shared" si="78"/>
        <v>16</v>
      </c>
      <c r="E208" t="s">
        <v>7</v>
      </c>
      <c r="F208" t="s">
        <v>17</v>
      </c>
      <c r="G208" s="1" t="str">
        <f t="shared" si="77"/>
        <v>tos016viernes</v>
      </c>
      <c r="H208" t="s">
        <v>15</v>
      </c>
      <c r="I208">
        <f t="shared" si="62"/>
        <v>7</v>
      </c>
      <c r="J208">
        <f t="shared" si="74"/>
        <v>25</v>
      </c>
      <c r="K208" t="s">
        <v>27</v>
      </c>
      <c r="L208" t="str">
        <f t="shared" si="79"/>
        <v>Julio</v>
      </c>
      <c r="M208" t="s">
        <v>28</v>
      </c>
      <c r="N208" t="str">
        <f t="shared" ref="N208:N271" si="80">_xlfn.CONCAT("{ nombre: ",H208,PROPER(A208)," ",PROPER(B208),", ",PROPER(C208)," ",D208," ",PROPER(E208),""",",F208,G208,".mp3",H208,", fecha: `${year}-",0,I208,"-",J208,"` },")</f>
        <v>{ nombre: "Tiempo Ordinario, Semana 16 Viernes", archivo: "/salterios/src/evan/audios/tos016viernes.mp3", fecha: `${year}-07-25` },</v>
      </c>
    </row>
    <row r="209" spans="1:14" x14ac:dyDescent="0.25">
      <c r="A209" t="s">
        <v>0</v>
      </c>
      <c r="B209" t="str">
        <f t="shared" si="65"/>
        <v>ordinario</v>
      </c>
      <c r="C209" t="s">
        <v>2</v>
      </c>
      <c r="D209" s="2">
        <f t="shared" si="78"/>
        <v>16</v>
      </c>
      <c r="E209" t="s">
        <v>8</v>
      </c>
      <c r="F209" t="s">
        <v>17</v>
      </c>
      <c r="G209" s="1" t="str">
        <f t="shared" si="77"/>
        <v>tos016sabado</v>
      </c>
      <c r="H209" t="s">
        <v>15</v>
      </c>
      <c r="I209">
        <f t="shared" si="62"/>
        <v>7</v>
      </c>
      <c r="J209">
        <f t="shared" si="74"/>
        <v>26</v>
      </c>
      <c r="K209" t="s">
        <v>27</v>
      </c>
      <c r="L209" t="str">
        <f t="shared" si="79"/>
        <v>Julio</v>
      </c>
      <c r="M209" t="s">
        <v>28</v>
      </c>
      <c r="N209" t="str">
        <f t="shared" si="80"/>
        <v>{ nombre: "Tiempo Ordinario, Semana 16 Sabado", archivo: "/salterios/src/evan/audios/tos016sabado.mp3", fecha: `${year}-07-26` },</v>
      </c>
    </row>
    <row r="210" spans="1:14" x14ac:dyDescent="0.25">
      <c r="A210" t="s">
        <v>0</v>
      </c>
      <c r="B210" t="str">
        <f t="shared" si="65"/>
        <v>ordinario</v>
      </c>
      <c r="C210" t="s">
        <v>2</v>
      </c>
      <c r="D210" s="2">
        <f>+D209+1</f>
        <v>17</v>
      </c>
      <c r="E210" t="s">
        <v>9</v>
      </c>
      <c r="F210" t="s">
        <v>17</v>
      </c>
      <c r="G210" s="1" t="str">
        <f>_xlfn.CONCAT(LEFT(A210,1),LEFT(B210,1),LEFT(C210,1),"0",D210,E210)</f>
        <v>tos017domingo</v>
      </c>
      <c r="H210" t="s">
        <v>15</v>
      </c>
      <c r="I210">
        <f t="shared" si="62"/>
        <v>7</v>
      </c>
      <c r="J210">
        <f t="shared" si="74"/>
        <v>27</v>
      </c>
      <c r="K210" t="s">
        <v>27</v>
      </c>
      <c r="L210" t="str">
        <f t="shared" si="79"/>
        <v>Julio</v>
      </c>
      <c r="M210" t="s">
        <v>28</v>
      </c>
      <c r="N210" t="str">
        <f t="shared" si="80"/>
        <v>{ nombre: "Tiempo Ordinario, Semana 17 Domingo", archivo: "/salterios/src/evan/audios/tos017domingo.mp3", fecha: `${year}-07-27` },</v>
      </c>
    </row>
    <row r="211" spans="1:14" x14ac:dyDescent="0.25">
      <c r="A211" t="s">
        <v>0</v>
      </c>
      <c r="B211" t="str">
        <f t="shared" si="65"/>
        <v>ordinario</v>
      </c>
      <c r="C211" t="s">
        <v>2</v>
      </c>
      <c r="D211" s="2">
        <f>D210</f>
        <v>17</v>
      </c>
      <c r="E211" t="s">
        <v>3</v>
      </c>
      <c r="F211" t="s">
        <v>17</v>
      </c>
      <c r="G211" s="1" t="str">
        <f t="shared" ref="G211:G216" si="81">_xlfn.CONCAT(LEFT(A211,1),LEFT(B211,1),LEFT(C211,1),"0",D211,E211)</f>
        <v>tos017lunes</v>
      </c>
      <c r="H211" t="s">
        <v>15</v>
      </c>
      <c r="I211">
        <f t="shared" si="62"/>
        <v>7</v>
      </c>
      <c r="J211">
        <f t="shared" si="74"/>
        <v>28</v>
      </c>
      <c r="K211" t="s">
        <v>27</v>
      </c>
      <c r="L211" t="str">
        <f t="shared" si="79"/>
        <v>Julio</v>
      </c>
      <c r="M211" t="s">
        <v>28</v>
      </c>
      <c r="N211" t="str">
        <f t="shared" si="80"/>
        <v>{ nombre: "Tiempo Ordinario, Semana 17 Lunes", archivo: "/salterios/src/evan/audios/tos017lunes.mp3", fecha: `${year}-07-28` },</v>
      </c>
    </row>
    <row r="212" spans="1:14" x14ac:dyDescent="0.25">
      <c r="A212" t="s">
        <v>0</v>
      </c>
      <c r="B212" t="str">
        <f t="shared" si="65"/>
        <v>ordinario</v>
      </c>
      <c r="C212" t="s">
        <v>2</v>
      </c>
      <c r="D212" s="2">
        <f t="shared" ref="D212:D216" si="82">D211</f>
        <v>17</v>
      </c>
      <c r="E212" t="s">
        <v>4</v>
      </c>
      <c r="F212" t="s">
        <v>17</v>
      </c>
      <c r="G212" s="1" t="str">
        <f t="shared" si="81"/>
        <v>tos017martes</v>
      </c>
      <c r="H212" t="s">
        <v>15</v>
      </c>
      <c r="I212">
        <f t="shared" si="62"/>
        <v>7</v>
      </c>
      <c r="J212">
        <f t="shared" si="74"/>
        <v>29</v>
      </c>
      <c r="K212" t="s">
        <v>27</v>
      </c>
      <c r="L212" t="str">
        <f t="shared" si="79"/>
        <v>Julio</v>
      </c>
      <c r="M212" t="s">
        <v>28</v>
      </c>
      <c r="N212" t="str">
        <f t="shared" si="80"/>
        <v>{ nombre: "Tiempo Ordinario, Semana 17 Martes", archivo: "/salterios/src/evan/audios/tos017martes.mp3", fecha: `${year}-07-29` },</v>
      </c>
    </row>
    <row r="213" spans="1:14" x14ac:dyDescent="0.25">
      <c r="A213" t="s">
        <v>0</v>
      </c>
      <c r="B213" t="str">
        <f t="shared" si="65"/>
        <v>ordinario</v>
      </c>
      <c r="C213" t="s">
        <v>2</v>
      </c>
      <c r="D213" s="2">
        <f t="shared" si="82"/>
        <v>17</v>
      </c>
      <c r="E213" t="s">
        <v>5</v>
      </c>
      <c r="F213" t="s">
        <v>17</v>
      </c>
      <c r="G213" s="1" t="str">
        <f t="shared" si="81"/>
        <v>tos017miercoles</v>
      </c>
      <c r="H213" t="s">
        <v>15</v>
      </c>
      <c r="I213">
        <f t="shared" si="62"/>
        <v>7</v>
      </c>
      <c r="J213">
        <f t="shared" si="74"/>
        <v>30</v>
      </c>
      <c r="K213" t="s">
        <v>27</v>
      </c>
      <c r="L213" t="str">
        <f t="shared" si="79"/>
        <v>Julio</v>
      </c>
      <c r="M213" t="s">
        <v>28</v>
      </c>
      <c r="N213" t="str">
        <f t="shared" si="80"/>
        <v>{ nombre: "Tiempo Ordinario, Semana 17 Miercoles", archivo: "/salterios/src/evan/audios/tos017miercoles.mp3", fecha: `${year}-07-30` },</v>
      </c>
    </row>
    <row r="214" spans="1:14" x14ac:dyDescent="0.25">
      <c r="A214" t="s">
        <v>0</v>
      </c>
      <c r="B214" t="str">
        <f t="shared" si="65"/>
        <v>ordinario</v>
      </c>
      <c r="C214" t="s">
        <v>2</v>
      </c>
      <c r="D214" s="2">
        <f t="shared" si="82"/>
        <v>17</v>
      </c>
      <c r="E214" t="s">
        <v>6</v>
      </c>
      <c r="F214" t="s">
        <v>17</v>
      </c>
      <c r="G214" s="1" t="str">
        <f t="shared" si="81"/>
        <v>tos017jueves</v>
      </c>
      <c r="H214" t="s">
        <v>15</v>
      </c>
      <c r="I214">
        <f t="shared" si="62"/>
        <v>7</v>
      </c>
      <c r="J214">
        <f t="shared" si="74"/>
        <v>31</v>
      </c>
      <c r="K214" t="s">
        <v>27</v>
      </c>
      <c r="L214" t="str">
        <f t="shared" si="79"/>
        <v>Julio</v>
      </c>
      <c r="M214" t="s">
        <v>28</v>
      </c>
      <c r="N214" t="str">
        <f t="shared" si="80"/>
        <v>{ nombre: "Tiempo Ordinario, Semana 17 Jueves", archivo: "/salterios/src/evan/audios/tos017jueves.mp3", fecha: `${year}-07-31` },</v>
      </c>
    </row>
    <row r="215" spans="1:14" x14ac:dyDescent="0.25">
      <c r="A215" t="s">
        <v>0</v>
      </c>
      <c r="B215" t="str">
        <f t="shared" si="65"/>
        <v>ordinario</v>
      </c>
      <c r="C215" t="s">
        <v>2</v>
      </c>
      <c r="D215" s="2">
        <f t="shared" si="82"/>
        <v>17</v>
      </c>
      <c r="E215" t="s">
        <v>7</v>
      </c>
      <c r="F215" t="s">
        <v>17</v>
      </c>
      <c r="G215" s="1" t="str">
        <f t="shared" si="81"/>
        <v>tos017viernes</v>
      </c>
      <c r="H215" t="s">
        <v>15</v>
      </c>
      <c r="I215">
        <v>8</v>
      </c>
      <c r="J215">
        <v>1</v>
      </c>
      <c r="K215" t="s">
        <v>27</v>
      </c>
      <c r="L215" t="str">
        <f t="shared" si="79"/>
        <v>Agosto</v>
      </c>
      <c r="M215" t="s">
        <v>28</v>
      </c>
      <c r="N215" t="str">
        <f t="shared" si="80"/>
        <v>{ nombre: "Tiempo Ordinario, Semana 17 Viernes", archivo: "/salterios/src/evan/audios/tos017viernes.mp3", fecha: `${year}-08-1` },</v>
      </c>
    </row>
    <row r="216" spans="1:14" x14ac:dyDescent="0.25">
      <c r="A216" t="s">
        <v>0</v>
      </c>
      <c r="B216" t="str">
        <f t="shared" si="65"/>
        <v>ordinario</v>
      </c>
      <c r="C216" t="s">
        <v>2</v>
      </c>
      <c r="D216" s="2">
        <f t="shared" si="82"/>
        <v>17</v>
      </c>
      <c r="E216" t="s">
        <v>8</v>
      </c>
      <c r="F216" t="s">
        <v>17</v>
      </c>
      <c r="G216" s="1" t="str">
        <f t="shared" si="81"/>
        <v>tos017sabado</v>
      </c>
      <c r="H216" t="s">
        <v>15</v>
      </c>
      <c r="I216">
        <f t="shared" si="62"/>
        <v>8</v>
      </c>
      <c r="J216">
        <f t="shared" si="74"/>
        <v>2</v>
      </c>
      <c r="K216" t="s">
        <v>27</v>
      </c>
      <c r="L216" t="str">
        <f t="shared" si="79"/>
        <v>Agosto</v>
      </c>
      <c r="M216" t="s">
        <v>28</v>
      </c>
      <c r="N216" t="str">
        <f t="shared" si="80"/>
        <v>{ nombre: "Tiempo Ordinario, Semana 17 Sabado", archivo: "/salterios/src/evan/audios/tos017sabado.mp3", fecha: `${year}-08-2` },</v>
      </c>
    </row>
    <row r="217" spans="1:14" x14ac:dyDescent="0.25">
      <c r="A217" t="s">
        <v>0</v>
      </c>
      <c r="B217" t="str">
        <f t="shared" si="65"/>
        <v>ordinario</v>
      </c>
      <c r="C217" t="s">
        <v>2</v>
      </c>
      <c r="D217" s="2">
        <f>+D216+1</f>
        <v>18</v>
      </c>
      <c r="E217" t="s">
        <v>9</v>
      </c>
      <c r="F217" t="s">
        <v>17</v>
      </c>
      <c r="G217" s="1" t="str">
        <f>_xlfn.CONCAT(LEFT(A217,1),LEFT(B217,1),LEFT(C217,1),"0",D217,E217)</f>
        <v>tos018domingo</v>
      </c>
      <c r="H217" t="s">
        <v>15</v>
      </c>
      <c r="I217">
        <f t="shared" si="62"/>
        <v>8</v>
      </c>
      <c r="J217">
        <f t="shared" si="74"/>
        <v>3</v>
      </c>
      <c r="K217" t="s">
        <v>27</v>
      </c>
      <c r="L217" t="str">
        <f t="shared" si="79"/>
        <v>Agosto</v>
      </c>
      <c r="M217" t="s">
        <v>28</v>
      </c>
      <c r="N217" t="str">
        <f t="shared" si="80"/>
        <v>{ nombre: "Tiempo Ordinario, Semana 18 Domingo", archivo: "/salterios/src/evan/audios/tos018domingo.mp3", fecha: `${year}-08-3` },</v>
      </c>
    </row>
    <row r="218" spans="1:14" x14ac:dyDescent="0.25">
      <c r="A218" t="s">
        <v>0</v>
      </c>
      <c r="B218" t="str">
        <f t="shared" si="65"/>
        <v>ordinario</v>
      </c>
      <c r="C218" t="s">
        <v>2</v>
      </c>
      <c r="D218" s="2">
        <f>D217</f>
        <v>18</v>
      </c>
      <c r="E218" t="s">
        <v>3</v>
      </c>
      <c r="F218" t="s">
        <v>17</v>
      </c>
      <c r="G218" s="1" t="str">
        <f t="shared" ref="G218:G223" si="83">_xlfn.CONCAT(LEFT(A218,1),LEFT(B218,1),LEFT(C218,1),"0",D218,E218)</f>
        <v>tos018lunes</v>
      </c>
      <c r="H218" t="s">
        <v>15</v>
      </c>
      <c r="I218">
        <f t="shared" si="62"/>
        <v>8</v>
      </c>
      <c r="J218">
        <f t="shared" si="74"/>
        <v>4</v>
      </c>
      <c r="K218" t="s">
        <v>27</v>
      </c>
      <c r="L218" t="str">
        <f t="shared" si="79"/>
        <v>Agosto</v>
      </c>
      <c r="M218" t="s">
        <v>28</v>
      </c>
      <c r="N218" t="str">
        <f t="shared" si="80"/>
        <v>{ nombre: "Tiempo Ordinario, Semana 18 Lunes", archivo: "/salterios/src/evan/audios/tos018lunes.mp3", fecha: `${year}-08-4` },</v>
      </c>
    </row>
    <row r="219" spans="1:14" x14ac:dyDescent="0.25">
      <c r="A219" t="s">
        <v>0</v>
      </c>
      <c r="B219" t="str">
        <f t="shared" si="65"/>
        <v>ordinario</v>
      </c>
      <c r="C219" t="s">
        <v>2</v>
      </c>
      <c r="D219" s="2">
        <f t="shared" ref="D219:D223" si="84">D218</f>
        <v>18</v>
      </c>
      <c r="E219" t="s">
        <v>4</v>
      </c>
      <c r="F219" t="s">
        <v>17</v>
      </c>
      <c r="G219" s="1" t="str">
        <f t="shared" si="83"/>
        <v>tos018martes</v>
      </c>
      <c r="H219" t="s">
        <v>15</v>
      </c>
      <c r="I219">
        <f t="shared" si="62"/>
        <v>8</v>
      </c>
      <c r="J219">
        <f t="shared" si="74"/>
        <v>5</v>
      </c>
      <c r="K219" t="s">
        <v>27</v>
      </c>
      <c r="L219" t="str">
        <f t="shared" si="79"/>
        <v>Agosto</v>
      </c>
      <c r="M219" t="s">
        <v>28</v>
      </c>
      <c r="N219" t="str">
        <f t="shared" si="80"/>
        <v>{ nombre: "Tiempo Ordinario, Semana 18 Martes", archivo: "/salterios/src/evan/audios/tos018martes.mp3", fecha: `${year}-08-5` },</v>
      </c>
    </row>
    <row r="220" spans="1:14" x14ac:dyDescent="0.25">
      <c r="A220" t="s">
        <v>0</v>
      </c>
      <c r="B220" t="str">
        <f t="shared" si="65"/>
        <v>ordinario</v>
      </c>
      <c r="C220" t="s">
        <v>2</v>
      </c>
      <c r="D220" s="2">
        <f t="shared" si="84"/>
        <v>18</v>
      </c>
      <c r="E220" t="s">
        <v>5</v>
      </c>
      <c r="F220" t="s">
        <v>17</v>
      </c>
      <c r="G220" s="1" t="str">
        <f t="shared" si="83"/>
        <v>tos018miercoles</v>
      </c>
      <c r="H220" t="s">
        <v>15</v>
      </c>
      <c r="I220">
        <f t="shared" si="62"/>
        <v>8</v>
      </c>
      <c r="J220">
        <f t="shared" si="74"/>
        <v>6</v>
      </c>
      <c r="K220" t="s">
        <v>27</v>
      </c>
      <c r="L220" t="str">
        <f t="shared" si="79"/>
        <v>Agosto</v>
      </c>
      <c r="M220" t="s">
        <v>28</v>
      </c>
      <c r="N220" t="str">
        <f t="shared" si="80"/>
        <v>{ nombre: "Tiempo Ordinario, Semana 18 Miercoles", archivo: "/salterios/src/evan/audios/tos018miercoles.mp3", fecha: `${year}-08-6` },</v>
      </c>
    </row>
    <row r="221" spans="1:14" x14ac:dyDescent="0.25">
      <c r="A221" t="s">
        <v>0</v>
      </c>
      <c r="B221" t="str">
        <f t="shared" si="65"/>
        <v>ordinario</v>
      </c>
      <c r="C221" t="s">
        <v>2</v>
      </c>
      <c r="D221" s="2">
        <f t="shared" si="84"/>
        <v>18</v>
      </c>
      <c r="E221" t="s">
        <v>6</v>
      </c>
      <c r="F221" t="s">
        <v>17</v>
      </c>
      <c r="G221" s="1" t="str">
        <f t="shared" si="83"/>
        <v>tos018jueves</v>
      </c>
      <c r="H221" t="s">
        <v>15</v>
      </c>
      <c r="I221">
        <f t="shared" si="62"/>
        <v>8</v>
      </c>
      <c r="J221">
        <f t="shared" si="74"/>
        <v>7</v>
      </c>
      <c r="K221" t="s">
        <v>27</v>
      </c>
      <c r="L221" t="str">
        <f t="shared" si="79"/>
        <v>Agosto</v>
      </c>
      <c r="M221" t="s">
        <v>28</v>
      </c>
      <c r="N221" t="str">
        <f t="shared" si="80"/>
        <v>{ nombre: "Tiempo Ordinario, Semana 18 Jueves", archivo: "/salterios/src/evan/audios/tos018jueves.mp3", fecha: `${year}-08-7` },</v>
      </c>
    </row>
    <row r="222" spans="1:14" x14ac:dyDescent="0.25">
      <c r="A222" t="s">
        <v>0</v>
      </c>
      <c r="B222" t="str">
        <f t="shared" si="65"/>
        <v>ordinario</v>
      </c>
      <c r="C222" t="s">
        <v>2</v>
      </c>
      <c r="D222" s="2">
        <f t="shared" si="84"/>
        <v>18</v>
      </c>
      <c r="E222" t="s">
        <v>7</v>
      </c>
      <c r="F222" t="s">
        <v>17</v>
      </c>
      <c r="G222" s="1" t="str">
        <f t="shared" si="83"/>
        <v>tos018viernes</v>
      </c>
      <c r="H222" t="s">
        <v>15</v>
      </c>
      <c r="I222">
        <f t="shared" si="62"/>
        <v>8</v>
      </c>
      <c r="J222">
        <f t="shared" si="74"/>
        <v>8</v>
      </c>
      <c r="K222" t="s">
        <v>27</v>
      </c>
      <c r="L222" t="str">
        <f t="shared" si="79"/>
        <v>Agosto</v>
      </c>
      <c r="M222" t="s">
        <v>28</v>
      </c>
      <c r="N222" t="str">
        <f t="shared" si="80"/>
        <v>{ nombre: "Tiempo Ordinario, Semana 18 Viernes", archivo: "/salterios/src/evan/audios/tos018viernes.mp3", fecha: `${year}-08-8` },</v>
      </c>
    </row>
    <row r="223" spans="1:14" x14ac:dyDescent="0.25">
      <c r="A223" t="s">
        <v>0</v>
      </c>
      <c r="B223" t="str">
        <f t="shared" si="65"/>
        <v>ordinario</v>
      </c>
      <c r="C223" t="s">
        <v>2</v>
      </c>
      <c r="D223" s="2">
        <f t="shared" si="84"/>
        <v>18</v>
      </c>
      <c r="E223" t="s">
        <v>8</v>
      </c>
      <c r="F223" t="s">
        <v>17</v>
      </c>
      <c r="G223" s="1" t="str">
        <f t="shared" si="83"/>
        <v>tos018sabado</v>
      </c>
      <c r="H223" t="s">
        <v>15</v>
      </c>
      <c r="I223">
        <f t="shared" ref="I223:I286" si="85">I222</f>
        <v>8</v>
      </c>
      <c r="J223">
        <f t="shared" si="74"/>
        <v>9</v>
      </c>
      <c r="K223" t="s">
        <v>27</v>
      </c>
      <c r="L223" t="str">
        <f t="shared" si="79"/>
        <v>Agosto</v>
      </c>
      <c r="M223" t="s">
        <v>28</v>
      </c>
      <c r="N223" t="str">
        <f t="shared" si="80"/>
        <v>{ nombre: "Tiempo Ordinario, Semana 18 Sabado", archivo: "/salterios/src/evan/audios/tos018sabado.mp3", fecha: `${year}-08-9` },</v>
      </c>
    </row>
    <row r="224" spans="1:14" x14ac:dyDescent="0.25">
      <c r="A224" t="s">
        <v>0</v>
      </c>
      <c r="B224" t="str">
        <f t="shared" si="65"/>
        <v>ordinario</v>
      </c>
      <c r="C224" t="s">
        <v>2</v>
      </c>
      <c r="D224" s="2">
        <f>+D223+1</f>
        <v>19</v>
      </c>
      <c r="E224" t="s">
        <v>9</v>
      </c>
      <c r="F224" t="s">
        <v>17</v>
      </c>
      <c r="G224" s="1" t="str">
        <f>_xlfn.CONCAT(LEFT(A224,1),LEFT(B224,1),LEFT(C224,1),"0",D224,E224)</f>
        <v>tos019domingo</v>
      </c>
      <c r="H224" t="s">
        <v>15</v>
      </c>
      <c r="I224">
        <f t="shared" si="85"/>
        <v>8</v>
      </c>
      <c r="J224">
        <f t="shared" si="74"/>
        <v>10</v>
      </c>
      <c r="K224" t="s">
        <v>27</v>
      </c>
      <c r="L224" t="str">
        <f t="shared" si="79"/>
        <v>Agosto</v>
      </c>
      <c r="M224" t="s">
        <v>28</v>
      </c>
      <c r="N224" t="str">
        <f t="shared" si="80"/>
        <v>{ nombre: "Tiempo Ordinario, Semana 19 Domingo", archivo: "/salterios/src/evan/audios/tos019domingo.mp3", fecha: `${year}-08-10` },</v>
      </c>
    </row>
    <row r="225" spans="1:14" x14ac:dyDescent="0.25">
      <c r="A225" t="s">
        <v>0</v>
      </c>
      <c r="B225" t="str">
        <f t="shared" si="65"/>
        <v>ordinario</v>
      </c>
      <c r="C225" t="s">
        <v>2</v>
      </c>
      <c r="D225" s="2">
        <f>D224</f>
        <v>19</v>
      </c>
      <c r="E225" t="s">
        <v>3</v>
      </c>
      <c r="F225" t="s">
        <v>17</v>
      </c>
      <c r="G225" s="1" t="str">
        <f t="shared" ref="G225:G230" si="86">_xlfn.CONCAT(LEFT(A225,1),LEFT(B225,1),LEFT(C225,1),"0",D225,E225)</f>
        <v>tos019lunes</v>
      </c>
      <c r="H225" t="s">
        <v>15</v>
      </c>
      <c r="I225">
        <f t="shared" si="85"/>
        <v>8</v>
      </c>
      <c r="J225">
        <f t="shared" si="74"/>
        <v>11</v>
      </c>
      <c r="K225" t="s">
        <v>27</v>
      </c>
      <c r="L225" t="str">
        <f t="shared" si="79"/>
        <v>Agosto</v>
      </c>
      <c r="M225" t="s">
        <v>28</v>
      </c>
      <c r="N225" t="str">
        <f t="shared" si="80"/>
        <v>{ nombre: "Tiempo Ordinario, Semana 19 Lunes", archivo: "/salterios/src/evan/audios/tos019lunes.mp3", fecha: `${year}-08-11` },</v>
      </c>
    </row>
    <row r="226" spans="1:14" x14ac:dyDescent="0.25">
      <c r="A226" t="s">
        <v>0</v>
      </c>
      <c r="B226" t="str">
        <f t="shared" si="65"/>
        <v>ordinario</v>
      </c>
      <c r="C226" t="s">
        <v>2</v>
      </c>
      <c r="D226" s="2">
        <f t="shared" ref="D226:D230" si="87">D225</f>
        <v>19</v>
      </c>
      <c r="E226" t="s">
        <v>4</v>
      </c>
      <c r="F226" t="s">
        <v>17</v>
      </c>
      <c r="G226" s="1" t="str">
        <f t="shared" si="86"/>
        <v>tos019martes</v>
      </c>
      <c r="H226" t="s">
        <v>15</v>
      </c>
      <c r="I226">
        <f t="shared" si="85"/>
        <v>8</v>
      </c>
      <c r="J226">
        <f t="shared" si="74"/>
        <v>12</v>
      </c>
      <c r="K226" t="s">
        <v>27</v>
      </c>
      <c r="L226" t="str">
        <f t="shared" si="79"/>
        <v>Agosto</v>
      </c>
      <c r="M226" t="s">
        <v>28</v>
      </c>
      <c r="N226" t="str">
        <f t="shared" si="80"/>
        <v>{ nombre: "Tiempo Ordinario, Semana 19 Martes", archivo: "/salterios/src/evan/audios/tos019martes.mp3", fecha: `${year}-08-12` },</v>
      </c>
    </row>
    <row r="227" spans="1:14" x14ac:dyDescent="0.25">
      <c r="A227" t="s">
        <v>0</v>
      </c>
      <c r="B227" t="str">
        <f t="shared" si="65"/>
        <v>ordinario</v>
      </c>
      <c r="C227" t="s">
        <v>2</v>
      </c>
      <c r="D227" s="2">
        <f t="shared" si="87"/>
        <v>19</v>
      </c>
      <c r="E227" t="s">
        <v>5</v>
      </c>
      <c r="F227" t="s">
        <v>17</v>
      </c>
      <c r="G227" s="1" t="str">
        <f t="shared" si="86"/>
        <v>tos019miercoles</v>
      </c>
      <c r="H227" t="s">
        <v>15</v>
      </c>
      <c r="I227">
        <f t="shared" si="85"/>
        <v>8</v>
      </c>
      <c r="J227">
        <f t="shared" si="74"/>
        <v>13</v>
      </c>
      <c r="K227" t="s">
        <v>27</v>
      </c>
      <c r="L227" t="str">
        <f t="shared" si="79"/>
        <v>Agosto</v>
      </c>
      <c r="M227" t="s">
        <v>28</v>
      </c>
      <c r="N227" t="str">
        <f t="shared" si="80"/>
        <v>{ nombre: "Tiempo Ordinario, Semana 19 Miercoles", archivo: "/salterios/src/evan/audios/tos019miercoles.mp3", fecha: `${year}-08-13` },</v>
      </c>
    </row>
    <row r="228" spans="1:14" x14ac:dyDescent="0.25">
      <c r="A228" t="s">
        <v>0</v>
      </c>
      <c r="B228" t="str">
        <f t="shared" si="65"/>
        <v>ordinario</v>
      </c>
      <c r="C228" t="s">
        <v>2</v>
      </c>
      <c r="D228" s="2">
        <f t="shared" si="87"/>
        <v>19</v>
      </c>
      <c r="E228" t="s">
        <v>6</v>
      </c>
      <c r="F228" t="s">
        <v>17</v>
      </c>
      <c r="G228" s="1" t="str">
        <f t="shared" si="86"/>
        <v>tos019jueves</v>
      </c>
      <c r="H228" t="s">
        <v>15</v>
      </c>
      <c r="I228">
        <f t="shared" si="85"/>
        <v>8</v>
      </c>
      <c r="J228">
        <f t="shared" si="74"/>
        <v>14</v>
      </c>
      <c r="K228" t="s">
        <v>27</v>
      </c>
      <c r="L228" t="str">
        <f t="shared" si="79"/>
        <v>Agosto</v>
      </c>
      <c r="M228" t="s">
        <v>28</v>
      </c>
      <c r="N228" t="str">
        <f t="shared" si="80"/>
        <v>{ nombre: "Tiempo Ordinario, Semana 19 Jueves", archivo: "/salterios/src/evan/audios/tos019jueves.mp3", fecha: `${year}-08-14` },</v>
      </c>
    </row>
    <row r="229" spans="1:14" x14ac:dyDescent="0.25">
      <c r="A229" t="s">
        <v>0</v>
      </c>
      <c r="B229" t="str">
        <f t="shared" ref="B229:B292" si="88">B228</f>
        <v>ordinario</v>
      </c>
      <c r="C229" t="s">
        <v>2</v>
      </c>
      <c r="D229" s="2">
        <f t="shared" si="87"/>
        <v>19</v>
      </c>
      <c r="E229" t="s">
        <v>7</v>
      </c>
      <c r="F229" t="s">
        <v>17</v>
      </c>
      <c r="G229" s="1" t="str">
        <f t="shared" si="86"/>
        <v>tos019viernes</v>
      </c>
      <c r="H229" t="s">
        <v>15</v>
      </c>
      <c r="I229">
        <f t="shared" si="85"/>
        <v>8</v>
      </c>
      <c r="J229">
        <f t="shared" si="74"/>
        <v>15</v>
      </c>
      <c r="K229" t="s">
        <v>27</v>
      </c>
      <c r="L229" t="str">
        <f t="shared" si="79"/>
        <v>Agosto</v>
      </c>
      <c r="M229" t="s">
        <v>28</v>
      </c>
      <c r="N229" t="str">
        <f t="shared" si="80"/>
        <v>{ nombre: "Tiempo Ordinario, Semana 19 Viernes", archivo: "/salterios/src/evan/audios/tos019viernes.mp3", fecha: `${year}-08-15` },</v>
      </c>
    </row>
    <row r="230" spans="1:14" x14ac:dyDescent="0.25">
      <c r="A230" t="s">
        <v>0</v>
      </c>
      <c r="B230" t="str">
        <f t="shared" si="88"/>
        <v>ordinario</v>
      </c>
      <c r="C230" t="s">
        <v>2</v>
      </c>
      <c r="D230" s="2">
        <f t="shared" si="87"/>
        <v>19</v>
      </c>
      <c r="E230" t="s">
        <v>8</v>
      </c>
      <c r="F230" t="s">
        <v>17</v>
      </c>
      <c r="G230" s="1" t="str">
        <f t="shared" si="86"/>
        <v>tos019sabado</v>
      </c>
      <c r="H230" t="s">
        <v>15</v>
      </c>
      <c r="I230">
        <f t="shared" si="85"/>
        <v>8</v>
      </c>
      <c r="J230">
        <f t="shared" si="74"/>
        <v>16</v>
      </c>
      <c r="K230" t="s">
        <v>27</v>
      </c>
      <c r="L230" t="str">
        <f t="shared" si="79"/>
        <v>Agosto</v>
      </c>
      <c r="M230" t="s">
        <v>28</v>
      </c>
      <c r="N230" t="str">
        <f t="shared" si="80"/>
        <v>{ nombre: "Tiempo Ordinario, Semana 19 Sabado", archivo: "/salterios/src/evan/audios/tos019sabado.mp3", fecha: `${year}-08-16` },</v>
      </c>
    </row>
    <row r="231" spans="1:14" x14ac:dyDescent="0.25">
      <c r="A231" t="s">
        <v>0</v>
      </c>
      <c r="B231" t="str">
        <f t="shared" si="88"/>
        <v>ordinario</v>
      </c>
      <c r="C231" t="s">
        <v>2</v>
      </c>
      <c r="D231" s="2">
        <f>+D230+1</f>
        <v>20</v>
      </c>
      <c r="E231" t="s">
        <v>9</v>
      </c>
      <c r="F231" t="s">
        <v>17</v>
      </c>
      <c r="G231" s="1" t="str">
        <f>_xlfn.CONCAT(LEFT(A231,1),LEFT(B231,1),LEFT(C231,1),"0",D231,E231)</f>
        <v>tos020domingo</v>
      </c>
      <c r="H231" t="s">
        <v>15</v>
      </c>
      <c r="I231">
        <f t="shared" si="85"/>
        <v>8</v>
      </c>
      <c r="J231">
        <f t="shared" si="74"/>
        <v>17</v>
      </c>
      <c r="K231" t="s">
        <v>27</v>
      </c>
      <c r="L231" t="str">
        <f t="shared" si="79"/>
        <v>Agosto</v>
      </c>
      <c r="M231" t="s">
        <v>28</v>
      </c>
      <c r="N231" t="str">
        <f t="shared" si="80"/>
        <v>{ nombre: "Tiempo Ordinario, Semana 20 Domingo", archivo: "/salterios/src/evan/audios/tos020domingo.mp3", fecha: `${year}-08-17` },</v>
      </c>
    </row>
    <row r="232" spans="1:14" x14ac:dyDescent="0.25">
      <c r="A232" t="s">
        <v>0</v>
      </c>
      <c r="B232" t="str">
        <f t="shared" si="88"/>
        <v>ordinario</v>
      </c>
      <c r="C232" t="s">
        <v>2</v>
      </c>
      <c r="D232" s="2">
        <f>D231</f>
        <v>20</v>
      </c>
      <c r="E232" t="s">
        <v>3</v>
      </c>
      <c r="F232" t="s">
        <v>17</v>
      </c>
      <c r="G232" s="1" t="str">
        <f t="shared" ref="G232:G237" si="89">_xlfn.CONCAT(LEFT(A232,1),LEFT(B232,1),LEFT(C232,1),"0",D232,E232)</f>
        <v>tos020lunes</v>
      </c>
      <c r="H232" t="s">
        <v>15</v>
      </c>
      <c r="I232">
        <f t="shared" si="85"/>
        <v>8</v>
      </c>
      <c r="J232">
        <f t="shared" si="74"/>
        <v>18</v>
      </c>
      <c r="K232" t="s">
        <v>27</v>
      </c>
      <c r="L232" t="str">
        <f t="shared" si="79"/>
        <v>Agosto</v>
      </c>
      <c r="M232" t="s">
        <v>28</v>
      </c>
      <c r="N232" t="str">
        <f t="shared" si="80"/>
        <v>{ nombre: "Tiempo Ordinario, Semana 20 Lunes", archivo: "/salterios/src/evan/audios/tos020lunes.mp3", fecha: `${year}-08-18` },</v>
      </c>
    </row>
    <row r="233" spans="1:14" x14ac:dyDescent="0.25">
      <c r="A233" t="s">
        <v>0</v>
      </c>
      <c r="B233" t="str">
        <f t="shared" si="88"/>
        <v>ordinario</v>
      </c>
      <c r="C233" t="s">
        <v>2</v>
      </c>
      <c r="D233" s="2">
        <f t="shared" ref="D233:D237" si="90">D232</f>
        <v>20</v>
      </c>
      <c r="E233" t="s">
        <v>4</v>
      </c>
      <c r="F233" t="s">
        <v>17</v>
      </c>
      <c r="G233" s="1" t="str">
        <f t="shared" si="89"/>
        <v>tos020martes</v>
      </c>
      <c r="H233" t="s">
        <v>15</v>
      </c>
      <c r="I233">
        <f t="shared" si="85"/>
        <v>8</v>
      </c>
      <c r="J233">
        <f t="shared" si="74"/>
        <v>19</v>
      </c>
      <c r="K233" t="s">
        <v>27</v>
      </c>
      <c r="L233" t="str">
        <f t="shared" si="79"/>
        <v>Agosto</v>
      </c>
      <c r="M233" t="s">
        <v>28</v>
      </c>
      <c r="N233" t="str">
        <f t="shared" si="80"/>
        <v>{ nombre: "Tiempo Ordinario, Semana 20 Martes", archivo: "/salterios/src/evan/audios/tos020martes.mp3", fecha: `${year}-08-19` },</v>
      </c>
    </row>
    <row r="234" spans="1:14" x14ac:dyDescent="0.25">
      <c r="A234" t="s">
        <v>0</v>
      </c>
      <c r="B234" t="str">
        <f t="shared" si="88"/>
        <v>ordinario</v>
      </c>
      <c r="C234" t="s">
        <v>2</v>
      </c>
      <c r="D234" s="2">
        <f t="shared" si="90"/>
        <v>20</v>
      </c>
      <c r="E234" t="s">
        <v>5</v>
      </c>
      <c r="F234" t="s">
        <v>17</v>
      </c>
      <c r="G234" s="1" t="str">
        <f t="shared" si="89"/>
        <v>tos020miercoles</v>
      </c>
      <c r="H234" t="s">
        <v>15</v>
      </c>
      <c r="I234">
        <f t="shared" si="85"/>
        <v>8</v>
      </c>
      <c r="J234">
        <f t="shared" si="74"/>
        <v>20</v>
      </c>
      <c r="K234" t="s">
        <v>27</v>
      </c>
      <c r="L234" t="str">
        <f t="shared" si="79"/>
        <v>Agosto</v>
      </c>
      <c r="M234" t="s">
        <v>28</v>
      </c>
      <c r="N234" t="str">
        <f t="shared" si="80"/>
        <v>{ nombre: "Tiempo Ordinario, Semana 20 Miercoles", archivo: "/salterios/src/evan/audios/tos020miercoles.mp3", fecha: `${year}-08-20` },</v>
      </c>
    </row>
    <row r="235" spans="1:14" x14ac:dyDescent="0.25">
      <c r="A235" t="s">
        <v>0</v>
      </c>
      <c r="B235" t="str">
        <f t="shared" si="88"/>
        <v>ordinario</v>
      </c>
      <c r="C235" t="s">
        <v>2</v>
      </c>
      <c r="D235" s="2">
        <f t="shared" si="90"/>
        <v>20</v>
      </c>
      <c r="E235" t="s">
        <v>6</v>
      </c>
      <c r="F235" t="s">
        <v>17</v>
      </c>
      <c r="G235" s="1" t="str">
        <f t="shared" si="89"/>
        <v>tos020jueves</v>
      </c>
      <c r="H235" t="s">
        <v>15</v>
      </c>
      <c r="I235">
        <f t="shared" si="85"/>
        <v>8</v>
      </c>
      <c r="J235">
        <f t="shared" si="74"/>
        <v>21</v>
      </c>
      <c r="K235" t="s">
        <v>27</v>
      </c>
      <c r="L235" t="str">
        <f t="shared" si="79"/>
        <v>Agosto</v>
      </c>
      <c r="M235" t="s">
        <v>28</v>
      </c>
      <c r="N235" t="str">
        <f t="shared" si="80"/>
        <v>{ nombre: "Tiempo Ordinario, Semana 20 Jueves", archivo: "/salterios/src/evan/audios/tos020jueves.mp3", fecha: `${year}-08-21` },</v>
      </c>
    </row>
    <row r="236" spans="1:14" x14ac:dyDescent="0.25">
      <c r="A236" t="s">
        <v>0</v>
      </c>
      <c r="B236" t="str">
        <f t="shared" si="88"/>
        <v>ordinario</v>
      </c>
      <c r="C236" t="s">
        <v>2</v>
      </c>
      <c r="D236" s="2">
        <f t="shared" si="90"/>
        <v>20</v>
      </c>
      <c r="E236" t="s">
        <v>7</v>
      </c>
      <c r="F236" t="s">
        <v>17</v>
      </c>
      <c r="G236" s="1" t="str">
        <f t="shared" si="89"/>
        <v>tos020viernes</v>
      </c>
      <c r="H236" t="s">
        <v>15</v>
      </c>
      <c r="I236">
        <f t="shared" si="85"/>
        <v>8</v>
      </c>
      <c r="J236">
        <f t="shared" si="74"/>
        <v>22</v>
      </c>
      <c r="K236" t="s">
        <v>27</v>
      </c>
      <c r="L236" t="str">
        <f t="shared" si="79"/>
        <v>Agosto</v>
      </c>
      <c r="M236" t="s">
        <v>28</v>
      </c>
      <c r="N236" t="str">
        <f t="shared" si="80"/>
        <v>{ nombre: "Tiempo Ordinario, Semana 20 Viernes", archivo: "/salterios/src/evan/audios/tos020viernes.mp3", fecha: `${year}-08-22` },</v>
      </c>
    </row>
    <row r="237" spans="1:14" x14ac:dyDescent="0.25">
      <c r="A237" t="s">
        <v>0</v>
      </c>
      <c r="B237" t="str">
        <f t="shared" si="88"/>
        <v>ordinario</v>
      </c>
      <c r="C237" t="s">
        <v>2</v>
      </c>
      <c r="D237" s="2">
        <f t="shared" si="90"/>
        <v>20</v>
      </c>
      <c r="E237" t="s">
        <v>8</v>
      </c>
      <c r="F237" t="s">
        <v>17</v>
      </c>
      <c r="G237" s="1" t="str">
        <f t="shared" si="89"/>
        <v>tos020sabado</v>
      </c>
      <c r="H237" t="s">
        <v>15</v>
      </c>
      <c r="I237">
        <f t="shared" si="85"/>
        <v>8</v>
      </c>
      <c r="J237">
        <f t="shared" si="74"/>
        <v>23</v>
      </c>
      <c r="K237" t="s">
        <v>27</v>
      </c>
      <c r="L237" t="str">
        <f t="shared" si="79"/>
        <v>Agosto</v>
      </c>
      <c r="M237" t="s">
        <v>28</v>
      </c>
      <c r="N237" t="str">
        <f t="shared" si="80"/>
        <v>{ nombre: "Tiempo Ordinario, Semana 20 Sabado", archivo: "/salterios/src/evan/audios/tos020sabado.mp3", fecha: `${year}-08-23` },</v>
      </c>
    </row>
    <row r="238" spans="1:14" x14ac:dyDescent="0.25">
      <c r="A238" t="s">
        <v>0</v>
      </c>
      <c r="B238" t="str">
        <f t="shared" si="88"/>
        <v>ordinario</v>
      </c>
      <c r="C238" t="s">
        <v>2</v>
      </c>
      <c r="D238" s="2">
        <f>+D237+1</f>
        <v>21</v>
      </c>
      <c r="E238" t="s">
        <v>9</v>
      </c>
      <c r="F238" t="s">
        <v>17</v>
      </c>
      <c r="G238" s="1" t="str">
        <f>_xlfn.CONCAT(LEFT(A238,1),LEFT(B238,1),LEFT(C238,1),"0",D238,E238)</f>
        <v>tos021domingo</v>
      </c>
      <c r="H238" t="s">
        <v>15</v>
      </c>
      <c r="I238">
        <f t="shared" si="85"/>
        <v>8</v>
      </c>
      <c r="J238">
        <f t="shared" si="74"/>
        <v>24</v>
      </c>
      <c r="K238" t="s">
        <v>27</v>
      </c>
      <c r="L238" t="str">
        <f t="shared" si="79"/>
        <v>Agosto</v>
      </c>
      <c r="M238" t="s">
        <v>28</v>
      </c>
      <c r="N238" t="str">
        <f t="shared" si="80"/>
        <v>{ nombre: "Tiempo Ordinario, Semana 21 Domingo", archivo: "/salterios/src/evan/audios/tos021domingo.mp3", fecha: `${year}-08-24` },</v>
      </c>
    </row>
    <row r="239" spans="1:14" x14ac:dyDescent="0.25">
      <c r="A239" t="s">
        <v>0</v>
      </c>
      <c r="B239" t="str">
        <f t="shared" si="88"/>
        <v>ordinario</v>
      </c>
      <c r="C239" t="s">
        <v>2</v>
      </c>
      <c r="D239" s="2">
        <f>D238</f>
        <v>21</v>
      </c>
      <c r="E239" t="s">
        <v>3</v>
      </c>
      <c r="F239" t="s">
        <v>17</v>
      </c>
      <c r="G239" s="1" t="str">
        <f t="shared" ref="G239:G244" si="91">_xlfn.CONCAT(LEFT(A239,1),LEFT(B239,1),LEFT(C239,1),"0",D239,E239)</f>
        <v>tos021lunes</v>
      </c>
      <c r="H239" t="s">
        <v>15</v>
      </c>
      <c r="I239">
        <f t="shared" si="85"/>
        <v>8</v>
      </c>
      <c r="J239">
        <f t="shared" si="74"/>
        <v>25</v>
      </c>
      <c r="K239" t="s">
        <v>27</v>
      </c>
      <c r="L239" t="str">
        <f t="shared" si="79"/>
        <v>Agosto</v>
      </c>
      <c r="M239" t="s">
        <v>28</v>
      </c>
      <c r="N239" t="str">
        <f t="shared" si="80"/>
        <v>{ nombre: "Tiempo Ordinario, Semana 21 Lunes", archivo: "/salterios/src/evan/audios/tos021lunes.mp3", fecha: `${year}-08-25` },</v>
      </c>
    </row>
    <row r="240" spans="1:14" x14ac:dyDescent="0.25">
      <c r="A240" t="s">
        <v>0</v>
      </c>
      <c r="B240" t="str">
        <f t="shared" si="88"/>
        <v>ordinario</v>
      </c>
      <c r="C240" t="s">
        <v>2</v>
      </c>
      <c r="D240" s="2">
        <f t="shared" ref="D240:D244" si="92">D239</f>
        <v>21</v>
      </c>
      <c r="E240" t="s">
        <v>4</v>
      </c>
      <c r="F240" t="s">
        <v>17</v>
      </c>
      <c r="G240" s="1" t="str">
        <f t="shared" si="91"/>
        <v>tos021martes</v>
      </c>
      <c r="H240" t="s">
        <v>15</v>
      </c>
      <c r="I240">
        <f t="shared" si="85"/>
        <v>8</v>
      </c>
      <c r="J240">
        <f t="shared" si="74"/>
        <v>26</v>
      </c>
      <c r="K240" t="s">
        <v>27</v>
      </c>
      <c r="L240" t="str">
        <f t="shared" si="79"/>
        <v>Agosto</v>
      </c>
      <c r="M240" t="s">
        <v>28</v>
      </c>
      <c r="N240" t="str">
        <f t="shared" si="80"/>
        <v>{ nombre: "Tiempo Ordinario, Semana 21 Martes", archivo: "/salterios/src/evan/audios/tos021martes.mp3", fecha: `${year}-08-26` },</v>
      </c>
    </row>
    <row r="241" spans="1:14" x14ac:dyDescent="0.25">
      <c r="A241" t="s">
        <v>0</v>
      </c>
      <c r="B241" t="str">
        <f t="shared" si="88"/>
        <v>ordinario</v>
      </c>
      <c r="C241" t="s">
        <v>2</v>
      </c>
      <c r="D241" s="2">
        <f t="shared" si="92"/>
        <v>21</v>
      </c>
      <c r="E241" t="s">
        <v>5</v>
      </c>
      <c r="F241" t="s">
        <v>17</v>
      </c>
      <c r="G241" s="1" t="str">
        <f t="shared" si="91"/>
        <v>tos021miercoles</v>
      </c>
      <c r="H241" t="s">
        <v>15</v>
      </c>
      <c r="I241">
        <f t="shared" si="85"/>
        <v>8</v>
      </c>
      <c r="J241">
        <f t="shared" si="74"/>
        <v>27</v>
      </c>
      <c r="K241" t="s">
        <v>27</v>
      </c>
      <c r="L241" t="str">
        <f t="shared" si="79"/>
        <v>Agosto</v>
      </c>
      <c r="M241" t="s">
        <v>28</v>
      </c>
      <c r="N241" t="str">
        <f t="shared" si="80"/>
        <v>{ nombre: "Tiempo Ordinario, Semana 21 Miercoles", archivo: "/salterios/src/evan/audios/tos021miercoles.mp3", fecha: `${year}-08-27` },</v>
      </c>
    </row>
    <row r="242" spans="1:14" x14ac:dyDescent="0.25">
      <c r="A242" t="s">
        <v>0</v>
      </c>
      <c r="B242" t="str">
        <f t="shared" si="88"/>
        <v>ordinario</v>
      </c>
      <c r="C242" t="s">
        <v>2</v>
      </c>
      <c r="D242" s="2">
        <f t="shared" si="92"/>
        <v>21</v>
      </c>
      <c r="E242" t="s">
        <v>6</v>
      </c>
      <c r="F242" t="s">
        <v>17</v>
      </c>
      <c r="G242" s="1" t="str">
        <f t="shared" si="91"/>
        <v>tos021jueves</v>
      </c>
      <c r="H242" t="s">
        <v>15</v>
      </c>
      <c r="I242">
        <f t="shared" si="85"/>
        <v>8</v>
      </c>
      <c r="J242">
        <f t="shared" si="74"/>
        <v>28</v>
      </c>
      <c r="K242" t="s">
        <v>27</v>
      </c>
      <c r="L242" t="str">
        <f t="shared" si="79"/>
        <v>Agosto</v>
      </c>
      <c r="M242" t="s">
        <v>28</v>
      </c>
      <c r="N242" t="str">
        <f t="shared" si="80"/>
        <v>{ nombre: "Tiempo Ordinario, Semana 21 Jueves", archivo: "/salterios/src/evan/audios/tos021jueves.mp3", fecha: `${year}-08-28` },</v>
      </c>
    </row>
    <row r="243" spans="1:14" x14ac:dyDescent="0.25">
      <c r="A243" t="s">
        <v>0</v>
      </c>
      <c r="B243" t="str">
        <f t="shared" si="88"/>
        <v>ordinario</v>
      </c>
      <c r="C243" t="s">
        <v>2</v>
      </c>
      <c r="D243" s="2">
        <f t="shared" si="92"/>
        <v>21</v>
      </c>
      <c r="E243" t="s">
        <v>7</v>
      </c>
      <c r="F243" t="s">
        <v>17</v>
      </c>
      <c r="G243" s="1" t="str">
        <f t="shared" si="91"/>
        <v>tos021viernes</v>
      </c>
      <c r="H243" t="s">
        <v>15</v>
      </c>
      <c r="I243">
        <f t="shared" si="85"/>
        <v>8</v>
      </c>
      <c r="J243">
        <f t="shared" si="74"/>
        <v>29</v>
      </c>
      <c r="K243" t="s">
        <v>27</v>
      </c>
      <c r="L243" t="str">
        <f t="shared" si="79"/>
        <v>Agosto</v>
      </c>
      <c r="M243" t="s">
        <v>28</v>
      </c>
      <c r="N243" t="str">
        <f t="shared" si="80"/>
        <v>{ nombre: "Tiempo Ordinario, Semana 21 Viernes", archivo: "/salterios/src/evan/audios/tos021viernes.mp3", fecha: `${year}-08-29` },</v>
      </c>
    </row>
    <row r="244" spans="1:14" x14ac:dyDescent="0.25">
      <c r="A244" t="s">
        <v>0</v>
      </c>
      <c r="B244" t="str">
        <f t="shared" si="88"/>
        <v>ordinario</v>
      </c>
      <c r="C244" t="s">
        <v>2</v>
      </c>
      <c r="D244" s="2">
        <f t="shared" si="92"/>
        <v>21</v>
      </c>
      <c r="E244" t="s">
        <v>8</v>
      </c>
      <c r="F244" t="s">
        <v>17</v>
      </c>
      <c r="G244" s="1" t="str">
        <f t="shared" si="91"/>
        <v>tos021sabado</v>
      </c>
      <c r="H244" t="s">
        <v>15</v>
      </c>
      <c r="I244">
        <f t="shared" si="85"/>
        <v>8</v>
      </c>
      <c r="J244">
        <f t="shared" si="74"/>
        <v>30</v>
      </c>
      <c r="K244" t="s">
        <v>27</v>
      </c>
      <c r="L244" t="str">
        <f t="shared" si="79"/>
        <v>Agosto</v>
      </c>
      <c r="M244" t="s">
        <v>28</v>
      </c>
      <c r="N244" t="str">
        <f t="shared" si="80"/>
        <v>{ nombre: "Tiempo Ordinario, Semana 21 Sabado", archivo: "/salterios/src/evan/audios/tos021sabado.mp3", fecha: `${year}-08-30` },</v>
      </c>
    </row>
    <row r="245" spans="1:14" x14ac:dyDescent="0.25">
      <c r="A245" t="s">
        <v>0</v>
      </c>
      <c r="B245" t="str">
        <f t="shared" si="88"/>
        <v>ordinario</v>
      </c>
      <c r="C245" t="s">
        <v>2</v>
      </c>
      <c r="D245" s="2">
        <f>+D244+1</f>
        <v>22</v>
      </c>
      <c r="E245" t="s">
        <v>9</v>
      </c>
      <c r="F245" t="s">
        <v>17</v>
      </c>
      <c r="G245" s="1" t="str">
        <f>_xlfn.CONCAT(LEFT(A245,1),LEFT(B245,1),LEFT(C245,1),"0",D245,E245)</f>
        <v>tos022domingo</v>
      </c>
      <c r="H245" t="s">
        <v>15</v>
      </c>
      <c r="I245">
        <f t="shared" si="85"/>
        <v>8</v>
      </c>
      <c r="J245">
        <f t="shared" si="74"/>
        <v>31</v>
      </c>
      <c r="K245" t="s">
        <v>27</v>
      </c>
      <c r="L245" t="str">
        <f t="shared" si="79"/>
        <v>Agosto</v>
      </c>
      <c r="M245" t="s">
        <v>28</v>
      </c>
      <c r="N245" t="str">
        <f t="shared" si="80"/>
        <v>{ nombre: "Tiempo Ordinario, Semana 22 Domingo", archivo: "/salterios/src/evan/audios/tos022domingo.mp3", fecha: `${year}-08-31` },</v>
      </c>
    </row>
    <row r="246" spans="1:14" x14ac:dyDescent="0.25">
      <c r="A246" t="s">
        <v>0</v>
      </c>
      <c r="B246" t="str">
        <f t="shared" si="88"/>
        <v>ordinario</v>
      </c>
      <c r="C246" t="s">
        <v>2</v>
      </c>
      <c r="D246" s="2">
        <f>D245</f>
        <v>22</v>
      </c>
      <c r="E246" t="s">
        <v>3</v>
      </c>
      <c r="F246" t="s">
        <v>17</v>
      </c>
      <c r="G246" s="1" t="str">
        <f t="shared" ref="G246:G251" si="93">_xlfn.CONCAT(LEFT(A246,1),LEFT(B246,1),LEFT(C246,1),"0",D246,E246)</f>
        <v>tos022lunes</v>
      </c>
      <c r="H246" t="s">
        <v>15</v>
      </c>
      <c r="I246">
        <v>9</v>
      </c>
      <c r="J246">
        <v>1</v>
      </c>
      <c r="K246" t="s">
        <v>27</v>
      </c>
      <c r="L246" t="str">
        <f t="shared" si="79"/>
        <v>Septiembre</v>
      </c>
      <c r="M246" t="s">
        <v>28</v>
      </c>
      <c r="N246" t="str">
        <f t="shared" si="80"/>
        <v>{ nombre: "Tiempo Ordinario, Semana 22 Lunes", archivo: "/salterios/src/evan/audios/tos022lunes.mp3", fecha: `${year}-09-1` },</v>
      </c>
    </row>
    <row r="247" spans="1:14" x14ac:dyDescent="0.25">
      <c r="A247" t="s">
        <v>0</v>
      </c>
      <c r="B247" t="str">
        <f t="shared" si="88"/>
        <v>ordinario</v>
      </c>
      <c r="C247" t="s">
        <v>2</v>
      </c>
      <c r="D247" s="2">
        <f t="shared" ref="D247:D251" si="94">D246</f>
        <v>22</v>
      </c>
      <c r="E247" t="s">
        <v>4</v>
      </c>
      <c r="F247" t="s">
        <v>17</v>
      </c>
      <c r="G247" s="1" t="str">
        <f t="shared" si="93"/>
        <v>tos022martes</v>
      </c>
      <c r="H247" t="s">
        <v>15</v>
      </c>
      <c r="I247">
        <f t="shared" si="85"/>
        <v>9</v>
      </c>
      <c r="J247">
        <f t="shared" si="74"/>
        <v>2</v>
      </c>
      <c r="K247" t="s">
        <v>27</v>
      </c>
      <c r="L247" t="str">
        <f t="shared" si="79"/>
        <v>Septiembre</v>
      </c>
      <c r="M247" t="s">
        <v>28</v>
      </c>
      <c r="N247" t="str">
        <f t="shared" si="80"/>
        <v>{ nombre: "Tiempo Ordinario, Semana 22 Martes", archivo: "/salterios/src/evan/audios/tos022martes.mp3", fecha: `${year}-09-2` },</v>
      </c>
    </row>
    <row r="248" spans="1:14" x14ac:dyDescent="0.25">
      <c r="A248" t="s">
        <v>0</v>
      </c>
      <c r="B248" t="str">
        <f t="shared" si="88"/>
        <v>ordinario</v>
      </c>
      <c r="C248" t="s">
        <v>2</v>
      </c>
      <c r="D248" s="2">
        <f t="shared" si="94"/>
        <v>22</v>
      </c>
      <c r="E248" t="s">
        <v>5</v>
      </c>
      <c r="F248" t="s">
        <v>17</v>
      </c>
      <c r="G248" s="1" t="str">
        <f t="shared" si="93"/>
        <v>tos022miercoles</v>
      </c>
      <c r="H248" t="s">
        <v>15</v>
      </c>
      <c r="I248">
        <f t="shared" si="85"/>
        <v>9</v>
      </c>
      <c r="J248">
        <f t="shared" si="74"/>
        <v>3</v>
      </c>
      <c r="K248" t="s">
        <v>27</v>
      </c>
      <c r="L248" t="str">
        <f t="shared" si="79"/>
        <v>Septiembre</v>
      </c>
      <c r="M248" t="s">
        <v>28</v>
      </c>
      <c r="N248" t="str">
        <f t="shared" si="80"/>
        <v>{ nombre: "Tiempo Ordinario, Semana 22 Miercoles", archivo: "/salterios/src/evan/audios/tos022miercoles.mp3", fecha: `${year}-09-3` },</v>
      </c>
    </row>
    <row r="249" spans="1:14" x14ac:dyDescent="0.25">
      <c r="A249" t="s">
        <v>0</v>
      </c>
      <c r="B249" t="str">
        <f t="shared" si="88"/>
        <v>ordinario</v>
      </c>
      <c r="C249" t="s">
        <v>2</v>
      </c>
      <c r="D249" s="2">
        <f t="shared" si="94"/>
        <v>22</v>
      </c>
      <c r="E249" t="s">
        <v>6</v>
      </c>
      <c r="F249" t="s">
        <v>17</v>
      </c>
      <c r="G249" s="1" t="str">
        <f t="shared" si="93"/>
        <v>tos022jueves</v>
      </c>
      <c r="H249" t="s">
        <v>15</v>
      </c>
      <c r="I249">
        <f t="shared" si="85"/>
        <v>9</v>
      </c>
      <c r="J249">
        <f t="shared" si="74"/>
        <v>4</v>
      </c>
      <c r="K249" t="s">
        <v>27</v>
      </c>
      <c r="L249" t="str">
        <f t="shared" si="79"/>
        <v>Septiembre</v>
      </c>
      <c r="M249" t="s">
        <v>28</v>
      </c>
      <c r="N249" t="str">
        <f t="shared" si="80"/>
        <v>{ nombre: "Tiempo Ordinario, Semana 22 Jueves", archivo: "/salterios/src/evan/audios/tos022jueves.mp3", fecha: `${year}-09-4` },</v>
      </c>
    </row>
    <row r="250" spans="1:14" x14ac:dyDescent="0.25">
      <c r="A250" t="s">
        <v>0</v>
      </c>
      <c r="B250" t="str">
        <f t="shared" si="88"/>
        <v>ordinario</v>
      </c>
      <c r="C250" t="s">
        <v>2</v>
      </c>
      <c r="D250" s="2">
        <f t="shared" si="94"/>
        <v>22</v>
      </c>
      <c r="E250" t="s">
        <v>7</v>
      </c>
      <c r="F250" t="s">
        <v>17</v>
      </c>
      <c r="G250" s="1" t="str">
        <f t="shared" si="93"/>
        <v>tos022viernes</v>
      </c>
      <c r="H250" t="s">
        <v>15</v>
      </c>
      <c r="I250">
        <f t="shared" si="85"/>
        <v>9</v>
      </c>
      <c r="J250">
        <f t="shared" si="74"/>
        <v>5</v>
      </c>
      <c r="K250" t="s">
        <v>27</v>
      </c>
      <c r="L250" t="str">
        <f t="shared" si="79"/>
        <v>Septiembre</v>
      </c>
      <c r="M250" t="s">
        <v>28</v>
      </c>
      <c r="N250" t="str">
        <f t="shared" si="80"/>
        <v>{ nombre: "Tiempo Ordinario, Semana 22 Viernes", archivo: "/salterios/src/evan/audios/tos022viernes.mp3", fecha: `${year}-09-5` },</v>
      </c>
    </row>
    <row r="251" spans="1:14" x14ac:dyDescent="0.25">
      <c r="A251" t="s">
        <v>0</v>
      </c>
      <c r="B251" t="str">
        <f t="shared" si="88"/>
        <v>ordinario</v>
      </c>
      <c r="C251" t="s">
        <v>2</v>
      </c>
      <c r="D251" s="2">
        <f t="shared" si="94"/>
        <v>22</v>
      </c>
      <c r="E251" t="s">
        <v>8</v>
      </c>
      <c r="F251" t="s">
        <v>17</v>
      </c>
      <c r="G251" s="1" t="str">
        <f t="shared" si="93"/>
        <v>tos022sabado</v>
      </c>
      <c r="H251" t="s">
        <v>15</v>
      </c>
      <c r="I251">
        <f t="shared" si="85"/>
        <v>9</v>
      </c>
      <c r="J251">
        <f t="shared" si="74"/>
        <v>6</v>
      </c>
      <c r="K251" t="s">
        <v>27</v>
      </c>
      <c r="L251" t="str">
        <f t="shared" si="79"/>
        <v>Septiembre</v>
      </c>
      <c r="M251" t="s">
        <v>28</v>
      </c>
      <c r="N251" t="str">
        <f t="shared" si="80"/>
        <v>{ nombre: "Tiempo Ordinario, Semana 22 Sabado", archivo: "/salterios/src/evan/audios/tos022sabado.mp3", fecha: `${year}-09-6` },</v>
      </c>
    </row>
    <row r="252" spans="1:14" x14ac:dyDescent="0.25">
      <c r="A252" t="s">
        <v>0</v>
      </c>
      <c r="B252" t="str">
        <f t="shared" si="88"/>
        <v>ordinario</v>
      </c>
      <c r="C252" t="s">
        <v>2</v>
      </c>
      <c r="D252" s="2">
        <f>+D251+1</f>
        <v>23</v>
      </c>
      <c r="E252" t="s">
        <v>9</v>
      </c>
      <c r="F252" t="s">
        <v>17</v>
      </c>
      <c r="G252" s="1" t="str">
        <f>_xlfn.CONCAT(LEFT(A252,1),LEFT(B252,1),LEFT(C252,1),"0",D252,E252)</f>
        <v>tos023domingo</v>
      </c>
      <c r="H252" t="s">
        <v>15</v>
      </c>
      <c r="I252">
        <f t="shared" si="85"/>
        <v>9</v>
      </c>
      <c r="J252">
        <f t="shared" si="74"/>
        <v>7</v>
      </c>
      <c r="K252" t="s">
        <v>27</v>
      </c>
      <c r="L252" t="str">
        <f t="shared" si="79"/>
        <v>Septiembre</v>
      </c>
      <c r="M252" t="s">
        <v>28</v>
      </c>
      <c r="N252" t="str">
        <f t="shared" si="80"/>
        <v>{ nombre: "Tiempo Ordinario, Semana 23 Domingo", archivo: "/salterios/src/evan/audios/tos023domingo.mp3", fecha: `${year}-09-7` },</v>
      </c>
    </row>
    <row r="253" spans="1:14" x14ac:dyDescent="0.25">
      <c r="A253" t="s">
        <v>0</v>
      </c>
      <c r="B253" t="str">
        <f t="shared" si="88"/>
        <v>ordinario</v>
      </c>
      <c r="C253" t="s">
        <v>2</v>
      </c>
      <c r="D253" s="2">
        <f>D252</f>
        <v>23</v>
      </c>
      <c r="E253" t="s">
        <v>3</v>
      </c>
      <c r="F253" t="s">
        <v>17</v>
      </c>
      <c r="G253" s="1" t="str">
        <f t="shared" ref="G253:G258" si="95">_xlfn.CONCAT(LEFT(A253,1),LEFT(B253,1),LEFT(C253,1),"0",D253,E253)</f>
        <v>tos023lunes</v>
      </c>
      <c r="H253" t="s">
        <v>15</v>
      </c>
      <c r="I253">
        <f t="shared" si="85"/>
        <v>9</v>
      </c>
      <c r="J253">
        <f t="shared" si="74"/>
        <v>8</v>
      </c>
      <c r="K253" t="s">
        <v>27</v>
      </c>
      <c r="L253" t="str">
        <f t="shared" si="79"/>
        <v>Septiembre</v>
      </c>
      <c r="M253" t="s">
        <v>28</v>
      </c>
      <c r="N253" t="str">
        <f t="shared" si="80"/>
        <v>{ nombre: "Tiempo Ordinario, Semana 23 Lunes", archivo: "/salterios/src/evan/audios/tos023lunes.mp3", fecha: `${year}-09-8` },</v>
      </c>
    </row>
    <row r="254" spans="1:14" x14ac:dyDescent="0.25">
      <c r="A254" t="s">
        <v>0</v>
      </c>
      <c r="B254" t="str">
        <f t="shared" si="88"/>
        <v>ordinario</v>
      </c>
      <c r="C254" t="s">
        <v>2</v>
      </c>
      <c r="D254" s="2">
        <f t="shared" ref="D254:D258" si="96">D253</f>
        <v>23</v>
      </c>
      <c r="E254" t="s">
        <v>4</v>
      </c>
      <c r="F254" t="s">
        <v>17</v>
      </c>
      <c r="G254" s="1" t="str">
        <f t="shared" si="95"/>
        <v>tos023martes</v>
      </c>
      <c r="H254" t="s">
        <v>15</v>
      </c>
      <c r="I254">
        <f t="shared" si="85"/>
        <v>9</v>
      </c>
      <c r="J254">
        <f t="shared" si="74"/>
        <v>9</v>
      </c>
      <c r="K254" t="s">
        <v>27</v>
      </c>
      <c r="L254" t="str">
        <f t="shared" si="79"/>
        <v>Septiembre</v>
      </c>
      <c r="M254" t="s">
        <v>28</v>
      </c>
      <c r="N254" t="str">
        <f t="shared" si="80"/>
        <v>{ nombre: "Tiempo Ordinario, Semana 23 Martes", archivo: "/salterios/src/evan/audios/tos023martes.mp3", fecha: `${year}-09-9` },</v>
      </c>
    </row>
    <row r="255" spans="1:14" x14ac:dyDescent="0.25">
      <c r="A255" t="s">
        <v>0</v>
      </c>
      <c r="B255" t="str">
        <f t="shared" si="88"/>
        <v>ordinario</v>
      </c>
      <c r="C255" t="s">
        <v>2</v>
      </c>
      <c r="D255" s="2">
        <f t="shared" si="96"/>
        <v>23</v>
      </c>
      <c r="E255" t="s">
        <v>5</v>
      </c>
      <c r="F255" t="s">
        <v>17</v>
      </c>
      <c r="G255" s="1" t="str">
        <f t="shared" si="95"/>
        <v>tos023miercoles</v>
      </c>
      <c r="H255" t="s">
        <v>15</v>
      </c>
      <c r="I255">
        <f t="shared" si="85"/>
        <v>9</v>
      </c>
      <c r="J255">
        <f t="shared" ref="J255:J318" si="97">+J254+1</f>
        <v>10</v>
      </c>
      <c r="K255" t="s">
        <v>27</v>
      </c>
      <c r="L255" t="str">
        <f t="shared" si="79"/>
        <v>Septiembre</v>
      </c>
      <c r="M255" t="s">
        <v>28</v>
      </c>
      <c r="N255" t="str">
        <f t="shared" si="80"/>
        <v>{ nombre: "Tiempo Ordinario, Semana 23 Miercoles", archivo: "/salterios/src/evan/audios/tos023miercoles.mp3", fecha: `${year}-09-10` },</v>
      </c>
    </row>
    <row r="256" spans="1:14" x14ac:dyDescent="0.25">
      <c r="A256" t="s">
        <v>0</v>
      </c>
      <c r="B256" t="str">
        <f t="shared" si="88"/>
        <v>ordinario</v>
      </c>
      <c r="C256" t="s">
        <v>2</v>
      </c>
      <c r="D256" s="2">
        <f t="shared" si="96"/>
        <v>23</v>
      </c>
      <c r="E256" t="s">
        <v>6</v>
      </c>
      <c r="F256" t="s">
        <v>17</v>
      </c>
      <c r="G256" s="1" t="str">
        <f t="shared" si="95"/>
        <v>tos023jueves</v>
      </c>
      <c r="H256" t="s">
        <v>15</v>
      </c>
      <c r="I256">
        <f t="shared" si="85"/>
        <v>9</v>
      </c>
      <c r="J256">
        <f t="shared" si="97"/>
        <v>11</v>
      </c>
      <c r="K256" t="s">
        <v>27</v>
      </c>
      <c r="L256" t="str">
        <f t="shared" si="79"/>
        <v>Septiembre</v>
      </c>
      <c r="M256" t="s">
        <v>28</v>
      </c>
      <c r="N256" t="str">
        <f t="shared" si="80"/>
        <v>{ nombre: "Tiempo Ordinario, Semana 23 Jueves", archivo: "/salterios/src/evan/audios/tos023jueves.mp3", fecha: `${year}-09-11` },</v>
      </c>
    </row>
    <row r="257" spans="1:14" x14ac:dyDescent="0.25">
      <c r="A257" t="s">
        <v>0</v>
      </c>
      <c r="B257" t="str">
        <f t="shared" si="88"/>
        <v>ordinario</v>
      </c>
      <c r="C257" t="s">
        <v>2</v>
      </c>
      <c r="D257" s="2">
        <f t="shared" si="96"/>
        <v>23</v>
      </c>
      <c r="E257" t="s">
        <v>7</v>
      </c>
      <c r="F257" t="s">
        <v>17</v>
      </c>
      <c r="G257" s="1" t="str">
        <f t="shared" si="95"/>
        <v>tos023viernes</v>
      </c>
      <c r="H257" t="s">
        <v>15</v>
      </c>
      <c r="I257">
        <f t="shared" si="85"/>
        <v>9</v>
      </c>
      <c r="J257">
        <f t="shared" si="97"/>
        <v>12</v>
      </c>
      <c r="K257" t="s">
        <v>27</v>
      </c>
      <c r="L257" t="str">
        <f t="shared" si="79"/>
        <v>Septiembre</v>
      </c>
      <c r="M257" t="s">
        <v>28</v>
      </c>
      <c r="N257" t="str">
        <f t="shared" si="80"/>
        <v>{ nombre: "Tiempo Ordinario, Semana 23 Viernes", archivo: "/salterios/src/evan/audios/tos023viernes.mp3", fecha: `${year}-09-12` },</v>
      </c>
    </row>
    <row r="258" spans="1:14" x14ac:dyDescent="0.25">
      <c r="A258" t="s">
        <v>0</v>
      </c>
      <c r="B258" t="str">
        <f t="shared" si="88"/>
        <v>ordinario</v>
      </c>
      <c r="C258" t="s">
        <v>2</v>
      </c>
      <c r="D258" s="2">
        <f t="shared" si="96"/>
        <v>23</v>
      </c>
      <c r="E258" t="s">
        <v>8</v>
      </c>
      <c r="F258" t="s">
        <v>17</v>
      </c>
      <c r="G258" s="1" t="str">
        <f t="shared" si="95"/>
        <v>tos023sabado</v>
      </c>
      <c r="H258" t="s">
        <v>15</v>
      </c>
      <c r="I258">
        <f t="shared" si="85"/>
        <v>9</v>
      </c>
      <c r="J258">
        <f t="shared" si="97"/>
        <v>13</v>
      </c>
      <c r="K258" t="s">
        <v>27</v>
      </c>
      <c r="L258" t="str">
        <f t="shared" si="79"/>
        <v>Septiembre</v>
      </c>
      <c r="M258" t="s">
        <v>28</v>
      </c>
      <c r="N258" t="str">
        <f t="shared" si="80"/>
        <v>{ nombre: "Tiempo Ordinario, Semana 23 Sabado", archivo: "/salterios/src/evan/audios/tos023sabado.mp3", fecha: `${year}-09-13` },</v>
      </c>
    </row>
    <row r="259" spans="1:14" x14ac:dyDescent="0.25">
      <c r="A259" t="s">
        <v>0</v>
      </c>
      <c r="B259" t="str">
        <f t="shared" si="88"/>
        <v>ordinario</v>
      </c>
      <c r="C259" t="s">
        <v>2</v>
      </c>
      <c r="D259" s="2">
        <f>+D258+1</f>
        <v>24</v>
      </c>
      <c r="E259" t="s">
        <v>9</v>
      </c>
      <c r="F259" t="s">
        <v>17</v>
      </c>
      <c r="G259" s="1" t="str">
        <f>_xlfn.CONCAT(LEFT(A259,1),LEFT(B259,1),LEFT(C259,1),"0",D259,E259)</f>
        <v>tos024domingo</v>
      </c>
      <c r="H259" t="s">
        <v>15</v>
      </c>
      <c r="I259">
        <f t="shared" si="85"/>
        <v>9</v>
      </c>
      <c r="J259">
        <f t="shared" si="97"/>
        <v>14</v>
      </c>
      <c r="K259" t="s">
        <v>27</v>
      </c>
      <c r="L259" t="str">
        <f t="shared" si="79"/>
        <v>Septiembre</v>
      </c>
      <c r="M259" t="s">
        <v>28</v>
      </c>
      <c r="N259" t="str">
        <f t="shared" si="80"/>
        <v>{ nombre: "Tiempo Ordinario, Semana 24 Domingo", archivo: "/salterios/src/evan/audios/tos024domingo.mp3", fecha: `${year}-09-14` },</v>
      </c>
    </row>
    <row r="260" spans="1:14" x14ac:dyDescent="0.25">
      <c r="A260" t="s">
        <v>0</v>
      </c>
      <c r="B260" t="str">
        <f t="shared" si="88"/>
        <v>ordinario</v>
      </c>
      <c r="C260" t="s">
        <v>2</v>
      </c>
      <c r="D260" s="2">
        <f>D259</f>
        <v>24</v>
      </c>
      <c r="E260" t="s">
        <v>3</v>
      </c>
      <c r="F260" t="s">
        <v>17</v>
      </c>
      <c r="G260" s="1" t="str">
        <f t="shared" ref="G260:G265" si="98">_xlfn.CONCAT(LEFT(A260,1),LEFT(B260,1),LEFT(C260,1),"0",D260,E260)</f>
        <v>tos024lunes</v>
      </c>
      <c r="H260" t="s">
        <v>15</v>
      </c>
      <c r="I260">
        <f t="shared" si="85"/>
        <v>9</v>
      </c>
      <c r="J260">
        <f t="shared" si="97"/>
        <v>15</v>
      </c>
      <c r="K260" t="s">
        <v>27</v>
      </c>
      <c r="L260" t="str">
        <f t="shared" si="79"/>
        <v>Septiembre</v>
      </c>
      <c r="M260" t="s">
        <v>28</v>
      </c>
      <c r="N260" t="str">
        <f t="shared" si="80"/>
        <v>{ nombre: "Tiempo Ordinario, Semana 24 Lunes", archivo: "/salterios/src/evan/audios/tos024lunes.mp3", fecha: `${year}-09-15` },</v>
      </c>
    </row>
    <row r="261" spans="1:14" x14ac:dyDescent="0.25">
      <c r="A261" t="s">
        <v>0</v>
      </c>
      <c r="B261" t="str">
        <f t="shared" si="88"/>
        <v>ordinario</v>
      </c>
      <c r="C261" t="s">
        <v>2</v>
      </c>
      <c r="D261" s="2">
        <f t="shared" ref="D261:D265" si="99">D260</f>
        <v>24</v>
      </c>
      <c r="E261" t="s">
        <v>4</v>
      </c>
      <c r="F261" t="s">
        <v>17</v>
      </c>
      <c r="G261" s="1" t="str">
        <f t="shared" si="98"/>
        <v>tos024martes</v>
      </c>
      <c r="H261" t="s">
        <v>15</v>
      </c>
      <c r="I261">
        <f t="shared" si="85"/>
        <v>9</v>
      </c>
      <c r="J261">
        <f t="shared" si="97"/>
        <v>16</v>
      </c>
      <c r="K261" t="s">
        <v>27</v>
      </c>
      <c r="L261" t="str">
        <f t="shared" si="79"/>
        <v>Septiembre</v>
      </c>
      <c r="M261" t="s">
        <v>28</v>
      </c>
      <c r="N261" t="str">
        <f t="shared" si="80"/>
        <v>{ nombre: "Tiempo Ordinario, Semana 24 Martes", archivo: "/salterios/src/evan/audios/tos024martes.mp3", fecha: `${year}-09-16` },</v>
      </c>
    </row>
    <row r="262" spans="1:14" x14ac:dyDescent="0.25">
      <c r="A262" t="s">
        <v>0</v>
      </c>
      <c r="B262" t="str">
        <f t="shared" si="88"/>
        <v>ordinario</v>
      </c>
      <c r="C262" t="s">
        <v>2</v>
      </c>
      <c r="D262" s="2">
        <f t="shared" si="99"/>
        <v>24</v>
      </c>
      <c r="E262" t="s">
        <v>5</v>
      </c>
      <c r="F262" t="s">
        <v>17</v>
      </c>
      <c r="G262" s="1" t="str">
        <f t="shared" si="98"/>
        <v>tos024miercoles</v>
      </c>
      <c r="H262" t="s">
        <v>15</v>
      </c>
      <c r="I262">
        <f t="shared" si="85"/>
        <v>9</v>
      </c>
      <c r="J262">
        <f t="shared" si="97"/>
        <v>17</v>
      </c>
      <c r="K262" t="s">
        <v>27</v>
      </c>
      <c r="L262" t="str">
        <f t="shared" si="79"/>
        <v>Septiembre</v>
      </c>
      <c r="M262" t="s">
        <v>28</v>
      </c>
      <c r="N262" t="str">
        <f t="shared" si="80"/>
        <v>{ nombre: "Tiempo Ordinario, Semana 24 Miercoles", archivo: "/salterios/src/evan/audios/tos024miercoles.mp3", fecha: `${year}-09-17` },</v>
      </c>
    </row>
    <row r="263" spans="1:14" x14ac:dyDescent="0.25">
      <c r="A263" t="s">
        <v>0</v>
      </c>
      <c r="B263" t="str">
        <f t="shared" si="88"/>
        <v>ordinario</v>
      </c>
      <c r="C263" t="s">
        <v>2</v>
      </c>
      <c r="D263" s="2">
        <f t="shared" si="99"/>
        <v>24</v>
      </c>
      <c r="E263" t="s">
        <v>6</v>
      </c>
      <c r="F263" t="s">
        <v>17</v>
      </c>
      <c r="G263" s="1" t="str">
        <f t="shared" si="98"/>
        <v>tos024jueves</v>
      </c>
      <c r="H263" t="s">
        <v>15</v>
      </c>
      <c r="I263">
        <f t="shared" si="85"/>
        <v>9</v>
      </c>
      <c r="J263">
        <f t="shared" si="97"/>
        <v>18</v>
      </c>
      <c r="K263" t="s">
        <v>27</v>
      </c>
      <c r="L263" t="str">
        <f t="shared" si="79"/>
        <v>Septiembre</v>
      </c>
      <c r="M263" t="s">
        <v>28</v>
      </c>
      <c r="N263" t="str">
        <f t="shared" si="80"/>
        <v>{ nombre: "Tiempo Ordinario, Semana 24 Jueves", archivo: "/salterios/src/evan/audios/tos024jueves.mp3", fecha: `${year}-09-18` },</v>
      </c>
    </row>
    <row r="264" spans="1:14" x14ac:dyDescent="0.25">
      <c r="A264" t="s">
        <v>0</v>
      </c>
      <c r="B264" t="str">
        <f t="shared" si="88"/>
        <v>ordinario</v>
      </c>
      <c r="C264" t="s">
        <v>2</v>
      </c>
      <c r="D264" s="2">
        <f t="shared" si="99"/>
        <v>24</v>
      </c>
      <c r="E264" t="s">
        <v>7</v>
      </c>
      <c r="F264" t="s">
        <v>17</v>
      </c>
      <c r="G264" s="1" t="str">
        <f t="shared" si="98"/>
        <v>tos024viernes</v>
      </c>
      <c r="H264" t="s">
        <v>15</v>
      </c>
      <c r="I264">
        <f t="shared" si="85"/>
        <v>9</v>
      </c>
      <c r="J264">
        <f t="shared" si="97"/>
        <v>19</v>
      </c>
      <c r="K264" t="s">
        <v>27</v>
      </c>
      <c r="L264" t="str">
        <f t="shared" si="79"/>
        <v>Septiembre</v>
      </c>
      <c r="M264" t="s">
        <v>28</v>
      </c>
      <c r="N264" t="str">
        <f t="shared" si="80"/>
        <v>{ nombre: "Tiempo Ordinario, Semana 24 Viernes", archivo: "/salterios/src/evan/audios/tos024viernes.mp3", fecha: `${year}-09-19` },</v>
      </c>
    </row>
    <row r="265" spans="1:14" x14ac:dyDescent="0.25">
      <c r="A265" t="s">
        <v>0</v>
      </c>
      <c r="B265" t="str">
        <f t="shared" si="88"/>
        <v>ordinario</v>
      </c>
      <c r="C265" t="s">
        <v>2</v>
      </c>
      <c r="D265" s="2">
        <f t="shared" si="99"/>
        <v>24</v>
      </c>
      <c r="E265" t="s">
        <v>8</v>
      </c>
      <c r="F265" t="s">
        <v>17</v>
      </c>
      <c r="G265" s="1" t="str">
        <f t="shared" si="98"/>
        <v>tos024sabado</v>
      </c>
      <c r="H265" t="s">
        <v>15</v>
      </c>
      <c r="I265">
        <f t="shared" si="85"/>
        <v>9</v>
      </c>
      <c r="J265">
        <f t="shared" si="97"/>
        <v>20</v>
      </c>
      <c r="K265" t="s">
        <v>27</v>
      </c>
      <c r="L265" t="str">
        <f t="shared" si="79"/>
        <v>Septiembre</v>
      </c>
      <c r="M265" t="s">
        <v>28</v>
      </c>
      <c r="N265" t="str">
        <f t="shared" si="80"/>
        <v>{ nombre: "Tiempo Ordinario, Semana 24 Sabado", archivo: "/salterios/src/evan/audios/tos024sabado.mp3", fecha: `${year}-09-20` },</v>
      </c>
    </row>
    <row r="266" spans="1:14" x14ac:dyDescent="0.25">
      <c r="A266" t="s">
        <v>0</v>
      </c>
      <c r="B266" t="str">
        <f t="shared" si="88"/>
        <v>ordinario</v>
      </c>
      <c r="C266" t="s">
        <v>2</v>
      </c>
      <c r="D266" s="2">
        <f>+D265+1</f>
        <v>25</v>
      </c>
      <c r="E266" t="s">
        <v>9</v>
      </c>
      <c r="F266" t="s">
        <v>17</v>
      </c>
      <c r="G266" s="1" t="str">
        <f>_xlfn.CONCAT(LEFT(A266,1),LEFT(B266,1),LEFT(C266,1),"0",D266,E266)</f>
        <v>tos025domingo</v>
      </c>
      <c r="H266" t="s">
        <v>15</v>
      </c>
      <c r="I266">
        <f t="shared" si="85"/>
        <v>9</v>
      </c>
      <c r="J266">
        <f t="shared" si="97"/>
        <v>21</v>
      </c>
      <c r="K266" t="s">
        <v>27</v>
      </c>
      <c r="L266" t="str">
        <f t="shared" si="79"/>
        <v>Septiembre</v>
      </c>
      <c r="M266" t="s">
        <v>28</v>
      </c>
      <c r="N266" t="str">
        <f t="shared" si="80"/>
        <v>{ nombre: "Tiempo Ordinario, Semana 25 Domingo", archivo: "/salterios/src/evan/audios/tos025domingo.mp3", fecha: `${year}-09-21` },</v>
      </c>
    </row>
    <row r="267" spans="1:14" x14ac:dyDescent="0.25">
      <c r="A267" t="s">
        <v>0</v>
      </c>
      <c r="B267" t="str">
        <f t="shared" si="88"/>
        <v>ordinario</v>
      </c>
      <c r="C267" t="s">
        <v>2</v>
      </c>
      <c r="D267" s="2">
        <f>D266</f>
        <v>25</v>
      </c>
      <c r="E267" t="s">
        <v>3</v>
      </c>
      <c r="F267" t="s">
        <v>17</v>
      </c>
      <c r="G267" s="1" t="str">
        <f t="shared" ref="G267:G272" si="100">_xlfn.CONCAT(LEFT(A267,1),LEFT(B267,1),LEFT(C267,1),"0",D267,E267)</f>
        <v>tos025lunes</v>
      </c>
      <c r="H267" t="s">
        <v>15</v>
      </c>
      <c r="I267">
        <f t="shared" si="85"/>
        <v>9</v>
      </c>
      <c r="J267">
        <f t="shared" si="97"/>
        <v>22</v>
      </c>
      <c r="K267" t="s">
        <v>27</v>
      </c>
      <c r="L267" t="str">
        <f t="shared" si="79"/>
        <v>Septiembre</v>
      </c>
      <c r="M267" t="s">
        <v>28</v>
      </c>
      <c r="N267" t="str">
        <f t="shared" si="80"/>
        <v>{ nombre: "Tiempo Ordinario, Semana 25 Lunes", archivo: "/salterios/src/evan/audios/tos025lunes.mp3", fecha: `${year}-09-22` },</v>
      </c>
    </row>
    <row r="268" spans="1:14" x14ac:dyDescent="0.25">
      <c r="A268" t="s">
        <v>0</v>
      </c>
      <c r="B268" t="str">
        <f t="shared" si="88"/>
        <v>ordinario</v>
      </c>
      <c r="C268" t="s">
        <v>2</v>
      </c>
      <c r="D268" s="2">
        <f t="shared" ref="D268:D272" si="101">D267</f>
        <v>25</v>
      </c>
      <c r="E268" t="s">
        <v>4</v>
      </c>
      <c r="F268" t="s">
        <v>17</v>
      </c>
      <c r="G268" s="1" t="str">
        <f t="shared" si="100"/>
        <v>tos025martes</v>
      </c>
      <c r="H268" t="s">
        <v>15</v>
      </c>
      <c r="I268">
        <f t="shared" si="85"/>
        <v>9</v>
      </c>
      <c r="J268">
        <f t="shared" si="97"/>
        <v>23</v>
      </c>
      <c r="K268" t="s">
        <v>27</v>
      </c>
      <c r="L268" t="str">
        <f t="shared" si="79"/>
        <v>Septiembre</v>
      </c>
      <c r="M268" t="s">
        <v>28</v>
      </c>
      <c r="N268" t="str">
        <f t="shared" si="80"/>
        <v>{ nombre: "Tiempo Ordinario, Semana 25 Martes", archivo: "/salterios/src/evan/audios/tos025martes.mp3", fecha: `${year}-09-23` },</v>
      </c>
    </row>
    <row r="269" spans="1:14" x14ac:dyDescent="0.25">
      <c r="A269" t="s">
        <v>0</v>
      </c>
      <c r="B269" t="str">
        <f t="shared" si="88"/>
        <v>ordinario</v>
      </c>
      <c r="C269" t="s">
        <v>2</v>
      </c>
      <c r="D269" s="2">
        <f t="shared" si="101"/>
        <v>25</v>
      </c>
      <c r="E269" t="s">
        <v>5</v>
      </c>
      <c r="F269" t="s">
        <v>17</v>
      </c>
      <c r="G269" s="1" t="str">
        <f t="shared" si="100"/>
        <v>tos025miercoles</v>
      </c>
      <c r="H269" t="s">
        <v>15</v>
      </c>
      <c r="I269">
        <f t="shared" si="85"/>
        <v>9</v>
      </c>
      <c r="J269">
        <f t="shared" si="97"/>
        <v>24</v>
      </c>
      <c r="K269" t="s">
        <v>27</v>
      </c>
      <c r="L269" t="str">
        <f t="shared" si="79"/>
        <v>Septiembre</v>
      </c>
      <c r="M269" t="s">
        <v>28</v>
      </c>
      <c r="N269" t="str">
        <f t="shared" si="80"/>
        <v>{ nombre: "Tiempo Ordinario, Semana 25 Miercoles", archivo: "/salterios/src/evan/audios/tos025miercoles.mp3", fecha: `${year}-09-24` },</v>
      </c>
    </row>
    <row r="270" spans="1:14" x14ac:dyDescent="0.25">
      <c r="A270" t="s">
        <v>0</v>
      </c>
      <c r="B270" t="str">
        <f t="shared" si="88"/>
        <v>ordinario</v>
      </c>
      <c r="C270" t="s">
        <v>2</v>
      </c>
      <c r="D270" s="2">
        <f t="shared" si="101"/>
        <v>25</v>
      </c>
      <c r="E270" t="s">
        <v>6</v>
      </c>
      <c r="F270" t="s">
        <v>17</v>
      </c>
      <c r="G270" s="1" t="str">
        <f t="shared" si="100"/>
        <v>tos025jueves</v>
      </c>
      <c r="H270" t="s">
        <v>15</v>
      </c>
      <c r="I270">
        <f t="shared" si="85"/>
        <v>9</v>
      </c>
      <c r="J270">
        <f t="shared" si="97"/>
        <v>25</v>
      </c>
      <c r="K270" t="s">
        <v>27</v>
      </c>
      <c r="L270" t="str">
        <f t="shared" ref="L270:L333" si="102">IF(I270=1,"Enero",
IF(I270=2,"Febrero",
IF(I270=3,"Marzo",
IF(I270=4,"Abril",
IF(I270=5,"Mayo",
IF(I270=6,"Junio",
IF(I270=7,"Julio",
IF(I270=8,"Agosto",
IF(I270=9,"Septiembre",
IF(I270=10,"Octubre",
IF(I270=11,"Noviembre",
IF(I270=12,"Diciembre",""))))))))))))</f>
        <v>Septiembre</v>
      </c>
      <c r="M270" t="s">
        <v>28</v>
      </c>
      <c r="N270" t="str">
        <f t="shared" si="80"/>
        <v>{ nombre: "Tiempo Ordinario, Semana 25 Jueves", archivo: "/salterios/src/evan/audios/tos025jueves.mp3", fecha: `${year}-09-25` },</v>
      </c>
    </row>
    <row r="271" spans="1:14" x14ac:dyDescent="0.25">
      <c r="A271" t="s">
        <v>0</v>
      </c>
      <c r="B271" t="str">
        <f t="shared" si="88"/>
        <v>ordinario</v>
      </c>
      <c r="C271" t="s">
        <v>2</v>
      </c>
      <c r="D271" s="2">
        <f t="shared" si="101"/>
        <v>25</v>
      </c>
      <c r="E271" t="s">
        <v>7</v>
      </c>
      <c r="F271" t="s">
        <v>17</v>
      </c>
      <c r="G271" s="1" t="str">
        <f t="shared" si="100"/>
        <v>tos025viernes</v>
      </c>
      <c r="H271" t="s">
        <v>15</v>
      </c>
      <c r="I271">
        <f t="shared" si="85"/>
        <v>9</v>
      </c>
      <c r="J271">
        <f t="shared" si="97"/>
        <v>26</v>
      </c>
      <c r="K271" t="s">
        <v>27</v>
      </c>
      <c r="L271" t="str">
        <f t="shared" si="102"/>
        <v>Septiembre</v>
      </c>
      <c r="M271" t="s">
        <v>28</v>
      </c>
      <c r="N271" t="str">
        <f t="shared" si="80"/>
        <v>{ nombre: "Tiempo Ordinario, Semana 25 Viernes", archivo: "/salterios/src/evan/audios/tos025viernes.mp3", fecha: `${year}-09-26` },</v>
      </c>
    </row>
    <row r="272" spans="1:14" x14ac:dyDescent="0.25">
      <c r="A272" t="s">
        <v>0</v>
      </c>
      <c r="B272" t="str">
        <f t="shared" si="88"/>
        <v>ordinario</v>
      </c>
      <c r="C272" t="s">
        <v>2</v>
      </c>
      <c r="D272" s="2">
        <f t="shared" si="101"/>
        <v>25</v>
      </c>
      <c r="E272" t="s">
        <v>8</v>
      </c>
      <c r="F272" t="s">
        <v>17</v>
      </c>
      <c r="G272" s="1" t="str">
        <f t="shared" si="100"/>
        <v>tos025sabado</v>
      </c>
      <c r="H272" t="s">
        <v>15</v>
      </c>
      <c r="I272">
        <f t="shared" si="85"/>
        <v>9</v>
      </c>
      <c r="J272">
        <f t="shared" si="97"/>
        <v>27</v>
      </c>
      <c r="K272" t="s">
        <v>27</v>
      </c>
      <c r="L272" t="str">
        <f t="shared" si="102"/>
        <v>Septiembre</v>
      </c>
      <c r="M272" t="s">
        <v>28</v>
      </c>
      <c r="N272" t="str">
        <f t="shared" ref="N272:N335" si="103">_xlfn.CONCAT("{ nombre: ",H272,PROPER(A272)," ",PROPER(B272),", ",PROPER(C272)," ",D272," ",PROPER(E272),""",",F272,G272,".mp3",H272,", fecha: `${year}-",0,I272,"-",J272,"` },")</f>
        <v>{ nombre: "Tiempo Ordinario, Semana 25 Sabado", archivo: "/salterios/src/evan/audios/tos025sabado.mp3", fecha: `${year}-09-27` },</v>
      </c>
    </row>
    <row r="273" spans="1:14" x14ac:dyDescent="0.25">
      <c r="A273" t="s">
        <v>0</v>
      </c>
      <c r="B273" t="str">
        <f t="shared" si="88"/>
        <v>ordinario</v>
      </c>
      <c r="C273" t="s">
        <v>2</v>
      </c>
      <c r="D273" s="2">
        <f>+D272+1</f>
        <v>26</v>
      </c>
      <c r="E273" t="s">
        <v>9</v>
      </c>
      <c r="F273" t="s">
        <v>17</v>
      </c>
      <c r="G273" s="1" t="str">
        <f>_xlfn.CONCAT(LEFT(A273,1),LEFT(B273,1),LEFT(C273,1),"0",D273,E273)</f>
        <v>tos026domingo</v>
      </c>
      <c r="H273" t="s">
        <v>15</v>
      </c>
      <c r="I273">
        <f t="shared" si="85"/>
        <v>9</v>
      </c>
      <c r="J273">
        <f t="shared" si="97"/>
        <v>28</v>
      </c>
      <c r="K273" t="s">
        <v>27</v>
      </c>
      <c r="L273" t="str">
        <f t="shared" si="102"/>
        <v>Septiembre</v>
      </c>
      <c r="M273" t="s">
        <v>28</v>
      </c>
      <c r="N273" t="str">
        <f t="shared" si="103"/>
        <v>{ nombre: "Tiempo Ordinario, Semana 26 Domingo", archivo: "/salterios/src/evan/audios/tos026domingo.mp3", fecha: `${year}-09-28` },</v>
      </c>
    </row>
    <row r="274" spans="1:14" x14ac:dyDescent="0.25">
      <c r="A274" t="s">
        <v>0</v>
      </c>
      <c r="B274" t="str">
        <f t="shared" si="88"/>
        <v>ordinario</v>
      </c>
      <c r="C274" t="s">
        <v>2</v>
      </c>
      <c r="D274" s="2">
        <f>D273</f>
        <v>26</v>
      </c>
      <c r="E274" t="s">
        <v>3</v>
      </c>
      <c r="F274" t="s">
        <v>17</v>
      </c>
      <c r="G274" s="1" t="str">
        <f t="shared" ref="G274:G279" si="104">_xlfn.CONCAT(LEFT(A274,1),LEFT(B274,1),LEFT(C274,1),"0",D274,E274)</f>
        <v>tos026lunes</v>
      </c>
      <c r="H274" t="s">
        <v>15</v>
      </c>
      <c r="I274">
        <f t="shared" si="85"/>
        <v>9</v>
      </c>
      <c r="J274">
        <f t="shared" si="97"/>
        <v>29</v>
      </c>
      <c r="K274" t="s">
        <v>27</v>
      </c>
      <c r="L274" t="str">
        <f t="shared" si="102"/>
        <v>Septiembre</v>
      </c>
      <c r="M274" t="s">
        <v>28</v>
      </c>
      <c r="N274" t="str">
        <f t="shared" si="103"/>
        <v>{ nombre: "Tiempo Ordinario, Semana 26 Lunes", archivo: "/salterios/src/evan/audios/tos026lunes.mp3", fecha: `${year}-09-29` },</v>
      </c>
    </row>
    <row r="275" spans="1:14" x14ac:dyDescent="0.25">
      <c r="A275" t="s">
        <v>0</v>
      </c>
      <c r="B275" t="str">
        <f t="shared" si="88"/>
        <v>ordinario</v>
      </c>
      <c r="C275" t="s">
        <v>2</v>
      </c>
      <c r="D275" s="2">
        <f t="shared" ref="D275:D279" si="105">D274</f>
        <v>26</v>
      </c>
      <c r="E275" t="s">
        <v>4</v>
      </c>
      <c r="F275" t="s">
        <v>17</v>
      </c>
      <c r="G275" s="1" t="str">
        <f t="shared" si="104"/>
        <v>tos026martes</v>
      </c>
      <c r="H275" t="s">
        <v>15</v>
      </c>
      <c r="I275">
        <f t="shared" si="85"/>
        <v>9</v>
      </c>
      <c r="J275">
        <f t="shared" si="97"/>
        <v>30</v>
      </c>
      <c r="K275" t="s">
        <v>27</v>
      </c>
      <c r="L275" t="str">
        <f t="shared" si="102"/>
        <v>Septiembre</v>
      </c>
      <c r="M275" t="s">
        <v>28</v>
      </c>
      <c r="N275" t="str">
        <f t="shared" si="103"/>
        <v>{ nombre: "Tiempo Ordinario, Semana 26 Martes", archivo: "/salterios/src/evan/audios/tos026martes.mp3", fecha: `${year}-09-30` },</v>
      </c>
    </row>
    <row r="276" spans="1:14" x14ac:dyDescent="0.25">
      <c r="A276" t="s">
        <v>0</v>
      </c>
      <c r="B276" t="str">
        <f t="shared" si="88"/>
        <v>ordinario</v>
      </c>
      <c r="C276" t="s">
        <v>2</v>
      </c>
      <c r="D276" s="2">
        <f t="shared" si="105"/>
        <v>26</v>
      </c>
      <c r="E276" t="s">
        <v>5</v>
      </c>
      <c r="F276" t="s">
        <v>17</v>
      </c>
      <c r="G276" s="1" t="str">
        <f t="shared" si="104"/>
        <v>tos026miercoles</v>
      </c>
      <c r="H276" t="s">
        <v>15</v>
      </c>
      <c r="I276">
        <v>10</v>
      </c>
      <c r="J276">
        <v>1</v>
      </c>
      <c r="K276" t="s">
        <v>27</v>
      </c>
      <c r="L276" t="str">
        <f t="shared" si="102"/>
        <v>Octubre</v>
      </c>
      <c r="M276" t="s">
        <v>28</v>
      </c>
      <c r="N276" t="str">
        <f t="shared" si="103"/>
        <v>{ nombre: "Tiempo Ordinario, Semana 26 Miercoles", archivo: "/salterios/src/evan/audios/tos026miercoles.mp3", fecha: `${year}-010-1` },</v>
      </c>
    </row>
    <row r="277" spans="1:14" x14ac:dyDescent="0.25">
      <c r="A277" t="s">
        <v>0</v>
      </c>
      <c r="B277" t="str">
        <f t="shared" si="88"/>
        <v>ordinario</v>
      </c>
      <c r="C277" t="s">
        <v>2</v>
      </c>
      <c r="D277" s="2">
        <f t="shared" si="105"/>
        <v>26</v>
      </c>
      <c r="E277" t="s">
        <v>6</v>
      </c>
      <c r="F277" t="s">
        <v>17</v>
      </c>
      <c r="G277" s="1" t="str">
        <f t="shared" si="104"/>
        <v>tos026jueves</v>
      </c>
      <c r="H277" t="s">
        <v>15</v>
      </c>
      <c r="I277">
        <f t="shared" si="85"/>
        <v>10</v>
      </c>
      <c r="J277">
        <f t="shared" si="97"/>
        <v>2</v>
      </c>
      <c r="K277" t="s">
        <v>27</v>
      </c>
      <c r="L277" t="str">
        <f t="shared" si="102"/>
        <v>Octubre</v>
      </c>
      <c r="M277" t="s">
        <v>28</v>
      </c>
      <c r="N277" t="str">
        <f t="shared" si="103"/>
        <v>{ nombre: "Tiempo Ordinario, Semana 26 Jueves", archivo: "/salterios/src/evan/audios/tos026jueves.mp3", fecha: `${year}-010-2` },</v>
      </c>
    </row>
    <row r="278" spans="1:14" x14ac:dyDescent="0.25">
      <c r="A278" t="s">
        <v>0</v>
      </c>
      <c r="B278" t="str">
        <f t="shared" si="88"/>
        <v>ordinario</v>
      </c>
      <c r="C278" t="s">
        <v>2</v>
      </c>
      <c r="D278" s="2">
        <f t="shared" si="105"/>
        <v>26</v>
      </c>
      <c r="E278" t="s">
        <v>7</v>
      </c>
      <c r="F278" t="s">
        <v>17</v>
      </c>
      <c r="G278" s="1" t="str">
        <f t="shared" si="104"/>
        <v>tos026viernes</v>
      </c>
      <c r="H278" t="s">
        <v>15</v>
      </c>
      <c r="I278">
        <f t="shared" si="85"/>
        <v>10</v>
      </c>
      <c r="J278">
        <f t="shared" si="97"/>
        <v>3</v>
      </c>
      <c r="K278" t="s">
        <v>27</v>
      </c>
      <c r="L278" t="str">
        <f t="shared" si="102"/>
        <v>Octubre</v>
      </c>
      <c r="M278" t="s">
        <v>28</v>
      </c>
      <c r="N278" t="str">
        <f t="shared" si="103"/>
        <v>{ nombre: "Tiempo Ordinario, Semana 26 Viernes", archivo: "/salterios/src/evan/audios/tos026viernes.mp3", fecha: `${year}-010-3` },</v>
      </c>
    </row>
    <row r="279" spans="1:14" x14ac:dyDescent="0.25">
      <c r="A279" t="s">
        <v>0</v>
      </c>
      <c r="B279" t="str">
        <f t="shared" si="88"/>
        <v>ordinario</v>
      </c>
      <c r="C279" t="s">
        <v>2</v>
      </c>
      <c r="D279" s="2">
        <f t="shared" si="105"/>
        <v>26</v>
      </c>
      <c r="E279" t="s">
        <v>8</v>
      </c>
      <c r="F279" t="s">
        <v>17</v>
      </c>
      <c r="G279" s="1" t="str">
        <f t="shared" si="104"/>
        <v>tos026sabado</v>
      </c>
      <c r="H279" t="s">
        <v>15</v>
      </c>
      <c r="I279">
        <f t="shared" si="85"/>
        <v>10</v>
      </c>
      <c r="J279">
        <f t="shared" si="97"/>
        <v>4</v>
      </c>
      <c r="K279" t="s">
        <v>27</v>
      </c>
      <c r="L279" t="str">
        <f t="shared" si="102"/>
        <v>Octubre</v>
      </c>
      <c r="M279" t="s">
        <v>28</v>
      </c>
      <c r="N279" t="str">
        <f t="shared" si="103"/>
        <v>{ nombre: "Tiempo Ordinario, Semana 26 Sabado", archivo: "/salterios/src/evan/audios/tos026sabado.mp3", fecha: `${year}-010-4` },</v>
      </c>
    </row>
    <row r="280" spans="1:14" x14ac:dyDescent="0.25">
      <c r="A280" t="s">
        <v>0</v>
      </c>
      <c r="B280" t="str">
        <f t="shared" si="88"/>
        <v>ordinario</v>
      </c>
      <c r="C280" t="s">
        <v>2</v>
      </c>
      <c r="D280" s="2">
        <f>+D279+1</f>
        <v>27</v>
      </c>
      <c r="E280" t="s">
        <v>9</v>
      </c>
      <c r="F280" t="s">
        <v>17</v>
      </c>
      <c r="G280" s="1" t="str">
        <f>_xlfn.CONCAT(LEFT(A280,1),LEFT(B280,1),LEFT(C280,1),"0",D280,E280)</f>
        <v>tos027domingo</v>
      </c>
      <c r="H280" t="s">
        <v>15</v>
      </c>
      <c r="I280">
        <f t="shared" si="85"/>
        <v>10</v>
      </c>
      <c r="J280">
        <f t="shared" si="97"/>
        <v>5</v>
      </c>
      <c r="K280" t="s">
        <v>27</v>
      </c>
      <c r="L280" t="str">
        <f t="shared" si="102"/>
        <v>Octubre</v>
      </c>
      <c r="M280" t="s">
        <v>28</v>
      </c>
      <c r="N280" t="str">
        <f t="shared" si="103"/>
        <v>{ nombre: "Tiempo Ordinario, Semana 27 Domingo", archivo: "/salterios/src/evan/audios/tos027domingo.mp3", fecha: `${year}-010-5` },</v>
      </c>
    </row>
    <row r="281" spans="1:14" x14ac:dyDescent="0.25">
      <c r="A281" t="s">
        <v>0</v>
      </c>
      <c r="B281" t="str">
        <f t="shared" si="88"/>
        <v>ordinario</v>
      </c>
      <c r="C281" t="s">
        <v>2</v>
      </c>
      <c r="D281" s="2">
        <f>D280</f>
        <v>27</v>
      </c>
      <c r="E281" t="s">
        <v>3</v>
      </c>
      <c r="F281" t="s">
        <v>17</v>
      </c>
      <c r="G281" s="1" t="str">
        <f t="shared" ref="G281:G286" si="106">_xlfn.CONCAT(LEFT(A281,1),LEFT(B281,1),LEFT(C281,1),"0",D281,E281)</f>
        <v>tos027lunes</v>
      </c>
      <c r="H281" t="s">
        <v>15</v>
      </c>
      <c r="I281">
        <f t="shared" si="85"/>
        <v>10</v>
      </c>
      <c r="J281">
        <f t="shared" si="97"/>
        <v>6</v>
      </c>
      <c r="K281" t="s">
        <v>27</v>
      </c>
      <c r="L281" t="str">
        <f t="shared" si="102"/>
        <v>Octubre</v>
      </c>
      <c r="M281" t="s">
        <v>28</v>
      </c>
      <c r="N281" t="str">
        <f t="shared" si="103"/>
        <v>{ nombre: "Tiempo Ordinario, Semana 27 Lunes", archivo: "/salterios/src/evan/audios/tos027lunes.mp3", fecha: `${year}-010-6` },</v>
      </c>
    </row>
    <row r="282" spans="1:14" x14ac:dyDescent="0.25">
      <c r="A282" t="s">
        <v>0</v>
      </c>
      <c r="B282" t="str">
        <f t="shared" si="88"/>
        <v>ordinario</v>
      </c>
      <c r="C282" t="s">
        <v>2</v>
      </c>
      <c r="D282" s="2">
        <f t="shared" ref="D282:D286" si="107">D281</f>
        <v>27</v>
      </c>
      <c r="E282" t="s">
        <v>4</v>
      </c>
      <c r="F282" t="s">
        <v>17</v>
      </c>
      <c r="G282" s="1" t="str">
        <f t="shared" si="106"/>
        <v>tos027martes</v>
      </c>
      <c r="H282" t="s">
        <v>15</v>
      </c>
      <c r="I282">
        <f t="shared" si="85"/>
        <v>10</v>
      </c>
      <c r="J282">
        <f t="shared" si="97"/>
        <v>7</v>
      </c>
      <c r="K282" t="s">
        <v>27</v>
      </c>
      <c r="L282" t="str">
        <f t="shared" si="102"/>
        <v>Octubre</v>
      </c>
      <c r="M282" t="s">
        <v>28</v>
      </c>
      <c r="N282" t="str">
        <f t="shared" si="103"/>
        <v>{ nombre: "Tiempo Ordinario, Semana 27 Martes", archivo: "/salterios/src/evan/audios/tos027martes.mp3", fecha: `${year}-010-7` },</v>
      </c>
    </row>
    <row r="283" spans="1:14" x14ac:dyDescent="0.25">
      <c r="A283" t="s">
        <v>0</v>
      </c>
      <c r="B283" t="str">
        <f t="shared" si="88"/>
        <v>ordinario</v>
      </c>
      <c r="C283" t="s">
        <v>2</v>
      </c>
      <c r="D283" s="2">
        <f t="shared" si="107"/>
        <v>27</v>
      </c>
      <c r="E283" t="s">
        <v>5</v>
      </c>
      <c r="F283" t="s">
        <v>17</v>
      </c>
      <c r="G283" s="1" t="str">
        <f t="shared" si="106"/>
        <v>tos027miercoles</v>
      </c>
      <c r="H283" t="s">
        <v>15</v>
      </c>
      <c r="I283">
        <f t="shared" si="85"/>
        <v>10</v>
      </c>
      <c r="J283">
        <f t="shared" si="97"/>
        <v>8</v>
      </c>
      <c r="K283" t="s">
        <v>27</v>
      </c>
      <c r="L283" t="str">
        <f t="shared" si="102"/>
        <v>Octubre</v>
      </c>
      <c r="M283" t="s">
        <v>28</v>
      </c>
      <c r="N283" t="str">
        <f t="shared" si="103"/>
        <v>{ nombre: "Tiempo Ordinario, Semana 27 Miercoles", archivo: "/salterios/src/evan/audios/tos027miercoles.mp3", fecha: `${year}-010-8` },</v>
      </c>
    </row>
    <row r="284" spans="1:14" x14ac:dyDescent="0.25">
      <c r="A284" t="s">
        <v>0</v>
      </c>
      <c r="B284" t="str">
        <f t="shared" si="88"/>
        <v>ordinario</v>
      </c>
      <c r="C284" t="s">
        <v>2</v>
      </c>
      <c r="D284" s="2">
        <f t="shared" si="107"/>
        <v>27</v>
      </c>
      <c r="E284" t="s">
        <v>6</v>
      </c>
      <c r="F284" t="s">
        <v>17</v>
      </c>
      <c r="G284" s="1" t="str">
        <f t="shared" si="106"/>
        <v>tos027jueves</v>
      </c>
      <c r="H284" t="s">
        <v>15</v>
      </c>
      <c r="I284">
        <f t="shared" si="85"/>
        <v>10</v>
      </c>
      <c r="J284">
        <f t="shared" si="97"/>
        <v>9</v>
      </c>
      <c r="K284" t="s">
        <v>27</v>
      </c>
      <c r="L284" t="str">
        <f t="shared" si="102"/>
        <v>Octubre</v>
      </c>
      <c r="M284" t="s">
        <v>28</v>
      </c>
      <c r="N284" t="str">
        <f t="shared" si="103"/>
        <v>{ nombre: "Tiempo Ordinario, Semana 27 Jueves", archivo: "/salterios/src/evan/audios/tos027jueves.mp3", fecha: `${year}-010-9` },</v>
      </c>
    </row>
    <row r="285" spans="1:14" x14ac:dyDescent="0.25">
      <c r="A285" t="s">
        <v>0</v>
      </c>
      <c r="B285" t="str">
        <f t="shared" si="88"/>
        <v>ordinario</v>
      </c>
      <c r="C285" t="s">
        <v>2</v>
      </c>
      <c r="D285" s="2">
        <f t="shared" si="107"/>
        <v>27</v>
      </c>
      <c r="E285" t="s">
        <v>7</v>
      </c>
      <c r="F285" t="s">
        <v>17</v>
      </c>
      <c r="G285" s="1" t="str">
        <f t="shared" si="106"/>
        <v>tos027viernes</v>
      </c>
      <c r="H285" t="s">
        <v>15</v>
      </c>
      <c r="I285">
        <f t="shared" si="85"/>
        <v>10</v>
      </c>
      <c r="J285">
        <f t="shared" si="97"/>
        <v>10</v>
      </c>
      <c r="K285" t="s">
        <v>27</v>
      </c>
      <c r="L285" t="str">
        <f t="shared" si="102"/>
        <v>Octubre</v>
      </c>
      <c r="M285" t="s">
        <v>28</v>
      </c>
      <c r="N285" t="str">
        <f t="shared" si="103"/>
        <v>{ nombre: "Tiempo Ordinario, Semana 27 Viernes", archivo: "/salterios/src/evan/audios/tos027viernes.mp3", fecha: `${year}-010-10` },</v>
      </c>
    </row>
    <row r="286" spans="1:14" x14ac:dyDescent="0.25">
      <c r="A286" t="s">
        <v>0</v>
      </c>
      <c r="B286" t="str">
        <f t="shared" si="88"/>
        <v>ordinario</v>
      </c>
      <c r="C286" t="s">
        <v>2</v>
      </c>
      <c r="D286" s="2">
        <f t="shared" si="107"/>
        <v>27</v>
      </c>
      <c r="E286" t="s">
        <v>8</v>
      </c>
      <c r="F286" t="s">
        <v>17</v>
      </c>
      <c r="G286" s="1" t="str">
        <f t="shared" si="106"/>
        <v>tos027sabado</v>
      </c>
      <c r="H286" t="s">
        <v>15</v>
      </c>
      <c r="I286">
        <f t="shared" si="85"/>
        <v>10</v>
      </c>
      <c r="J286">
        <f t="shared" si="97"/>
        <v>11</v>
      </c>
      <c r="K286" t="s">
        <v>27</v>
      </c>
      <c r="L286" t="str">
        <f t="shared" si="102"/>
        <v>Octubre</v>
      </c>
      <c r="M286" t="s">
        <v>28</v>
      </c>
      <c r="N286" t="str">
        <f t="shared" si="103"/>
        <v>{ nombre: "Tiempo Ordinario, Semana 27 Sabado", archivo: "/salterios/src/evan/audios/tos027sabado.mp3", fecha: `${year}-010-11` },</v>
      </c>
    </row>
    <row r="287" spans="1:14" x14ac:dyDescent="0.25">
      <c r="A287" t="s">
        <v>0</v>
      </c>
      <c r="B287" t="str">
        <f t="shared" si="88"/>
        <v>ordinario</v>
      </c>
      <c r="C287" t="s">
        <v>2</v>
      </c>
      <c r="D287" s="2">
        <f>+D286+1</f>
        <v>28</v>
      </c>
      <c r="E287" t="s">
        <v>9</v>
      </c>
      <c r="F287" t="s">
        <v>17</v>
      </c>
      <c r="G287" s="1" t="str">
        <f>_xlfn.CONCAT(LEFT(A287,1),LEFT(B287,1),LEFT(C287,1),"0",D287,E287)</f>
        <v>tos028domingo</v>
      </c>
      <c r="H287" t="s">
        <v>15</v>
      </c>
      <c r="I287">
        <f t="shared" ref="I287:I350" si="108">I286</f>
        <v>10</v>
      </c>
      <c r="J287">
        <f t="shared" si="97"/>
        <v>12</v>
      </c>
      <c r="K287" t="s">
        <v>27</v>
      </c>
      <c r="L287" t="str">
        <f t="shared" si="102"/>
        <v>Octubre</v>
      </c>
      <c r="M287" t="s">
        <v>28</v>
      </c>
      <c r="N287" t="str">
        <f t="shared" si="103"/>
        <v>{ nombre: "Tiempo Ordinario, Semana 28 Domingo", archivo: "/salterios/src/evan/audios/tos028domingo.mp3", fecha: `${year}-010-12` },</v>
      </c>
    </row>
    <row r="288" spans="1:14" x14ac:dyDescent="0.25">
      <c r="A288" t="s">
        <v>0</v>
      </c>
      <c r="B288" t="str">
        <f t="shared" si="88"/>
        <v>ordinario</v>
      </c>
      <c r="C288" t="s">
        <v>2</v>
      </c>
      <c r="D288" s="2">
        <f>D287</f>
        <v>28</v>
      </c>
      <c r="E288" t="s">
        <v>3</v>
      </c>
      <c r="F288" t="s">
        <v>17</v>
      </c>
      <c r="G288" s="1" t="str">
        <f t="shared" ref="G288:G293" si="109">_xlfn.CONCAT(LEFT(A288,1),LEFT(B288,1),LEFT(C288,1),"0",D288,E288)</f>
        <v>tos028lunes</v>
      </c>
      <c r="H288" t="s">
        <v>15</v>
      </c>
      <c r="I288">
        <f t="shared" si="108"/>
        <v>10</v>
      </c>
      <c r="J288">
        <f t="shared" si="97"/>
        <v>13</v>
      </c>
      <c r="K288" t="s">
        <v>27</v>
      </c>
      <c r="L288" t="str">
        <f t="shared" si="102"/>
        <v>Octubre</v>
      </c>
      <c r="M288" t="s">
        <v>28</v>
      </c>
      <c r="N288" t="str">
        <f t="shared" si="103"/>
        <v>{ nombre: "Tiempo Ordinario, Semana 28 Lunes", archivo: "/salterios/src/evan/audios/tos028lunes.mp3", fecha: `${year}-010-13` },</v>
      </c>
    </row>
    <row r="289" spans="1:14" x14ac:dyDescent="0.25">
      <c r="A289" t="s">
        <v>0</v>
      </c>
      <c r="B289" t="str">
        <f t="shared" si="88"/>
        <v>ordinario</v>
      </c>
      <c r="C289" t="s">
        <v>2</v>
      </c>
      <c r="D289" s="2">
        <f t="shared" ref="D289:D293" si="110">D288</f>
        <v>28</v>
      </c>
      <c r="E289" t="s">
        <v>4</v>
      </c>
      <c r="F289" t="s">
        <v>17</v>
      </c>
      <c r="G289" s="1" t="str">
        <f t="shared" si="109"/>
        <v>tos028martes</v>
      </c>
      <c r="H289" t="s">
        <v>15</v>
      </c>
      <c r="I289">
        <f t="shared" si="108"/>
        <v>10</v>
      </c>
      <c r="J289">
        <f t="shared" si="97"/>
        <v>14</v>
      </c>
      <c r="K289" t="s">
        <v>27</v>
      </c>
      <c r="L289" t="str">
        <f t="shared" si="102"/>
        <v>Octubre</v>
      </c>
      <c r="M289" t="s">
        <v>28</v>
      </c>
      <c r="N289" t="str">
        <f t="shared" si="103"/>
        <v>{ nombre: "Tiempo Ordinario, Semana 28 Martes", archivo: "/salterios/src/evan/audios/tos028martes.mp3", fecha: `${year}-010-14` },</v>
      </c>
    </row>
    <row r="290" spans="1:14" x14ac:dyDescent="0.25">
      <c r="A290" t="s">
        <v>0</v>
      </c>
      <c r="B290" t="str">
        <f t="shared" si="88"/>
        <v>ordinario</v>
      </c>
      <c r="C290" t="s">
        <v>2</v>
      </c>
      <c r="D290" s="2">
        <f t="shared" si="110"/>
        <v>28</v>
      </c>
      <c r="E290" t="s">
        <v>5</v>
      </c>
      <c r="F290" t="s">
        <v>17</v>
      </c>
      <c r="G290" s="1" t="str">
        <f t="shared" si="109"/>
        <v>tos028miercoles</v>
      </c>
      <c r="H290" t="s">
        <v>15</v>
      </c>
      <c r="I290">
        <f t="shared" si="108"/>
        <v>10</v>
      </c>
      <c r="J290">
        <f t="shared" si="97"/>
        <v>15</v>
      </c>
      <c r="K290" t="s">
        <v>27</v>
      </c>
      <c r="L290" t="str">
        <f t="shared" si="102"/>
        <v>Octubre</v>
      </c>
      <c r="M290" t="s">
        <v>28</v>
      </c>
      <c r="N290" t="str">
        <f t="shared" si="103"/>
        <v>{ nombre: "Tiempo Ordinario, Semana 28 Miercoles", archivo: "/salterios/src/evan/audios/tos028miercoles.mp3", fecha: `${year}-010-15` },</v>
      </c>
    </row>
    <row r="291" spans="1:14" x14ac:dyDescent="0.25">
      <c r="A291" t="s">
        <v>0</v>
      </c>
      <c r="B291" t="str">
        <f t="shared" si="88"/>
        <v>ordinario</v>
      </c>
      <c r="C291" t="s">
        <v>2</v>
      </c>
      <c r="D291" s="2">
        <f t="shared" si="110"/>
        <v>28</v>
      </c>
      <c r="E291" t="s">
        <v>6</v>
      </c>
      <c r="F291" t="s">
        <v>17</v>
      </c>
      <c r="G291" s="1" t="str">
        <f t="shared" si="109"/>
        <v>tos028jueves</v>
      </c>
      <c r="H291" t="s">
        <v>15</v>
      </c>
      <c r="I291">
        <f t="shared" si="108"/>
        <v>10</v>
      </c>
      <c r="J291">
        <f t="shared" si="97"/>
        <v>16</v>
      </c>
      <c r="K291" t="s">
        <v>27</v>
      </c>
      <c r="L291" t="str">
        <f t="shared" si="102"/>
        <v>Octubre</v>
      </c>
      <c r="M291" t="s">
        <v>28</v>
      </c>
      <c r="N291" t="str">
        <f t="shared" si="103"/>
        <v>{ nombre: "Tiempo Ordinario, Semana 28 Jueves", archivo: "/salterios/src/evan/audios/tos028jueves.mp3", fecha: `${year}-010-16` },</v>
      </c>
    </row>
    <row r="292" spans="1:14" x14ac:dyDescent="0.25">
      <c r="A292" t="s">
        <v>0</v>
      </c>
      <c r="B292" t="str">
        <f t="shared" si="88"/>
        <v>ordinario</v>
      </c>
      <c r="C292" t="s">
        <v>2</v>
      </c>
      <c r="D292" s="2">
        <f t="shared" si="110"/>
        <v>28</v>
      </c>
      <c r="E292" t="s">
        <v>7</v>
      </c>
      <c r="F292" t="s">
        <v>17</v>
      </c>
      <c r="G292" s="1" t="str">
        <f t="shared" si="109"/>
        <v>tos028viernes</v>
      </c>
      <c r="H292" t="s">
        <v>15</v>
      </c>
      <c r="I292">
        <f t="shared" si="108"/>
        <v>10</v>
      </c>
      <c r="J292">
        <f t="shared" si="97"/>
        <v>17</v>
      </c>
      <c r="K292" t="s">
        <v>27</v>
      </c>
      <c r="L292" t="str">
        <f t="shared" si="102"/>
        <v>Octubre</v>
      </c>
      <c r="M292" t="s">
        <v>28</v>
      </c>
      <c r="N292" t="str">
        <f t="shared" si="103"/>
        <v>{ nombre: "Tiempo Ordinario, Semana 28 Viernes", archivo: "/salterios/src/evan/audios/tos028viernes.mp3", fecha: `${year}-010-17` },</v>
      </c>
    </row>
    <row r="293" spans="1:14" x14ac:dyDescent="0.25">
      <c r="A293" t="s">
        <v>0</v>
      </c>
      <c r="B293" t="str">
        <f t="shared" ref="B293:B335" si="111">B292</f>
        <v>ordinario</v>
      </c>
      <c r="C293" t="s">
        <v>2</v>
      </c>
      <c r="D293" s="2">
        <f t="shared" si="110"/>
        <v>28</v>
      </c>
      <c r="E293" t="s">
        <v>8</v>
      </c>
      <c r="F293" t="s">
        <v>17</v>
      </c>
      <c r="G293" s="1" t="str">
        <f t="shared" si="109"/>
        <v>tos028sabado</v>
      </c>
      <c r="H293" t="s">
        <v>15</v>
      </c>
      <c r="I293">
        <f t="shared" si="108"/>
        <v>10</v>
      </c>
      <c r="J293">
        <f t="shared" si="97"/>
        <v>18</v>
      </c>
      <c r="K293" t="s">
        <v>27</v>
      </c>
      <c r="L293" t="str">
        <f t="shared" si="102"/>
        <v>Octubre</v>
      </c>
      <c r="M293" t="s">
        <v>28</v>
      </c>
      <c r="N293" t="str">
        <f t="shared" si="103"/>
        <v>{ nombre: "Tiempo Ordinario, Semana 28 Sabado", archivo: "/salterios/src/evan/audios/tos028sabado.mp3", fecha: `${year}-010-18` },</v>
      </c>
    </row>
    <row r="294" spans="1:14" x14ac:dyDescent="0.25">
      <c r="A294" t="s">
        <v>0</v>
      </c>
      <c r="B294" t="str">
        <f t="shared" si="111"/>
        <v>ordinario</v>
      </c>
      <c r="C294" t="s">
        <v>2</v>
      </c>
      <c r="D294" s="2">
        <f>+D293+1</f>
        <v>29</v>
      </c>
      <c r="E294" t="s">
        <v>9</v>
      </c>
      <c r="F294" t="s">
        <v>17</v>
      </c>
      <c r="G294" s="1" t="str">
        <f>_xlfn.CONCAT(LEFT(A294,1),LEFT(B294,1),LEFT(C294,1),"0",D294,E294)</f>
        <v>tos029domingo</v>
      </c>
      <c r="H294" t="s">
        <v>15</v>
      </c>
      <c r="I294">
        <f t="shared" si="108"/>
        <v>10</v>
      </c>
      <c r="J294">
        <f t="shared" si="97"/>
        <v>19</v>
      </c>
      <c r="K294" t="s">
        <v>27</v>
      </c>
      <c r="L294" t="str">
        <f t="shared" si="102"/>
        <v>Octubre</v>
      </c>
      <c r="M294" t="s">
        <v>28</v>
      </c>
      <c r="N294" t="str">
        <f t="shared" si="103"/>
        <v>{ nombre: "Tiempo Ordinario, Semana 29 Domingo", archivo: "/salterios/src/evan/audios/tos029domingo.mp3", fecha: `${year}-010-19` },</v>
      </c>
    </row>
    <row r="295" spans="1:14" x14ac:dyDescent="0.25">
      <c r="A295" t="s">
        <v>0</v>
      </c>
      <c r="B295" t="str">
        <f t="shared" si="111"/>
        <v>ordinario</v>
      </c>
      <c r="C295" t="s">
        <v>2</v>
      </c>
      <c r="D295" s="2">
        <f>D294</f>
        <v>29</v>
      </c>
      <c r="E295" t="s">
        <v>3</v>
      </c>
      <c r="F295" t="s">
        <v>17</v>
      </c>
      <c r="G295" s="1" t="str">
        <f t="shared" ref="G295:G300" si="112">_xlfn.CONCAT(LEFT(A295,1),LEFT(B295,1),LEFT(C295,1),"0",D295,E295)</f>
        <v>tos029lunes</v>
      </c>
      <c r="H295" t="s">
        <v>15</v>
      </c>
      <c r="I295">
        <f t="shared" si="108"/>
        <v>10</v>
      </c>
      <c r="J295">
        <f t="shared" si="97"/>
        <v>20</v>
      </c>
      <c r="K295" t="s">
        <v>27</v>
      </c>
      <c r="L295" t="str">
        <f t="shared" si="102"/>
        <v>Octubre</v>
      </c>
      <c r="M295" t="s">
        <v>28</v>
      </c>
      <c r="N295" t="str">
        <f t="shared" si="103"/>
        <v>{ nombre: "Tiempo Ordinario, Semana 29 Lunes", archivo: "/salterios/src/evan/audios/tos029lunes.mp3", fecha: `${year}-010-20` },</v>
      </c>
    </row>
    <row r="296" spans="1:14" x14ac:dyDescent="0.25">
      <c r="A296" t="s">
        <v>0</v>
      </c>
      <c r="B296" t="str">
        <f t="shared" si="111"/>
        <v>ordinario</v>
      </c>
      <c r="C296" t="s">
        <v>2</v>
      </c>
      <c r="D296" s="2">
        <f t="shared" ref="D296:D300" si="113">D295</f>
        <v>29</v>
      </c>
      <c r="E296" t="s">
        <v>4</v>
      </c>
      <c r="F296" t="s">
        <v>17</v>
      </c>
      <c r="G296" s="1" t="str">
        <f t="shared" si="112"/>
        <v>tos029martes</v>
      </c>
      <c r="H296" t="s">
        <v>15</v>
      </c>
      <c r="I296">
        <f t="shared" si="108"/>
        <v>10</v>
      </c>
      <c r="J296">
        <f t="shared" si="97"/>
        <v>21</v>
      </c>
      <c r="K296" t="s">
        <v>27</v>
      </c>
      <c r="L296" t="str">
        <f t="shared" si="102"/>
        <v>Octubre</v>
      </c>
      <c r="M296" t="s">
        <v>28</v>
      </c>
      <c r="N296" t="str">
        <f t="shared" si="103"/>
        <v>{ nombre: "Tiempo Ordinario, Semana 29 Martes", archivo: "/salterios/src/evan/audios/tos029martes.mp3", fecha: `${year}-010-21` },</v>
      </c>
    </row>
    <row r="297" spans="1:14" x14ac:dyDescent="0.25">
      <c r="A297" t="s">
        <v>0</v>
      </c>
      <c r="B297" t="str">
        <f t="shared" si="111"/>
        <v>ordinario</v>
      </c>
      <c r="C297" t="s">
        <v>2</v>
      </c>
      <c r="D297" s="2">
        <f t="shared" si="113"/>
        <v>29</v>
      </c>
      <c r="E297" t="s">
        <v>5</v>
      </c>
      <c r="F297" t="s">
        <v>17</v>
      </c>
      <c r="G297" s="1" t="str">
        <f t="shared" si="112"/>
        <v>tos029miercoles</v>
      </c>
      <c r="H297" t="s">
        <v>15</v>
      </c>
      <c r="I297">
        <f t="shared" si="108"/>
        <v>10</v>
      </c>
      <c r="J297">
        <f t="shared" si="97"/>
        <v>22</v>
      </c>
      <c r="K297" t="s">
        <v>27</v>
      </c>
      <c r="L297" t="str">
        <f t="shared" si="102"/>
        <v>Octubre</v>
      </c>
      <c r="M297" t="s">
        <v>28</v>
      </c>
      <c r="N297" t="str">
        <f t="shared" si="103"/>
        <v>{ nombre: "Tiempo Ordinario, Semana 29 Miercoles", archivo: "/salterios/src/evan/audios/tos029miercoles.mp3", fecha: `${year}-010-22` },</v>
      </c>
    </row>
    <row r="298" spans="1:14" x14ac:dyDescent="0.25">
      <c r="A298" t="s">
        <v>0</v>
      </c>
      <c r="B298" t="str">
        <f t="shared" si="111"/>
        <v>ordinario</v>
      </c>
      <c r="C298" t="s">
        <v>2</v>
      </c>
      <c r="D298" s="2">
        <f t="shared" si="113"/>
        <v>29</v>
      </c>
      <c r="E298" t="s">
        <v>6</v>
      </c>
      <c r="F298" t="s">
        <v>17</v>
      </c>
      <c r="G298" s="1" t="str">
        <f t="shared" si="112"/>
        <v>tos029jueves</v>
      </c>
      <c r="H298" t="s">
        <v>15</v>
      </c>
      <c r="I298">
        <f t="shared" si="108"/>
        <v>10</v>
      </c>
      <c r="J298">
        <f t="shared" si="97"/>
        <v>23</v>
      </c>
      <c r="K298" t="s">
        <v>27</v>
      </c>
      <c r="L298" t="str">
        <f t="shared" si="102"/>
        <v>Octubre</v>
      </c>
      <c r="M298" t="s">
        <v>28</v>
      </c>
      <c r="N298" t="str">
        <f t="shared" si="103"/>
        <v>{ nombre: "Tiempo Ordinario, Semana 29 Jueves", archivo: "/salterios/src/evan/audios/tos029jueves.mp3", fecha: `${year}-010-23` },</v>
      </c>
    </row>
    <row r="299" spans="1:14" x14ac:dyDescent="0.25">
      <c r="A299" t="s">
        <v>0</v>
      </c>
      <c r="B299" t="str">
        <f t="shared" si="111"/>
        <v>ordinario</v>
      </c>
      <c r="C299" t="s">
        <v>2</v>
      </c>
      <c r="D299" s="2">
        <f t="shared" si="113"/>
        <v>29</v>
      </c>
      <c r="E299" t="s">
        <v>7</v>
      </c>
      <c r="F299" t="s">
        <v>17</v>
      </c>
      <c r="G299" s="1" t="str">
        <f t="shared" si="112"/>
        <v>tos029viernes</v>
      </c>
      <c r="H299" t="s">
        <v>15</v>
      </c>
      <c r="I299">
        <f t="shared" si="108"/>
        <v>10</v>
      </c>
      <c r="J299">
        <f t="shared" si="97"/>
        <v>24</v>
      </c>
      <c r="K299" t="s">
        <v>27</v>
      </c>
      <c r="L299" t="str">
        <f t="shared" si="102"/>
        <v>Octubre</v>
      </c>
      <c r="M299" t="s">
        <v>28</v>
      </c>
      <c r="N299" t="str">
        <f t="shared" si="103"/>
        <v>{ nombre: "Tiempo Ordinario, Semana 29 Viernes", archivo: "/salterios/src/evan/audios/tos029viernes.mp3", fecha: `${year}-010-24` },</v>
      </c>
    </row>
    <row r="300" spans="1:14" x14ac:dyDescent="0.25">
      <c r="A300" t="s">
        <v>0</v>
      </c>
      <c r="B300" t="str">
        <f t="shared" si="111"/>
        <v>ordinario</v>
      </c>
      <c r="C300" t="s">
        <v>2</v>
      </c>
      <c r="D300" s="2">
        <f t="shared" si="113"/>
        <v>29</v>
      </c>
      <c r="E300" t="s">
        <v>8</v>
      </c>
      <c r="F300" t="s">
        <v>17</v>
      </c>
      <c r="G300" s="1" t="str">
        <f t="shared" si="112"/>
        <v>tos029sabado</v>
      </c>
      <c r="H300" t="s">
        <v>15</v>
      </c>
      <c r="I300">
        <f t="shared" si="108"/>
        <v>10</v>
      </c>
      <c r="J300">
        <f t="shared" si="97"/>
        <v>25</v>
      </c>
      <c r="K300" t="s">
        <v>27</v>
      </c>
      <c r="L300" t="str">
        <f t="shared" si="102"/>
        <v>Octubre</v>
      </c>
      <c r="M300" t="s">
        <v>28</v>
      </c>
      <c r="N300" t="str">
        <f t="shared" si="103"/>
        <v>{ nombre: "Tiempo Ordinario, Semana 29 Sabado", archivo: "/salterios/src/evan/audios/tos029sabado.mp3", fecha: `${year}-010-25` },</v>
      </c>
    </row>
    <row r="301" spans="1:14" x14ac:dyDescent="0.25">
      <c r="A301" t="s">
        <v>0</v>
      </c>
      <c r="B301" t="str">
        <f t="shared" si="111"/>
        <v>ordinario</v>
      </c>
      <c r="C301" t="s">
        <v>2</v>
      </c>
      <c r="D301" s="2">
        <f>+D300+1</f>
        <v>30</v>
      </c>
      <c r="E301" t="s">
        <v>9</v>
      </c>
      <c r="F301" t="s">
        <v>17</v>
      </c>
      <c r="G301" s="1" t="str">
        <f>_xlfn.CONCAT(LEFT(A301,1),LEFT(B301,1),LEFT(C301,1),"0",D301,E301)</f>
        <v>tos030domingo</v>
      </c>
      <c r="H301" t="s">
        <v>15</v>
      </c>
      <c r="I301">
        <f t="shared" si="108"/>
        <v>10</v>
      </c>
      <c r="J301">
        <f t="shared" si="97"/>
        <v>26</v>
      </c>
      <c r="K301" t="s">
        <v>27</v>
      </c>
      <c r="L301" t="str">
        <f t="shared" si="102"/>
        <v>Octubre</v>
      </c>
      <c r="M301" t="s">
        <v>28</v>
      </c>
      <c r="N301" t="str">
        <f t="shared" si="103"/>
        <v>{ nombre: "Tiempo Ordinario, Semana 30 Domingo", archivo: "/salterios/src/evan/audios/tos030domingo.mp3", fecha: `${year}-010-26` },</v>
      </c>
    </row>
    <row r="302" spans="1:14" x14ac:dyDescent="0.25">
      <c r="A302" t="s">
        <v>0</v>
      </c>
      <c r="B302" t="str">
        <f t="shared" si="111"/>
        <v>ordinario</v>
      </c>
      <c r="C302" t="s">
        <v>2</v>
      </c>
      <c r="D302" s="2">
        <f>D301</f>
        <v>30</v>
      </c>
      <c r="E302" t="s">
        <v>3</v>
      </c>
      <c r="F302" t="s">
        <v>17</v>
      </c>
      <c r="G302" s="1" t="str">
        <f t="shared" ref="G302:G307" si="114">_xlfn.CONCAT(LEFT(A302,1),LEFT(B302,1),LEFT(C302,1),"0",D302,E302)</f>
        <v>tos030lunes</v>
      </c>
      <c r="H302" t="s">
        <v>15</v>
      </c>
      <c r="I302">
        <f t="shared" si="108"/>
        <v>10</v>
      </c>
      <c r="J302">
        <f t="shared" si="97"/>
        <v>27</v>
      </c>
      <c r="K302" t="s">
        <v>27</v>
      </c>
      <c r="L302" t="str">
        <f t="shared" si="102"/>
        <v>Octubre</v>
      </c>
      <c r="M302" t="s">
        <v>28</v>
      </c>
      <c r="N302" t="str">
        <f t="shared" si="103"/>
        <v>{ nombre: "Tiempo Ordinario, Semana 30 Lunes", archivo: "/salterios/src/evan/audios/tos030lunes.mp3", fecha: `${year}-010-27` },</v>
      </c>
    </row>
    <row r="303" spans="1:14" x14ac:dyDescent="0.25">
      <c r="A303" t="s">
        <v>0</v>
      </c>
      <c r="B303" t="str">
        <f t="shared" si="111"/>
        <v>ordinario</v>
      </c>
      <c r="C303" t="s">
        <v>2</v>
      </c>
      <c r="D303" s="2">
        <f t="shared" ref="D303:D307" si="115">D302</f>
        <v>30</v>
      </c>
      <c r="E303" t="s">
        <v>4</v>
      </c>
      <c r="F303" t="s">
        <v>17</v>
      </c>
      <c r="G303" s="1" t="str">
        <f t="shared" si="114"/>
        <v>tos030martes</v>
      </c>
      <c r="H303" t="s">
        <v>15</v>
      </c>
      <c r="I303">
        <f t="shared" si="108"/>
        <v>10</v>
      </c>
      <c r="J303">
        <f t="shared" si="97"/>
        <v>28</v>
      </c>
      <c r="K303" t="s">
        <v>27</v>
      </c>
      <c r="L303" t="str">
        <f t="shared" si="102"/>
        <v>Octubre</v>
      </c>
      <c r="M303" t="s">
        <v>28</v>
      </c>
      <c r="N303" t="str">
        <f t="shared" si="103"/>
        <v>{ nombre: "Tiempo Ordinario, Semana 30 Martes", archivo: "/salterios/src/evan/audios/tos030martes.mp3", fecha: `${year}-010-28` },</v>
      </c>
    </row>
    <row r="304" spans="1:14" x14ac:dyDescent="0.25">
      <c r="A304" t="s">
        <v>0</v>
      </c>
      <c r="B304" t="str">
        <f t="shared" si="111"/>
        <v>ordinario</v>
      </c>
      <c r="C304" t="s">
        <v>2</v>
      </c>
      <c r="D304" s="2">
        <f t="shared" si="115"/>
        <v>30</v>
      </c>
      <c r="E304" t="s">
        <v>5</v>
      </c>
      <c r="F304" t="s">
        <v>17</v>
      </c>
      <c r="G304" s="1" t="str">
        <f t="shared" si="114"/>
        <v>tos030miercoles</v>
      </c>
      <c r="H304" t="s">
        <v>15</v>
      </c>
      <c r="I304">
        <f t="shared" si="108"/>
        <v>10</v>
      </c>
      <c r="J304">
        <f t="shared" si="97"/>
        <v>29</v>
      </c>
      <c r="K304" t="s">
        <v>27</v>
      </c>
      <c r="L304" t="str">
        <f t="shared" si="102"/>
        <v>Octubre</v>
      </c>
      <c r="M304" t="s">
        <v>28</v>
      </c>
      <c r="N304" t="str">
        <f t="shared" si="103"/>
        <v>{ nombre: "Tiempo Ordinario, Semana 30 Miercoles", archivo: "/salterios/src/evan/audios/tos030miercoles.mp3", fecha: `${year}-010-29` },</v>
      </c>
    </row>
    <row r="305" spans="1:14" x14ac:dyDescent="0.25">
      <c r="A305" t="s">
        <v>0</v>
      </c>
      <c r="B305" t="str">
        <f t="shared" si="111"/>
        <v>ordinario</v>
      </c>
      <c r="C305" t="s">
        <v>2</v>
      </c>
      <c r="D305" s="2">
        <f t="shared" si="115"/>
        <v>30</v>
      </c>
      <c r="E305" t="s">
        <v>6</v>
      </c>
      <c r="F305" t="s">
        <v>17</v>
      </c>
      <c r="G305" s="1" t="str">
        <f t="shared" si="114"/>
        <v>tos030jueves</v>
      </c>
      <c r="H305" t="s">
        <v>15</v>
      </c>
      <c r="I305">
        <f t="shared" si="108"/>
        <v>10</v>
      </c>
      <c r="J305">
        <f t="shared" si="97"/>
        <v>30</v>
      </c>
      <c r="K305" t="s">
        <v>27</v>
      </c>
      <c r="L305" t="str">
        <f t="shared" si="102"/>
        <v>Octubre</v>
      </c>
      <c r="M305" t="s">
        <v>28</v>
      </c>
      <c r="N305" t="str">
        <f t="shared" si="103"/>
        <v>{ nombre: "Tiempo Ordinario, Semana 30 Jueves", archivo: "/salterios/src/evan/audios/tos030jueves.mp3", fecha: `${year}-010-30` },</v>
      </c>
    </row>
    <row r="306" spans="1:14" x14ac:dyDescent="0.25">
      <c r="A306" t="s">
        <v>0</v>
      </c>
      <c r="B306" t="str">
        <f t="shared" si="111"/>
        <v>ordinario</v>
      </c>
      <c r="C306" t="s">
        <v>2</v>
      </c>
      <c r="D306" s="2">
        <f t="shared" si="115"/>
        <v>30</v>
      </c>
      <c r="E306" t="s">
        <v>7</v>
      </c>
      <c r="F306" t="s">
        <v>17</v>
      </c>
      <c r="G306" s="1" t="str">
        <f t="shared" si="114"/>
        <v>tos030viernes</v>
      </c>
      <c r="H306" t="s">
        <v>15</v>
      </c>
      <c r="I306">
        <f t="shared" si="108"/>
        <v>10</v>
      </c>
      <c r="J306">
        <f t="shared" si="97"/>
        <v>31</v>
      </c>
      <c r="K306" t="s">
        <v>27</v>
      </c>
      <c r="L306" t="str">
        <f t="shared" si="102"/>
        <v>Octubre</v>
      </c>
      <c r="M306" t="s">
        <v>28</v>
      </c>
      <c r="N306" t="str">
        <f t="shared" si="103"/>
        <v>{ nombre: "Tiempo Ordinario, Semana 30 Viernes", archivo: "/salterios/src/evan/audios/tos030viernes.mp3", fecha: `${year}-010-31` },</v>
      </c>
    </row>
    <row r="307" spans="1:14" x14ac:dyDescent="0.25">
      <c r="A307" t="s">
        <v>0</v>
      </c>
      <c r="B307" t="str">
        <f t="shared" si="111"/>
        <v>ordinario</v>
      </c>
      <c r="C307" t="s">
        <v>2</v>
      </c>
      <c r="D307" s="2">
        <f t="shared" si="115"/>
        <v>30</v>
      </c>
      <c r="E307" t="s">
        <v>8</v>
      </c>
      <c r="F307" t="s">
        <v>17</v>
      </c>
      <c r="G307" s="1" t="str">
        <f t="shared" si="114"/>
        <v>tos030sabado</v>
      </c>
      <c r="H307" t="s">
        <v>15</v>
      </c>
      <c r="I307">
        <v>11</v>
      </c>
      <c r="J307">
        <v>1</v>
      </c>
      <c r="K307" t="s">
        <v>27</v>
      </c>
      <c r="L307" t="str">
        <f t="shared" si="102"/>
        <v>Noviembre</v>
      </c>
      <c r="M307" t="s">
        <v>28</v>
      </c>
      <c r="N307" t="str">
        <f t="shared" si="103"/>
        <v>{ nombre: "Tiempo Ordinario, Semana 30 Sabado", archivo: "/salterios/src/evan/audios/tos030sabado.mp3", fecha: `${year}-011-1` },</v>
      </c>
    </row>
    <row r="308" spans="1:14" x14ac:dyDescent="0.25">
      <c r="A308" t="s">
        <v>0</v>
      </c>
      <c r="B308" t="str">
        <f t="shared" si="111"/>
        <v>ordinario</v>
      </c>
      <c r="C308" t="s">
        <v>2</v>
      </c>
      <c r="D308" s="2">
        <f>+D307+1</f>
        <v>31</v>
      </c>
      <c r="E308" t="s">
        <v>9</v>
      </c>
      <c r="F308" t="s">
        <v>17</v>
      </c>
      <c r="G308" s="1" t="str">
        <f>_xlfn.CONCAT(LEFT(A308,1),LEFT(B308,1),LEFT(C308,1),"0",D308,E308)</f>
        <v>tos031domingo</v>
      </c>
      <c r="H308" t="s">
        <v>15</v>
      </c>
      <c r="I308">
        <f t="shared" si="108"/>
        <v>11</v>
      </c>
      <c r="J308">
        <f t="shared" si="97"/>
        <v>2</v>
      </c>
      <c r="K308" t="s">
        <v>27</v>
      </c>
      <c r="L308" t="str">
        <f t="shared" si="102"/>
        <v>Noviembre</v>
      </c>
      <c r="M308" t="s">
        <v>28</v>
      </c>
      <c r="N308" t="str">
        <f t="shared" si="103"/>
        <v>{ nombre: "Tiempo Ordinario, Semana 31 Domingo", archivo: "/salterios/src/evan/audios/tos031domingo.mp3", fecha: `${year}-011-2` },</v>
      </c>
    </row>
    <row r="309" spans="1:14" x14ac:dyDescent="0.25">
      <c r="A309" t="s">
        <v>0</v>
      </c>
      <c r="B309" t="str">
        <f t="shared" si="111"/>
        <v>ordinario</v>
      </c>
      <c r="C309" t="s">
        <v>2</v>
      </c>
      <c r="D309" s="2">
        <f>D308</f>
        <v>31</v>
      </c>
      <c r="E309" t="s">
        <v>3</v>
      </c>
      <c r="F309" t="s">
        <v>17</v>
      </c>
      <c r="G309" s="1" t="str">
        <f t="shared" ref="G309:G314" si="116">_xlfn.CONCAT(LEFT(A309,1),LEFT(B309,1),LEFT(C309,1),"0",D309,E309)</f>
        <v>tos031lunes</v>
      </c>
      <c r="H309" t="s">
        <v>15</v>
      </c>
      <c r="I309">
        <f t="shared" si="108"/>
        <v>11</v>
      </c>
      <c r="J309">
        <f t="shared" si="97"/>
        <v>3</v>
      </c>
      <c r="K309" t="s">
        <v>27</v>
      </c>
      <c r="L309" t="str">
        <f t="shared" si="102"/>
        <v>Noviembre</v>
      </c>
      <c r="M309" t="s">
        <v>28</v>
      </c>
      <c r="N309" t="str">
        <f t="shared" si="103"/>
        <v>{ nombre: "Tiempo Ordinario, Semana 31 Lunes", archivo: "/salterios/src/evan/audios/tos031lunes.mp3", fecha: `${year}-011-3` },</v>
      </c>
    </row>
    <row r="310" spans="1:14" x14ac:dyDescent="0.25">
      <c r="A310" t="s">
        <v>0</v>
      </c>
      <c r="B310" t="str">
        <f t="shared" si="111"/>
        <v>ordinario</v>
      </c>
      <c r="C310" t="s">
        <v>2</v>
      </c>
      <c r="D310" s="2">
        <f t="shared" ref="D310:D314" si="117">D309</f>
        <v>31</v>
      </c>
      <c r="E310" t="s">
        <v>4</v>
      </c>
      <c r="F310" t="s">
        <v>17</v>
      </c>
      <c r="G310" s="1" t="str">
        <f t="shared" si="116"/>
        <v>tos031martes</v>
      </c>
      <c r="H310" t="s">
        <v>15</v>
      </c>
      <c r="I310">
        <f t="shared" si="108"/>
        <v>11</v>
      </c>
      <c r="J310">
        <f t="shared" si="97"/>
        <v>4</v>
      </c>
      <c r="K310" t="s">
        <v>27</v>
      </c>
      <c r="L310" t="str">
        <f t="shared" si="102"/>
        <v>Noviembre</v>
      </c>
      <c r="M310" t="s">
        <v>28</v>
      </c>
      <c r="N310" t="str">
        <f t="shared" si="103"/>
        <v>{ nombre: "Tiempo Ordinario, Semana 31 Martes", archivo: "/salterios/src/evan/audios/tos031martes.mp3", fecha: `${year}-011-4` },</v>
      </c>
    </row>
    <row r="311" spans="1:14" x14ac:dyDescent="0.25">
      <c r="A311" t="s">
        <v>0</v>
      </c>
      <c r="B311" t="str">
        <f t="shared" si="111"/>
        <v>ordinario</v>
      </c>
      <c r="C311" t="s">
        <v>2</v>
      </c>
      <c r="D311" s="2">
        <f t="shared" si="117"/>
        <v>31</v>
      </c>
      <c r="E311" t="s">
        <v>5</v>
      </c>
      <c r="F311" t="s">
        <v>17</v>
      </c>
      <c r="G311" s="1" t="str">
        <f t="shared" si="116"/>
        <v>tos031miercoles</v>
      </c>
      <c r="H311" t="s">
        <v>15</v>
      </c>
      <c r="I311">
        <f t="shared" si="108"/>
        <v>11</v>
      </c>
      <c r="J311">
        <f t="shared" si="97"/>
        <v>5</v>
      </c>
      <c r="K311" t="s">
        <v>27</v>
      </c>
      <c r="L311" t="str">
        <f t="shared" si="102"/>
        <v>Noviembre</v>
      </c>
      <c r="M311" t="s">
        <v>28</v>
      </c>
      <c r="N311" t="str">
        <f t="shared" si="103"/>
        <v>{ nombre: "Tiempo Ordinario, Semana 31 Miercoles", archivo: "/salterios/src/evan/audios/tos031miercoles.mp3", fecha: `${year}-011-5` },</v>
      </c>
    </row>
    <row r="312" spans="1:14" x14ac:dyDescent="0.25">
      <c r="A312" t="s">
        <v>0</v>
      </c>
      <c r="B312" t="str">
        <f t="shared" si="111"/>
        <v>ordinario</v>
      </c>
      <c r="C312" t="s">
        <v>2</v>
      </c>
      <c r="D312" s="2">
        <f t="shared" si="117"/>
        <v>31</v>
      </c>
      <c r="E312" t="s">
        <v>6</v>
      </c>
      <c r="F312" t="s">
        <v>17</v>
      </c>
      <c r="G312" s="1" t="str">
        <f t="shared" si="116"/>
        <v>tos031jueves</v>
      </c>
      <c r="H312" t="s">
        <v>15</v>
      </c>
      <c r="I312">
        <f t="shared" si="108"/>
        <v>11</v>
      </c>
      <c r="J312">
        <f t="shared" si="97"/>
        <v>6</v>
      </c>
      <c r="K312" t="s">
        <v>27</v>
      </c>
      <c r="L312" t="str">
        <f t="shared" si="102"/>
        <v>Noviembre</v>
      </c>
      <c r="M312" t="s">
        <v>28</v>
      </c>
      <c r="N312" t="str">
        <f t="shared" si="103"/>
        <v>{ nombre: "Tiempo Ordinario, Semana 31 Jueves", archivo: "/salterios/src/evan/audios/tos031jueves.mp3", fecha: `${year}-011-6` },</v>
      </c>
    </row>
    <row r="313" spans="1:14" x14ac:dyDescent="0.25">
      <c r="A313" t="s">
        <v>0</v>
      </c>
      <c r="B313" t="str">
        <f t="shared" si="111"/>
        <v>ordinario</v>
      </c>
      <c r="C313" t="s">
        <v>2</v>
      </c>
      <c r="D313" s="2">
        <f t="shared" si="117"/>
        <v>31</v>
      </c>
      <c r="E313" t="s">
        <v>7</v>
      </c>
      <c r="F313" t="s">
        <v>17</v>
      </c>
      <c r="G313" s="1" t="str">
        <f t="shared" si="116"/>
        <v>tos031viernes</v>
      </c>
      <c r="H313" t="s">
        <v>15</v>
      </c>
      <c r="I313">
        <f t="shared" si="108"/>
        <v>11</v>
      </c>
      <c r="J313">
        <f t="shared" si="97"/>
        <v>7</v>
      </c>
      <c r="K313" t="s">
        <v>27</v>
      </c>
      <c r="L313" t="str">
        <f t="shared" si="102"/>
        <v>Noviembre</v>
      </c>
      <c r="M313" t="s">
        <v>28</v>
      </c>
      <c r="N313" t="str">
        <f t="shared" si="103"/>
        <v>{ nombre: "Tiempo Ordinario, Semana 31 Viernes", archivo: "/salterios/src/evan/audios/tos031viernes.mp3", fecha: `${year}-011-7` },</v>
      </c>
    </row>
    <row r="314" spans="1:14" x14ac:dyDescent="0.25">
      <c r="A314" t="s">
        <v>0</v>
      </c>
      <c r="B314" t="str">
        <f t="shared" si="111"/>
        <v>ordinario</v>
      </c>
      <c r="C314" t="s">
        <v>2</v>
      </c>
      <c r="D314" s="2">
        <f t="shared" si="117"/>
        <v>31</v>
      </c>
      <c r="E314" t="s">
        <v>8</v>
      </c>
      <c r="F314" t="s">
        <v>17</v>
      </c>
      <c r="G314" s="1" t="str">
        <f t="shared" si="116"/>
        <v>tos031sabado</v>
      </c>
      <c r="H314" t="s">
        <v>15</v>
      </c>
      <c r="I314">
        <f t="shared" si="108"/>
        <v>11</v>
      </c>
      <c r="J314">
        <f t="shared" si="97"/>
        <v>8</v>
      </c>
      <c r="K314" t="s">
        <v>27</v>
      </c>
      <c r="L314" t="str">
        <f t="shared" si="102"/>
        <v>Noviembre</v>
      </c>
      <c r="M314" t="s">
        <v>28</v>
      </c>
      <c r="N314" t="str">
        <f t="shared" si="103"/>
        <v>{ nombre: "Tiempo Ordinario, Semana 31 Sabado", archivo: "/salterios/src/evan/audios/tos031sabado.mp3", fecha: `${year}-011-8` },</v>
      </c>
    </row>
    <row r="315" spans="1:14" x14ac:dyDescent="0.25">
      <c r="A315" t="s">
        <v>0</v>
      </c>
      <c r="B315" t="str">
        <f t="shared" si="111"/>
        <v>ordinario</v>
      </c>
      <c r="C315" t="s">
        <v>2</v>
      </c>
      <c r="D315" s="2">
        <f>+D314+1</f>
        <v>32</v>
      </c>
      <c r="E315" t="s">
        <v>9</v>
      </c>
      <c r="F315" t="s">
        <v>17</v>
      </c>
      <c r="G315" s="1" t="str">
        <f>_xlfn.CONCAT(LEFT(A315,1),LEFT(B315,1),LEFT(C315,1),"0",D315,E315)</f>
        <v>tos032domingo</v>
      </c>
      <c r="H315" t="s">
        <v>15</v>
      </c>
      <c r="I315">
        <f t="shared" si="108"/>
        <v>11</v>
      </c>
      <c r="J315">
        <f t="shared" si="97"/>
        <v>9</v>
      </c>
      <c r="K315" t="s">
        <v>27</v>
      </c>
      <c r="L315" t="str">
        <f t="shared" si="102"/>
        <v>Noviembre</v>
      </c>
      <c r="M315" t="s">
        <v>28</v>
      </c>
      <c r="N315" t="str">
        <f t="shared" si="103"/>
        <v>{ nombre: "Tiempo Ordinario, Semana 32 Domingo", archivo: "/salterios/src/evan/audios/tos032domingo.mp3", fecha: `${year}-011-9` },</v>
      </c>
    </row>
    <row r="316" spans="1:14" x14ac:dyDescent="0.25">
      <c r="A316" t="s">
        <v>0</v>
      </c>
      <c r="B316" t="str">
        <f t="shared" si="111"/>
        <v>ordinario</v>
      </c>
      <c r="C316" t="s">
        <v>2</v>
      </c>
      <c r="D316" s="2">
        <f>D315</f>
        <v>32</v>
      </c>
      <c r="E316" t="s">
        <v>3</v>
      </c>
      <c r="F316" t="s">
        <v>17</v>
      </c>
      <c r="G316" s="1" t="str">
        <f t="shared" ref="G316:G321" si="118">_xlfn.CONCAT(LEFT(A316,1),LEFT(B316,1),LEFT(C316,1),"0",D316,E316)</f>
        <v>tos032lunes</v>
      </c>
      <c r="H316" t="s">
        <v>15</v>
      </c>
      <c r="I316">
        <f t="shared" si="108"/>
        <v>11</v>
      </c>
      <c r="J316">
        <f t="shared" si="97"/>
        <v>10</v>
      </c>
      <c r="K316" t="s">
        <v>27</v>
      </c>
      <c r="L316" t="str">
        <f t="shared" si="102"/>
        <v>Noviembre</v>
      </c>
      <c r="M316" t="s">
        <v>28</v>
      </c>
      <c r="N316" t="str">
        <f t="shared" si="103"/>
        <v>{ nombre: "Tiempo Ordinario, Semana 32 Lunes", archivo: "/salterios/src/evan/audios/tos032lunes.mp3", fecha: `${year}-011-10` },</v>
      </c>
    </row>
    <row r="317" spans="1:14" x14ac:dyDescent="0.25">
      <c r="A317" t="s">
        <v>0</v>
      </c>
      <c r="B317" t="str">
        <f t="shared" si="111"/>
        <v>ordinario</v>
      </c>
      <c r="C317" t="s">
        <v>2</v>
      </c>
      <c r="D317" s="2">
        <f t="shared" ref="D317:D321" si="119">D316</f>
        <v>32</v>
      </c>
      <c r="E317" t="s">
        <v>4</v>
      </c>
      <c r="F317" t="s">
        <v>17</v>
      </c>
      <c r="G317" s="1" t="str">
        <f t="shared" si="118"/>
        <v>tos032martes</v>
      </c>
      <c r="H317" t="s">
        <v>15</v>
      </c>
      <c r="I317">
        <f t="shared" si="108"/>
        <v>11</v>
      </c>
      <c r="J317">
        <f t="shared" si="97"/>
        <v>11</v>
      </c>
      <c r="K317" t="s">
        <v>27</v>
      </c>
      <c r="L317" t="str">
        <f t="shared" si="102"/>
        <v>Noviembre</v>
      </c>
      <c r="M317" t="s">
        <v>28</v>
      </c>
      <c r="N317" t="str">
        <f t="shared" si="103"/>
        <v>{ nombre: "Tiempo Ordinario, Semana 32 Martes", archivo: "/salterios/src/evan/audios/tos032martes.mp3", fecha: `${year}-011-11` },</v>
      </c>
    </row>
    <row r="318" spans="1:14" x14ac:dyDescent="0.25">
      <c r="A318" t="s">
        <v>0</v>
      </c>
      <c r="B318" t="str">
        <f t="shared" si="111"/>
        <v>ordinario</v>
      </c>
      <c r="C318" t="s">
        <v>2</v>
      </c>
      <c r="D318" s="2">
        <f t="shared" si="119"/>
        <v>32</v>
      </c>
      <c r="E318" t="s">
        <v>5</v>
      </c>
      <c r="F318" t="s">
        <v>17</v>
      </c>
      <c r="G318" s="1" t="str">
        <f t="shared" si="118"/>
        <v>tos032miercoles</v>
      </c>
      <c r="H318" t="s">
        <v>15</v>
      </c>
      <c r="I318">
        <f t="shared" si="108"/>
        <v>11</v>
      </c>
      <c r="J318">
        <f t="shared" si="97"/>
        <v>12</v>
      </c>
      <c r="K318" t="s">
        <v>27</v>
      </c>
      <c r="L318" t="str">
        <f t="shared" si="102"/>
        <v>Noviembre</v>
      </c>
      <c r="M318" t="s">
        <v>28</v>
      </c>
      <c r="N318" t="str">
        <f t="shared" si="103"/>
        <v>{ nombre: "Tiempo Ordinario, Semana 32 Miercoles", archivo: "/salterios/src/evan/audios/tos032miercoles.mp3", fecha: `${year}-011-12` },</v>
      </c>
    </row>
    <row r="319" spans="1:14" x14ac:dyDescent="0.25">
      <c r="A319" t="s">
        <v>0</v>
      </c>
      <c r="B319" t="str">
        <f t="shared" si="111"/>
        <v>ordinario</v>
      </c>
      <c r="C319" t="s">
        <v>2</v>
      </c>
      <c r="D319" s="2">
        <f t="shared" si="119"/>
        <v>32</v>
      </c>
      <c r="E319" t="s">
        <v>6</v>
      </c>
      <c r="F319" t="s">
        <v>17</v>
      </c>
      <c r="G319" s="1" t="str">
        <f t="shared" si="118"/>
        <v>tos032jueves</v>
      </c>
      <c r="H319" t="s">
        <v>15</v>
      </c>
      <c r="I319">
        <f t="shared" si="108"/>
        <v>11</v>
      </c>
      <c r="J319">
        <f t="shared" ref="J319:J367" si="120">+J318+1</f>
        <v>13</v>
      </c>
      <c r="K319" t="s">
        <v>27</v>
      </c>
      <c r="L319" t="str">
        <f t="shared" si="102"/>
        <v>Noviembre</v>
      </c>
      <c r="M319" t="s">
        <v>28</v>
      </c>
      <c r="N319" t="str">
        <f t="shared" si="103"/>
        <v>{ nombre: "Tiempo Ordinario, Semana 32 Jueves", archivo: "/salterios/src/evan/audios/tos032jueves.mp3", fecha: `${year}-011-13` },</v>
      </c>
    </row>
    <row r="320" spans="1:14" x14ac:dyDescent="0.25">
      <c r="A320" t="s">
        <v>0</v>
      </c>
      <c r="B320" t="str">
        <f t="shared" si="111"/>
        <v>ordinario</v>
      </c>
      <c r="C320" t="s">
        <v>2</v>
      </c>
      <c r="D320" s="2">
        <f t="shared" si="119"/>
        <v>32</v>
      </c>
      <c r="E320" t="s">
        <v>7</v>
      </c>
      <c r="F320" t="s">
        <v>17</v>
      </c>
      <c r="G320" s="1" t="str">
        <f t="shared" si="118"/>
        <v>tos032viernes</v>
      </c>
      <c r="H320" t="s">
        <v>15</v>
      </c>
      <c r="I320">
        <f t="shared" si="108"/>
        <v>11</v>
      </c>
      <c r="J320">
        <f t="shared" si="120"/>
        <v>14</v>
      </c>
      <c r="K320" t="s">
        <v>27</v>
      </c>
      <c r="L320" t="str">
        <f t="shared" si="102"/>
        <v>Noviembre</v>
      </c>
      <c r="M320" t="s">
        <v>28</v>
      </c>
      <c r="N320" t="str">
        <f t="shared" si="103"/>
        <v>{ nombre: "Tiempo Ordinario, Semana 32 Viernes", archivo: "/salterios/src/evan/audios/tos032viernes.mp3", fecha: `${year}-011-14` },</v>
      </c>
    </row>
    <row r="321" spans="1:14" x14ac:dyDescent="0.25">
      <c r="A321" t="s">
        <v>0</v>
      </c>
      <c r="B321" t="str">
        <f t="shared" si="111"/>
        <v>ordinario</v>
      </c>
      <c r="C321" t="s">
        <v>2</v>
      </c>
      <c r="D321" s="2">
        <f t="shared" si="119"/>
        <v>32</v>
      </c>
      <c r="E321" t="s">
        <v>8</v>
      </c>
      <c r="F321" t="s">
        <v>17</v>
      </c>
      <c r="G321" s="1" t="str">
        <f t="shared" si="118"/>
        <v>tos032sabado</v>
      </c>
      <c r="H321" t="s">
        <v>15</v>
      </c>
      <c r="I321">
        <f t="shared" si="108"/>
        <v>11</v>
      </c>
      <c r="J321">
        <f t="shared" si="120"/>
        <v>15</v>
      </c>
      <c r="K321" t="s">
        <v>27</v>
      </c>
      <c r="L321" t="str">
        <f t="shared" si="102"/>
        <v>Noviembre</v>
      </c>
      <c r="M321" t="s">
        <v>28</v>
      </c>
      <c r="N321" t="str">
        <f t="shared" si="103"/>
        <v>{ nombre: "Tiempo Ordinario, Semana 32 Sabado", archivo: "/salterios/src/evan/audios/tos032sabado.mp3", fecha: `${year}-011-15` },</v>
      </c>
    </row>
    <row r="322" spans="1:14" x14ac:dyDescent="0.25">
      <c r="A322" t="s">
        <v>0</v>
      </c>
      <c r="B322" t="str">
        <f t="shared" si="111"/>
        <v>ordinario</v>
      </c>
      <c r="C322" t="s">
        <v>2</v>
      </c>
      <c r="D322" s="2">
        <f>+D321+1</f>
        <v>33</v>
      </c>
      <c r="E322" t="s">
        <v>9</v>
      </c>
      <c r="F322" t="s">
        <v>17</v>
      </c>
      <c r="G322" s="1" t="str">
        <f>_xlfn.CONCAT(LEFT(A322,1),LEFT(B322,1),LEFT(C322,1),"0",D322,E322)</f>
        <v>tos033domingo</v>
      </c>
      <c r="H322" t="s">
        <v>15</v>
      </c>
      <c r="I322">
        <f t="shared" si="108"/>
        <v>11</v>
      </c>
      <c r="J322">
        <f t="shared" si="120"/>
        <v>16</v>
      </c>
      <c r="K322" t="s">
        <v>27</v>
      </c>
      <c r="L322" t="str">
        <f t="shared" si="102"/>
        <v>Noviembre</v>
      </c>
      <c r="M322" t="s">
        <v>28</v>
      </c>
      <c r="N322" t="str">
        <f t="shared" si="103"/>
        <v>{ nombre: "Tiempo Ordinario, Semana 33 Domingo", archivo: "/salterios/src/evan/audios/tos033domingo.mp3", fecha: `${year}-011-16` },</v>
      </c>
    </row>
    <row r="323" spans="1:14" x14ac:dyDescent="0.25">
      <c r="A323" t="s">
        <v>0</v>
      </c>
      <c r="B323" t="str">
        <f t="shared" si="111"/>
        <v>ordinario</v>
      </c>
      <c r="C323" t="s">
        <v>2</v>
      </c>
      <c r="D323" s="2">
        <f>D322</f>
        <v>33</v>
      </c>
      <c r="E323" t="s">
        <v>3</v>
      </c>
      <c r="F323" t="s">
        <v>17</v>
      </c>
      <c r="G323" s="1" t="str">
        <f t="shared" ref="G323:G328" si="121">_xlfn.CONCAT(LEFT(A323,1),LEFT(B323,1),LEFT(C323,1),"0",D323,E323)</f>
        <v>tos033lunes</v>
      </c>
      <c r="H323" t="s">
        <v>15</v>
      </c>
      <c r="I323">
        <f t="shared" si="108"/>
        <v>11</v>
      </c>
      <c r="J323">
        <f t="shared" si="120"/>
        <v>17</v>
      </c>
      <c r="K323" t="s">
        <v>27</v>
      </c>
      <c r="L323" t="str">
        <f t="shared" si="102"/>
        <v>Noviembre</v>
      </c>
      <c r="M323" t="s">
        <v>28</v>
      </c>
      <c r="N323" t="str">
        <f t="shared" si="103"/>
        <v>{ nombre: "Tiempo Ordinario, Semana 33 Lunes", archivo: "/salterios/src/evan/audios/tos033lunes.mp3", fecha: `${year}-011-17` },</v>
      </c>
    </row>
    <row r="324" spans="1:14" x14ac:dyDescent="0.25">
      <c r="A324" t="s">
        <v>0</v>
      </c>
      <c r="B324" t="str">
        <f t="shared" si="111"/>
        <v>ordinario</v>
      </c>
      <c r="C324" t="s">
        <v>2</v>
      </c>
      <c r="D324" s="2">
        <f t="shared" ref="D324:D328" si="122">D323</f>
        <v>33</v>
      </c>
      <c r="E324" t="s">
        <v>4</v>
      </c>
      <c r="F324" t="s">
        <v>17</v>
      </c>
      <c r="G324" s="1" t="str">
        <f t="shared" si="121"/>
        <v>tos033martes</v>
      </c>
      <c r="H324" t="s">
        <v>15</v>
      </c>
      <c r="I324">
        <f t="shared" si="108"/>
        <v>11</v>
      </c>
      <c r="J324">
        <f t="shared" si="120"/>
        <v>18</v>
      </c>
      <c r="K324" t="s">
        <v>27</v>
      </c>
      <c r="L324" t="str">
        <f t="shared" si="102"/>
        <v>Noviembre</v>
      </c>
      <c r="M324" t="s">
        <v>28</v>
      </c>
      <c r="N324" t="str">
        <f t="shared" si="103"/>
        <v>{ nombre: "Tiempo Ordinario, Semana 33 Martes", archivo: "/salterios/src/evan/audios/tos033martes.mp3", fecha: `${year}-011-18` },</v>
      </c>
    </row>
    <row r="325" spans="1:14" x14ac:dyDescent="0.25">
      <c r="A325" t="s">
        <v>0</v>
      </c>
      <c r="B325" t="str">
        <f t="shared" si="111"/>
        <v>ordinario</v>
      </c>
      <c r="C325" t="s">
        <v>2</v>
      </c>
      <c r="D325" s="2">
        <f t="shared" si="122"/>
        <v>33</v>
      </c>
      <c r="E325" t="s">
        <v>5</v>
      </c>
      <c r="F325" t="s">
        <v>17</v>
      </c>
      <c r="G325" s="1" t="str">
        <f t="shared" si="121"/>
        <v>tos033miercoles</v>
      </c>
      <c r="H325" t="s">
        <v>15</v>
      </c>
      <c r="I325">
        <f t="shared" si="108"/>
        <v>11</v>
      </c>
      <c r="J325">
        <f t="shared" si="120"/>
        <v>19</v>
      </c>
      <c r="K325" t="s">
        <v>27</v>
      </c>
      <c r="L325" t="str">
        <f t="shared" si="102"/>
        <v>Noviembre</v>
      </c>
      <c r="M325" t="s">
        <v>28</v>
      </c>
      <c r="N325" t="str">
        <f t="shared" si="103"/>
        <v>{ nombre: "Tiempo Ordinario, Semana 33 Miercoles", archivo: "/salterios/src/evan/audios/tos033miercoles.mp3", fecha: `${year}-011-19` },</v>
      </c>
    </row>
    <row r="326" spans="1:14" x14ac:dyDescent="0.25">
      <c r="A326" t="s">
        <v>0</v>
      </c>
      <c r="B326" t="str">
        <f t="shared" si="111"/>
        <v>ordinario</v>
      </c>
      <c r="C326" t="s">
        <v>2</v>
      </c>
      <c r="D326" s="2">
        <f t="shared" si="122"/>
        <v>33</v>
      </c>
      <c r="E326" t="s">
        <v>6</v>
      </c>
      <c r="F326" t="s">
        <v>17</v>
      </c>
      <c r="G326" s="1" t="str">
        <f t="shared" si="121"/>
        <v>tos033jueves</v>
      </c>
      <c r="H326" t="s">
        <v>15</v>
      </c>
      <c r="I326">
        <f t="shared" si="108"/>
        <v>11</v>
      </c>
      <c r="J326">
        <f t="shared" si="120"/>
        <v>20</v>
      </c>
      <c r="K326" t="s">
        <v>27</v>
      </c>
      <c r="L326" t="str">
        <f t="shared" si="102"/>
        <v>Noviembre</v>
      </c>
      <c r="M326" t="s">
        <v>28</v>
      </c>
      <c r="N326" t="str">
        <f t="shared" si="103"/>
        <v>{ nombre: "Tiempo Ordinario, Semana 33 Jueves", archivo: "/salterios/src/evan/audios/tos033jueves.mp3", fecha: `${year}-011-20` },</v>
      </c>
    </row>
    <row r="327" spans="1:14" x14ac:dyDescent="0.25">
      <c r="A327" t="s">
        <v>0</v>
      </c>
      <c r="B327" t="str">
        <f t="shared" si="111"/>
        <v>ordinario</v>
      </c>
      <c r="C327" t="s">
        <v>2</v>
      </c>
      <c r="D327" s="2">
        <f t="shared" si="122"/>
        <v>33</v>
      </c>
      <c r="E327" t="s">
        <v>7</v>
      </c>
      <c r="F327" t="s">
        <v>17</v>
      </c>
      <c r="G327" s="1" t="str">
        <f t="shared" si="121"/>
        <v>tos033viernes</v>
      </c>
      <c r="H327" t="s">
        <v>15</v>
      </c>
      <c r="I327">
        <f t="shared" si="108"/>
        <v>11</v>
      </c>
      <c r="J327">
        <f t="shared" si="120"/>
        <v>21</v>
      </c>
      <c r="K327" t="s">
        <v>27</v>
      </c>
      <c r="L327" t="str">
        <f t="shared" si="102"/>
        <v>Noviembre</v>
      </c>
      <c r="M327" t="s">
        <v>28</v>
      </c>
      <c r="N327" t="str">
        <f t="shared" si="103"/>
        <v>{ nombre: "Tiempo Ordinario, Semana 33 Viernes", archivo: "/salterios/src/evan/audios/tos033viernes.mp3", fecha: `${year}-011-21` },</v>
      </c>
    </row>
    <row r="328" spans="1:14" x14ac:dyDescent="0.25">
      <c r="A328" t="s">
        <v>0</v>
      </c>
      <c r="B328" t="str">
        <f t="shared" si="111"/>
        <v>ordinario</v>
      </c>
      <c r="C328" t="s">
        <v>2</v>
      </c>
      <c r="D328" s="2">
        <f t="shared" si="122"/>
        <v>33</v>
      </c>
      <c r="E328" t="s">
        <v>8</v>
      </c>
      <c r="F328" t="s">
        <v>17</v>
      </c>
      <c r="G328" s="1" t="str">
        <f t="shared" si="121"/>
        <v>tos033sabado</v>
      </c>
      <c r="H328" t="s">
        <v>15</v>
      </c>
      <c r="I328">
        <f t="shared" si="108"/>
        <v>11</v>
      </c>
      <c r="J328">
        <f t="shared" si="120"/>
        <v>22</v>
      </c>
      <c r="K328" t="s">
        <v>27</v>
      </c>
      <c r="L328" t="str">
        <f t="shared" si="102"/>
        <v>Noviembre</v>
      </c>
      <c r="M328" t="s">
        <v>28</v>
      </c>
      <c r="N328" t="str">
        <f t="shared" si="103"/>
        <v>{ nombre: "Tiempo Ordinario, Semana 33 Sabado", archivo: "/salterios/src/evan/audios/tos033sabado.mp3", fecha: `${year}-011-22` },</v>
      </c>
    </row>
    <row r="329" spans="1:14" x14ac:dyDescent="0.25">
      <c r="A329" t="s">
        <v>0</v>
      </c>
      <c r="B329" t="str">
        <f t="shared" si="111"/>
        <v>ordinario</v>
      </c>
      <c r="C329" t="s">
        <v>2</v>
      </c>
      <c r="D329" s="2">
        <f>+D328+1</f>
        <v>34</v>
      </c>
      <c r="E329" t="s">
        <v>9</v>
      </c>
      <c r="F329" t="s">
        <v>17</v>
      </c>
      <c r="G329" s="1" t="str">
        <f>_xlfn.CONCAT(LEFT(A329,1),LEFT(B329,1),LEFT(C329,1),"0",D329,E329)</f>
        <v>tos034domingo</v>
      </c>
      <c r="H329" t="s">
        <v>15</v>
      </c>
      <c r="I329">
        <f t="shared" si="108"/>
        <v>11</v>
      </c>
      <c r="J329">
        <f t="shared" si="120"/>
        <v>23</v>
      </c>
      <c r="K329" t="s">
        <v>27</v>
      </c>
      <c r="L329" t="str">
        <f t="shared" si="102"/>
        <v>Noviembre</v>
      </c>
      <c r="M329" t="s">
        <v>28</v>
      </c>
      <c r="N329" t="str">
        <f t="shared" si="103"/>
        <v>{ nombre: "Tiempo Ordinario, Semana 34 Domingo", archivo: "/salterios/src/evan/audios/tos034domingo.mp3", fecha: `${year}-011-23` },</v>
      </c>
    </row>
    <row r="330" spans="1:14" x14ac:dyDescent="0.25">
      <c r="A330" t="s">
        <v>0</v>
      </c>
      <c r="B330" t="str">
        <f t="shared" si="111"/>
        <v>ordinario</v>
      </c>
      <c r="C330" t="s">
        <v>2</v>
      </c>
      <c r="D330" s="2">
        <f>D329</f>
        <v>34</v>
      </c>
      <c r="E330" t="s">
        <v>3</v>
      </c>
      <c r="F330" t="s">
        <v>17</v>
      </c>
      <c r="G330" s="1" t="str">
        <f t="shared" ref="G330:G335" si="123">_xlfn.CONCAT(LEFT(A330,1),LEFT(B330,1),LEFT(C330,1),"0",D330,E330)</f>
        <v>tos034lunes</v>
      </c>
      <c r="H330" t="s">
        <v>15</v>
      </c>
      <c r="I330">
        <f t="shared" si="108"/>
        <v>11</v>
      </c>
      <c r="J330">
        <f t="shared" si="120"/>
        <v>24</v>
      </c>
      <c r="K330" t="s">
        <v>27</v>
      </c>
      <c r="L330" t="str">
        <f t="shared" si="102"/>
        <v>Noviembre</v>
      </c>
      <c r="M330" t="s">
        <v>28</v>
      </c>
      <c r="N330" t="str">
        <f t="shared" si="103"/>
        <v>{ nombre: "Tiempo Ordinario, Semana 34 Lunes", archivo: "/salterios/src/evan/audios/tos034lunes.mp3", fecha: `${year}-011-24` },</v>
      </c>
    </row>
    <row r="331" spans="1:14" x14ac:dyDescent="0.25">
      <c r="A331" t="s">
        <v>0</v>
      </c>
      <c r="B331" t="str">
        <f t="shared" si="111"/>
        <v>ordinario</v>
      </c>
      <c r="C331" t="s">
        <v>2</v>
      </c>
      <c r="D331" s="2">
        <f t="shared" ref="D331:D335" si="124">D330</f>
        <v>34</v>
      </c>
      <c r="E331" t="s">
        <v>4</v>
      </c>
      <c r="F331" t="s">
        <v>17</v>
      </c>
      <c r="G331" s="1" t="str">
        <f t="shared" si="123"/>
        <v>tos034martes</v>
      </c>
      <c r="H331" t="s">
        <v>15</v>
      </c>
      <c r="I331">
        <f t="shared" si="108"/>
        <v>11</v>
      </c>
      <c r="J331">
        <f t="shared" si="120"/>
        <v>25</v>
      </c>
      <c r="K331" t="s">
        <v>27</v>
      </c>
      <c r="L331" t="str">
        <f t="shared" si="102"/>
        <v>Noviembre</v>
      </c>
      <c r="M331" t="s">
        <v>28</v>
      </c>
      <c r="N331" t="str">
        <f t="shared" si="103"/>
        <v>{ nombre: "Tiempo Ordinario, Semana 34 Martes", archivo: "/salterios/src/evan/audios/tos034martes.mp3", fecha: `${year}-011-25` },</v>
      </c>
    </row>
    <row r="332" spans="1:14" x14ac:dyDescent="0.25">
      <c r="A332" t="s">
        <v>0</v>
      </c>
      <c r="B332" t="str">
        <f t="shared" si="111"/>
        <v>ordinario</v>
      </c>
      <c r="C332" t="s">
        <v>2</v>
      </c>
      <c r="D332" s="2">
        <f t="shared" si="124"/>
        <v>34</v>
      </c>
      <c r="E332" t="s">
        <v>5</v>
      </c>
      <c r="F332" t="s">
        <v>17</v>
      </c>
      <c r="G332" s="1" t="str">
        <f t="shared" si="123"/>
        <v>tos034miercoles</v>
      </c>
      <c r="H332" t="s">
        <v>15</v>
      </c>
      <c r="I332">
        <f t="shared" si="108"/>
        <v>11</v>
      </c>
      <c r="J332">
        <f t="shared" si="120"/>
        <v>26</v>
      </c>
      <c r="K332" t="s">
        <v>27</v>
      </c>
      <c r="L332" t="str">
        <f t="shared" si="102"/>
        <v>Noviembre</v>
      </c>
      <c r="M332" t="s">
        <v>28</v>
      </c>
      <c r="N332" t="str">
        <f t="shared" si="103"/>
        <v>{ nombre: "Tiempo Ordinario, Semana 34 Miercoles", archivo: "/salterios/src/evan/audios/tos034miercoles.mp3", fecha: `${year}-011-26` },</v>
      </c>
    </row>
    <row r="333" spans="1:14" x14ac:dyDescent="0.25">
      <c r="A333" t="s">
        <v>0</v>
      </c>
      <c r="B333" t="str">
        <f t="shared" si="111"/>
        <v>ordinario</v>
      </c>
      <c r="C333" t="s">
        <v>2</v>
      </c>
      <c r="D333" s="2">
        <f t="shared" si="124"/>
        <v>34</v>
      </c>
      <c r="E333" t="s">
        <v>6</v>
      </c>
      <c r="F333" t="s">
        <v>17</v>
      </c>
      <c r="G333" s="1" t="str">
        <f t="shared" si="123"/>
        <v>tos034jueves</v>
      </c>
      <c r="H333" t="s">
        <v>15</v>
      </c>
      <c r="I333">
        <f t="shared" si="108"/>
        <v>11</v>
      </c>
      <c r="J333">
        <f t="shared" si="120"/>
        <v>27</v>
      </c>
      <c r="K333" t="s">
        <v>27</v>
      </c>
      <c r="L333" t="str">
        <f t="shared" si="102"/>
        <v>Noviembre</v>
      </c>
      <c r="M333" t="s">
        <v>28</v>
      </c>
      <c r="N333" t="str">
        <f t="shared" si="103"/>
        <v>{ nombre: "Tiempo Ordinario, Semana 34 Jueves", archivo: "/salterios/src/evan/audios/tos034jueves.mp3", fecha: `${year}-011-27` },</v>
      </c>
    </row>
    <row r="334" spans="1:14" x14ac:dyDescent="0.25">
      <c r="A334" t="s">
        <v>0</v>
      </c>
      <c r="B334" t="str">
        <f t="shared" si="111"/>
        <v>ordinario</v>
      </c>
      <c r="C334" t="s">
        <v>2</v>
      </c>
      <c r="D334" s="2">
        <f t="shared" si="124"/>
        <v>34</v>
      </c>
      <c r="E334" t="s">
        <v>7</v>
      </c>
      <c r="F334" t="s">
        <v>17</v>
      </c>
      <c r="G334" s="1" t="str">
        <f t="shared" si="123"/>
        <v>tos034viernes</v>
      </c>
      <c r="H334" t="s">
        <v>15</v>
      </c>
      <c r="I334">
        <f t="shared" si="108"/>
        <v>11</v>
      </c>
      <c r="J334">
        <f t="shared" si="120"/>
        <v>28</v>
      </c>
      <c r="K334" t="s">
        <v>27</v>
      </c>
      <c r="L334" t="str">
        <f t="shared" ref="L334:L367" si="125">IF(I334=1,"Enero",
IF(I334=2,"Febrero",
IF(I334=3,"Marzo",
IF(I334=4,"Abril",
IF(I334=5,"Mayo",
IF(I334=6,"Junio",
IF(I334=7,"Julio",
IF(I334=8,"Agosto",
IF(I334=9,"Septiembre",
IF(I334=10,"Octubre",
IF(I334=11,"Noviembre",
IF(I334=12,"Diciembre",""))))))))))))</f>
        <v>Noviembre</v>
      </c>
      <c r="M334" t="s">
        <v>28</v>
      </c>
      <c r="N334" t="str">
        <f t="shared" si="103"/>
        <v>{ nombre: "Tiempo Ordinario, Semana 34 Viernes", archivo: "/salterios/src/evan/audios/tos034viernes.mp3", fecha: `${year}-011-28` },</v>
      </c>
    </row>
    <row r="335" spans="1:14" x14ac:dyDescent="0.25">
      <c r="A335" t="s">
        <v>0</v>
      </c>
      <c r="B335" t="str">
        <f t="shared" si="111"/>
        <v>ordinario</v>
      </c>
      <c r="C335" t="s">
        <v>2</v>
      </c>
      <c r="D335" s="2">
        <f t="shared" si="124"/>
        <v>34</v>
      </c>
      <c r="E335" t="s">
        <v>8</v>
      </c>
      <c r="F335" t="s">
        <v>17</v>
      </c>
      <c r="G335" s="1" t="str">
        <f t="shared" si="123"/>
        <v>tos034sabado</v>
      </c>
      <c r="H335" t="s">
        <v>15</v>
      </c>
      <c r="I335">
        <f t="shared" si="108"/>
        <v>11</v>
      </c>
      <c r="J335">
        <f t="shared" si="120"/>
        <v>29</v>
      </c>
      <c r="K335" t="s">
        <v>27</v>
      </c>
      <c r="L335" t="str">
        <f t="shared" si="125"/>
        <v>Noviembre</v>
      </c>
      <c r="M335" t="s">
        <v>28</v>
      </c>
      <c r="N335" t="str">
        <f t="shared" si="103"/>
        <v>{ nombre: "Tiempo Ordinario, Semana 34 Sabado", archivo: "/salterios/src/evan/audios/tos034sabado.mp3", fecha: `${year}-011-29` },</v>
      </c>
    </row>
    <row r="336" spans="1:14" x14ac:dyDescent="0.25">
      <c r="A336" t="s">
        <v>0</v>
      </c>
      <c r="B336" t="s">
        <v>10</v>
      </c>
      <c r="C336" t="s">
        <v>2</v>
      </c>
      <c r="D336" s="2">
        <v>1</v>
      </c>
      <c r="E336" t="s">
        <v>9</v>
      </c>
      <c r="F336" t="s">
        <v>17</v>
      </c>
      <c r="G336" s="1" t="str">
        <f>_xlfn.CONCAT(LEFT(A336,1),LEFT(B336,1),LEFT(C336,1),"0",D336,E336)</f>
        <v>tas01domingo</v>
      </c>
      <c r="H336" t="s">
        <v>15</v>
      </c>
      <c r="I336">
        <f t="shared" si="108"/>
        <v>11</v>
      </c>
      <c r="J336">
        <f t="shared" si="120"/>
        <v>30</v>
      </c>
      <c r="K336" t="s">
        <v>27</v>
      </c>
      <c r="L336" t="str">
        <f t="shared" si="125"/>
        <v>Noviembre</v>
      </c>
      <c r="M336" t="s">
        <v>28</v>
      </c>
      <c r="N336" t="str">
        <f t="shared" ref="N336:N367" si="126">_xlfn.CONCAT("{ nombre: ",H336,PROPER(A336)," ",PROPER(B336),", ",PROPER(C336)," ",D336," ",PROPER(E336),""",",F336,G336,".mp3",H336,", fecha: `${year}-",0,I336,"-",J336,"` },")</f>
        <v>{ nombre: "Tiempo Adviento, Semana 1 Domingo", archivo: "/salterios/src/evan/audios/tas01domingo.mp3", fecha: `${year}-011-30` },</v>
      </c>
    </row>
    <row r="337" spans="1:14" x14ac:dyDescent="0.25">
      <c r="A337" t="s">
        <v>0</v>
      </c>
      <c r="B337" t="str">
        <f t="shared" ref="B337:B359" si="127">B336</f>
        <v>adviento</v>
      </c>
      <c r="C337" t="s">
        <v>2</v>
      </c>
      <c r="D337" s="2">
        <f>D336</f>
        <v>1</v>
      </c>
      <c r="E337" t="s">
        <v>3</v>
      </c>
      <c r="F337" t="s">
        <v>17</v>
      </c>
      <c r="G337" s="1" t="str">
        <f t="shared" ref="G337:G342" si="128">_xlfn.CONCAT(LEFT(A337,1),LEFT(B337,1),LEFT(C337,1),"0",D337,E337)</f>
        <v>tas01lunes</v>
      </c>
      <c r="H337" t="s">
        <v>15</v>
      </c>
      <c r="I337">
        <v>12</v>
      </c>
      <c r="J337">
        <v>1</v>
      </c>
      <c r="K337" t="s">
        <v>27</v>
      </c>
      <c r="L337" t="str">
        <f t="shared" si="125"/>
        <v>Diciembre</v>
      </c>
      <c r="M337" t="s">
        <v>28</v>
      </c>
      <c r="N337" t="str">
        <f t="shared" si="126"/>
        <v>{ nombre: "Tiempo Adviento, Semana 1 Lunes", archivo: "/salterios/src/evan/audios/tas01lunes.mp3", fecha: `${year}-012-1` },</v>
      </c>
    </row>
    <row r="338" spans="1:14" x14ac:dyDescent="0.25">
      <c r="A338" t="s">
        <v>0</v>
      </c>
      <c r="B338" t="str">
        <f t="shared" si="127"/>
        <v>adviento</v>
      </c>
      <c r="C338" t="s">
        <v>2</v>
      </c>
      <c r="D338" s="2">
        <f t="shared" ref="D338:D342" si="129">D337</f>
        <v>1</v>
      </c>
      <c r="E338" t="s">
        <v>4</v>
      </c>
      <c r="F338" t="s">
        <v>17</v>
      </c>
      <c r="G338" s="1" t="str">
        <f t="shared" si="128"/>
        <v>tas01martes</v>
      </c>
      <c r="H338" t="s">
        <v>15</v>
      </c>
      <c r="I338">
        <f t="shared" si="108"/>
        <v>12</v>
      </c>
      <c r="J338">
        <f t="shared" si="120"/>
        <v>2</v>
      </c>
      <c r="K338" t="s">
        <v>27</v>
      </c>
      <c r="L338" t="str">
        <f t="shared" si="125"/>
        <v>Diciembre</v>
      </c>
      <c r="M338" t="s">
        <v>28</v>
      </c>
      <c r="N338" t="str">
        <f t="shared" si="126"/>
        <v>{ nombre: "Tiempo Adviento, Semana 1 Martes", archivo: "/salterios/src/evan/audios/tas01martes.mp3", fecha: `${year}-012-2` },</v>
      </c>
    </row>
    <row r="339" spans="1:14" x14ac:dyDescent="0.25">
      <c r="A339" t="s">
        <v>0</v>
      </c>
      <c r="B339" t="str">
        <f t="shared" si="127"/>
        <v>adviento</v>
      </c>
      <c r="C339" t="s">
        <v>2</v>
      </c>
      <c r="D339" s="2">
        <f t="shared" si="129"/>
        <v>1</v>
      </c>
      <c r="E339" t="s">
        <v>5</v>
      </c>
      <c r="F339" t="s">
        <v>17</v>
      </c>
      <c r="G339" s="1" t="str">
        <f t="shared" si="128"/>
        <v>tas01miercoles</v>
      </c>
      <c r="H339" t="s">
        <v>15</v>
      </c>
      <c r="I339">
        <f t="shared" si="108"/>
        <v>12</v>
      </c>
      <c r="J339">
        <f t="shared" si="120"/>
        <v>3</v>
      </c>
      <c r="K339" t="s">
        <v>27</v>
      </c>
      <c r="L339" t="str">
        <f t="shared" si="125"/>
        <v>Diciembre</v>
      </c>
      <c r="M339" t="s">
        <v>28</v>
      </c>
      <c r="N339" t="str">
        <f t="shared" si="126"/>
        <v>{ nombre: "Tiempo Adviento, Semana 1 Miercoles", archivo: "/salterios/src/evan/audios/tas01miercoles.mp3", fecha: `${year}-012-3` },</v>
      </c>
    </row>
    <row r="340" spans="1:14" x14ac:dyDescent="0.25">
      <c r="A340" t="s">
        <v>0</v>
      </c>
      <c r="B340" t="str">
        <f t="shared" si="127"/>
        <v>adviento</v>
      </c>
      <c r="C340" t="s">
        <v>2</v>
      </c>
      <c r="D340" s="2">
        <f t="shared" si="129"/>
        <v>1</v>
      </c>
      <c r="E340" t="s">
        <v>6</v>
      </c>
      <c r="F340" t="s">
        <v>17</v>
      </c>
      <c r="G340" s="1" t="str">
        <f t="shared" si="128"/>
        <v>tas01jueves</v>
      </c>
      <c r="H340" t="s">
        <v>15</v>
      </c>
      <c r="I340">
        <f t="shared" si="108"/>
        <v>12</v>
      </c>
      <c r="J340">
        <f t="shared" si="120"/>
        <v>4</v>
      </c>
      <c r="K340" t="s">
        <v>27</v>
      </c>
      <c r="L340" t="str">
        <f t="shared" si="125"/>
        <v>Diciembre</v>
      </c>
      <c r="M340" t="s">
        <v>28</v>
      </c>
      <c r="N340" t="str">
        <f t="shared" si="126"/>
        <v>{ nombre: "Tiempo Adviento, Semana 1 Jueves", archivo: "/salterios/src/evan/audios/tas01jueves.mp3", fecha: `${year}-012-4` },</v>
      </c>
    </row>
    <row r="341" spans="1:14" x14ac:dyDescent="0.25">
      <c r="A341" t="s">
        <v>0</v>
      </c>
      <c r="B341" t="str">
        <f t="shared" si="127"/>
        <v>adviento</v>
      </c>
      <c r="C341" t="s">
        <v>2</v>
      </c>
      <c r="D341" s="2">
        <f t="shared" si="129"/>
        <v>1</v>
      </c>
      <c r="E341" t="s">
        <v>7</v>
      </c>
      <c r="F341" t="s">
        <v>17</v>
      </c>
      <c r="G341" s="1" t="str">
        <f t="shared" si="128"/>
        <v>tas01viernes</v>
      </c>
      <c r="H341" t="s">
        <v>15</v>
      </c>
      <c r="I341">
        <f t="shared" si="108"/>
        <v>12</v>
      </c>
      <c r="J341">
        <f t="shared" si="120"/>
        <v>5</v>
      </c>
      <c r="K341" t="s">
        <v>27</v>
      </c>
      <c r="L341" t="str">
        <f t="shared" si="125"/>
        <v>Diciembre</v>
      </c>
      <c r="M341" t="s">
        <v>28</v>
      </c>
      <c r="N341" t="str">
        <f t="shared" si="126"/>
        <v>{ nombre: "Tiempo Adviento, Semana 1 Viernes", archivo: "/salterios/src/evan/audios/tas01viernes.mp3", fecha: `${year}-012-5` },</v>
      </c>
    </row>
    <row r="342" spans="1:14" x14ac:dyDescent="0.25">
      <c r="A342" t="s">
        <v>0</v>
      </c>
      <c r="B342" t="str">
        <f t="shared" si="127"/>
        <v>adviento</v>
      </c>
      <c r="C342" t="s">
        <v>2</v>
      </c>
      <c r="D342" s="2">
        <f t="shared" si="129"/>
        <v>1</v>
      </c>
      <c r="E342" t="s">
        <v>8</v>
      </c>
      <c r="F342" t="s">
        <v>17</v>
      </c>
      <c r="G342" s="1" t="str">
        <f t="shared" si="128"/>
        <v>tas01sabado</v>
      </c>
      <c r="H342" t="s">
        <v>15</v>
      </c>
      <c r="I342">
        <f t="shared" si="108"/>
        <v>12</v>
      </c>
      <c r="J342">
        <f t="shared" si="120"/>
        <v>6</v>
      </c>
      <c r="K342" t="s">
        <v>27</v>
      </c>
      <c r="L342" t="str">
        <f t="shared" si="125"/>
        <v>Diciembre</v>
      </c>
      <c r="M342" t="s">
        <v>28</v>
      </c>
      <c r="N342" t="str">
        <f t="shared" si="126"/>
        <v>{ nombre: "Tiempo Adviento, Semana 1 Sabado", archivo: "/salterios/src/evan/audios/tas01sabado.mp3", fecha: `${year}-012-6` },</v>
      </c>
    </row>
    <row r="343" spans="1:14" x14ac:dyDescent="0.25">
      <c r="A343" t="s">
        <v>0</v>
      </c>
      <c r="B343" t="str">
        <f t="shared" si="127"/>
        <v>adviento</v>
      </c>
      <c r="C343" t="s">
        <v>2</v>
      </c>
      <c r="D343" s="2">
        <f>+D342+1</f>
        <v>2</v>
      </c>
      <c r="E343" t="s">
        <v>9</v>
      </c>
      <c r="F343" t="s">
        <v>17</v>
      </c>
      <c r="G343" s="1" t="str">
        <f>_xlfn.CONCAT(LEFT(A343,1),LEFT(B343,1),LEFT(C343,1),"0",D343,E343)</f>
        <v>tas02domingo</v>
      </c>
      <c r="H343" t="s">
        <v>15</v>
      </c>
      <c r="I343">
        <f t="shared" si="108"/>
        <v>12</v>
      </c>
      <c r="J343">
        <f t="shared" si="120"/>
        <v>7</v>
      </c>
      <c r="K343" t="s">
        <v>27</v>
      </c>
      <c r="L343" t="str">
        <f t="shared" si="125"/>
        <v>Diciembre</v>
      </c>
      <c r="M343" t="s">
        <v>28</v>
      </c>
      <c r="N343" t="str">
        <f t="shared" si="126"/>
        <v>{ nombre: "Tiempo Adviento, Semana 2 Domingo", archivo: "/salterios/src/evan/audios/tas02domingo.mp3", fecha: `${year}-012-7` },</v>
      </c>
    </row>
    <row r="344" spans="1:14" x14ac:dyDescent="0.25">
      <c r="A344" t="s">
        <v>0</v>
      </c>
      <c r="B344" t="str">
        <f t="shared" si="127"/>
        <v>adviento</v>
      </c>
      <c r="C344" t="s">
        <v>2</v>
      </c>
      <c r="D344" s="2">
        <f>D343</f>
        <v>2</v>
      </c>
      <c r="E344" t="s">
        <v>3</v>
      </c>
      <c r="F344" t="s">
        <v>17</v>
      </c>
      <c r="G344" s="1" t="str">
        <f t="shared" ref="G344:G349" si="130">_xlfn.CONCAT(LEFT(A344,1),LEFT(B344,1),LEFT(C344,1),"0",D344,E344)</f>
        <v>tas02lunes</v>
      </c>
      <c r="H344" t="s">
        <v>15</v>
      </c>
      <c r="I344">
        <f t="shared" si="108"/>
        <v>12</v>
      </c>
      <c r="J344">
        <f t="shared" si="120"/>
        <v>8</v>
      </c>
      <c r="K344" t="s">
        <v>27</v>
      </c>
      <c r="L344" t="str">
        <f t="shared" si="125"/>
        <v>Diciembre</v>
      </c>
      <c r="M344" t="s">
        <v>28</v>
      </c>
      <c r="N344" t="str">
        <f t="shared" si="126"/>
        <v>{ nombre: "Tiempo Adviento, Semana 2 Lunes", archivo: "/salterios/src/evan/audios/tas02lunes.mp3", fecha: `${year}-012-8` },</v>
      </c>
    </row>
    <row r="345" spans="1:14" x14ac:dyDescent="0.25">
      <c r="A345" t="s">
        <v>0</v>
      </c>
      <c r="B345" t="str">
        <f t="shared" si="127"/>
        <v>adviento</v>
      </c>
      <c r="C345" t="s">
        <v>2</v>
      </c>
      <c r="D345" s="2">
        <f t="shared" ref="D345:D349" si="131">D344</f>
        <v>2</v>
      </c>
      <c r="E345" t="s">
        <v>4</v>
      </c>
      <c r="F345" t="s">
        <v>17</v>
      </c>
      <c r="G345" s="1" t="str">
        <f t="shared" si="130"/>
        <v>tas02martes</v>
      </c>
      <c r="H345" t="s">
        <v>15</v>
      </c>
      <c r="I345">
        <f t="shared" si="108"/>
        <v>12</v>
      </c>
      <c r="J345">
        <f t="shared" si="120"/>
        <v>9</v>
      </c>
      <c r="K345" t="s">
        <v>27</v>
      </c>
      <c r="L345" t="str">
        <f t="shared" si="125"/>
        <v>Diciembre</v>
      </c>
      <c r="M345" t="s">
        <v>28</v>
      </c>
      <c r="N345" t="str">
        <f t="shared" si="126"/>
        <v>{ nombre: "Tiempo Adviento, Semana 2 Martes", archivo: "/salterios/src/evan/audios/tas02martes.mp3", fecha: `${year}-012-9` },</v>
      </c>
    </row>
    <row r="346" spans="1:14" x14ac:dyDescent="0.25">
      <c r="A346" t="s">
        <v>0</v>
      </c>
      <c r="B346" t="str">
        <f t="shared" si="127"/>
        <v>adviento</v>
      </c>
      <c r="C346" t="s">
        <v>2</v>
      </c>
      <c r="D346" s="2">
        <f t="shared" si="131"/>
        <v>2</v>
      </c>
      <c r="E346" t="s">
        <v>5</v>
      </c>
      <c r="F346" t="s">
        <v>17</v>
      </c>
      <c r="G346" s="1" t="str">
        <f t="shared" si="130"/>
        <v>tas02miercoles</v>
      </c>
      <c r="H346" t="s">
        <v>15</v>
      </c>
      <c r="I346">
        <f t="shared" si="108"/>
        <v>12</v>
      </c>
      <c r="J346">
        <f t="shared" si="120"/>
        <v>10</v>
      </c>
      <c r="K346" t="s">
        <v>27</v>
      </c>
      <c r="L346" t="str">
        <f t="shared" si="125"/>
        <v>Diciembre</v>
      </c>
      <c r="M346" t="s">
        <v>28</v>
      </c>
      <c r="N346" t="str">
        <f t="shared" si="126"/>
        <v>{ nombre: "Tiempo Adviento, Semana 2 Miercoles", archivo: "/salterios/src/evan/audios/tas02miercoles.mp3", fecha: `${year}-012-10` },</v>
      </c>
    </row>
    <row r="347" spans="1:14" x14ac:dyDescent="0.25">
      <c r="A347" t="s">
        <v>0</v>
      </c>
      <c r="B347" t="str">
        <f t="shared" si="127"/>
        <v>adviento</v>
      </c>
      <c r="C347" t="s">
        <v>2</v>
      </c>
      <c r="D347" s="2">
        <f t="shared" si="131"/>
        <v>2</v>
      </c>
      <c r="E347" t="s">
        <v>6</v>
      </c>
      <c r="F347" t="s">
        <v>17</v>
      </c>
      <c r="G347" s="1" t="str">
        <f t="shared" si="130"/>
        <v>tas02jueves</v>
      </c>
      <c r="H347" t="s">
        <v>15</v>
      </c>
      <c r="I347">
        <f t="shared" si="108"/>
        <v>12</v>
      </c>
      <c r="J347">
        <f t="shared" si="120"/>
        <v>11</v>
      </c>
      <c r="K347" t="s">
        <v>27</v>
      </c>
      <c r="L347" t="str">
        <f t="shared" si="125"/>
        <v>Diciembre</v>
      </c>
      <c r="M347" t="s">
        <v>28</v>
      </c>
      <c r="N347" t="str">
        <f t="shared" si="126"/>
        <v>{ nombre: "Tiempo Adviento, Semana 2 Jueves", archivo: "/salterios/src/evan/audios/tas02jueves.mp3", fecha: `${year}-012-11` },</v>
      </c>
    </row>
    <row r="348" spans="1:14" x14ac:dyDescent="0.25">
      <c r="A348" t="s">
        <v>0</v>
      </c>
      <c r="B348" t="str">
        <f t="shared" si="127"/>
        <v>adviento</v>
      </c>
      <c r="C348" t="s">
        <v>2</v>
      </c>
      <c r="D348" s="2">
        <f t="shared" si="131"/>
        <v>2</v>
      </c>
      <c r="E348" t="s">
        <v>7</v>
      </c>
      <c r="F348" t="s">
        <v>17</v>
      </c>
      <c r="G348" s="1" t="str">
        <f t="shared" si="130"/>
        <v>tas02viernes</v>
      </c>
      <c r="H348" t="s">
        <v>15</v>
      </c>
      <c r="I348">
        <f t="shared" si="108"/>
        <v>12</v>
      </c>
      <c r="J348">
        <f t="shared" si="120"/>
        <v>12</v>
      </c>
      <c r="K348" t="s">
        <v>27</v>
      </c>
      <c r="L348" t="str">
        <f t="shared" si="125"/>
        <v>Diciembre</v>
      </c>
      <c r="M348" t="s">
        <v>28</v>
      </c>
      <c r="N348" t="str">
        <f t="shared" si="126"/>
        <v>{ nombre: "Tiempo Adviento, Semana 2 Viernes", archivo: "/salterios/src/evan/audios/tas02viernes.mp3", fecha: `${year}-012-12` },</v>
      </c>
    </row>
    <row r="349" spans="1:14" x14ac:dyDescent="0.25">
      <c r="A349" t="s">
        <v>0</v>
      </c>
      <c r="B349" t="str">
        <f t="shared" si="127"/>
        <v>adviento</v>
      </c>
      <c r="C349" t="s">
        <v>2</v>
      </c>
      <c r="D349" s="2">
        <f t="shared" si="131"/>
        <v>2</v>
      </c>
      <c r="E349" t="s">
        <v>8</v>
      </c>
      <c r="F349" t="s">
        <v>17</v>
      </c>
      <c r="G349" s="1" t="str">
        <f t="shared" si="130"/>
        <v>tas02sabado</v>
      </c>
      <c r="H349" t="s">
        <v>15</v>
      </c>
      <c r="I349">
        <f t="shared" si="108"/>
        <v>12</v>
      </c>
      <c r="J349">
        <f t="shared" si="120"/>
        <v>13</v>
      </c>
      <c r="K349" t="s">
        <v>27</v>
      </c>
      <c r="L349" t="str">
        <f t="shared" si="125"/>
        <v>Diciembre</v>
      </c>
      <c r="M349" t="s">
        <v>28</v>
      </c>
      <c r="N349" t="str">
        <f t="shared" si="126"/>
        <v>{ nombre: "Tiempo Adviento, Semana 2 Sabado", archivo: "/salterios/src/evan/audios/tas02sabado.mp3", fecha: `${year}-012-13` },</v>
      </c>
    </row>
    <row r="350" spans="1:14" x14ac:dyDescent="0.25">
      <c r="A350" t="s">
        <v>0</v>
      </c>
      <c r="B350" t="str">
        <f t="shared" si="127"/>
        <v>adviento</v>
      </c>
      <c r="C350" t="s">
        <v>2</v>
      </c>
      <c r="D350" s="2">
        <f>+D349+1</f>
        <v>3</v>
      </c>
      <c r="E350" t="s">
        <v>9</v>
      </c>
      <c r="F350" t="s">
        <v>17</v>
      </c>
      <c r="G350" s="1" t="str">
        <f>_xlfn.CONCAT(LEFT(A350,1),LEFT(B350,1),LEFT(C350,1),"0",D350,E350)</f>
        <v>tas03domingo</v>
      </c>
      <c r="H350" t="s">
        <v>15</v>
      </c>
      <c r="I350">
        <f t="shared" si="108"/>
        <v>12</v>
      </c>
      <c r="J350">
        <f t="shared" si="120"/>
        <v>14</v>
      </c>
      <c r="K350" t="s">
        <v>27</v>
      </c>
      <c r="L350" t="str">
        <f t="shared" si="125"/>
        <v>Diciembre</v>
      </c>
      <c r="M350" t="s">
        <v>28</v>
      </c>
      <c r="N350" t="str">
        <f t="shared" si="126"/>
        <v>{ nombre: "Tiempo Adviento, Semana 3 Domingo", archivo: "/salterios/src/evan/audios/tas03domingo.mp3", fecha: `${year}-012-14` },</v>
      </c>
    </row>
    <row r="351" spans="1:14" x14ac:dyDescent="0.25">
      <c r="A351" t="s">
        <v>0</v>
      </c>
      <c r="B351" t="str">
        <f t="shared" si="127"/>
        <v>adviento</v>
      </c>
      <c r="C351" t="s">
        <v>2</v>
      </c>
      <c r="D351" s="2">
        <f>D350</f>
        <v>3</v>
      </c>
      <c r="E351" t="s">
        <v>3</v>
      </c>
      <c r="F351" t="s">
        <v>17</v>
      </c>
      <c r="G351" s="1" t="str">
        <f t="shared" ref="G351:G356" si="132">_xlfn.CONCAT(LEFT(A351,1),LEFT(B351,1),LEFT(C351,1),"0",D351,E351)</f>
        <v>tas03lunes</v>
      </c>
      <c r="H351" t="s">
        <v>15</v>
      </c>
      <c r="I351">
        <f t="shared" ref="I351:I367" si="133">I350</f>
        <v>12</v>
      </c>
      <c r="J351">
        <f t="shared" si="120"/>
        <v>15</v>
      </c>
      <c r="K351" t="s">
        <v>27</v>
      </c>
      <c r="L351" t="str">
        <f t="shared" si="125"/>
        <v>Diciembre</v>
      </c>
      <c r="M351" t="s">
        <v>28</v>
      </c>
      <c r="N351" t="str">
        <f t="shared" si="126"/>
        <v>{ nombre: "Tiempo Adviento, Semana 3 Lunes", archivo: "/salterios/src/evan/audios/tas03lunes.mp3", fecha: `${year}-012-15` },</v>
      </c>
    </row>
    <row r="352" spans="1:14" x14ac:dyDescent="0.25">
      <c r="A352" t="s">
        <v>0</v>
      </c>
      <c r="B352" t="str">
        <f t="shared" si="127"/>
        <v>adviento</v>
      </c>
      <c r="C352" t="s">
        <v>2</v>
      </c>
      <c r="D352" s="2">
        <f t="shared" ref="D352:D356" si="134">D351</f>
        <v>3</v>
      </c>
      <c r="E352" t="s">
        <v>4</v>
      </c>
      <c r="F352" t="s">
        <v>17</v>
      </c>
      <c r="G352" s="1" t="str">
        <f t="shared" si="132"/>
        <v>tas03martes</v>
      </c>
      <c r="H352" t="s">
        <v>15</v>
      </c>
      <c r="I352">
        <f t="shared" si="133"/>
        <v>12</v>
      </c>
      <c r="J352">
        <f t="shared" si="120"/>
        <v>16</v>
      </c>
      <c r="K352" t="s">
        <v>27</v>
      </c>
      <c r="L352" t="str">
        <f t="shared" si="125"/>
        <v>Diciembre</v>
      </c>
      <c r="M352" t="s">
        <v>28</v>
      </c>
      <c r="N352" t="str">
        <f t="shared" si="126"/>
        <v>{ nombre: "Tiempo Adviento, Semana 3 Martes", archivo: "/salterios/src/evan/audios/tas03martes.mp3", fecha: `${year}-012-16` },</v>
      </c>
    </row>
    <row r="353" spans="1:14" x14ac:dyDescent="0.25">
      <c r="A353" t="s">
        <v>0</v>
      </c>
      <c r="B353" t="str">
        <f t="shared" si="127"/>
        <v>adviento</v>
      </c>
      <c r="C353" t="s">
        <v>2</v>
      </c>
      <c r="D353" s="2">
        <f t="shared" si="134"/>
        <v>3</v>
      </c>
      <c r="E353" t="s">
        <v>5</v>
      </c>
      <c r="F353" t="s">
        <v>17</v>
      </c>
      <c r="G353" s="1" t="str">
        <f t="shared" si="132"/>
        <v>tas03miercoles</v>
      </c>
      <c r="H353" t="s">
        <v>15</v>
      </c>
      <c r="I353">
        <f t="shared" si="133"/>
        <v>12</v>
      </c>
      <c r="J353">
        <f t="shared" si="120"/>
        <v>17</v>
      </c>
      <c r="K353" t="s">
        <v>27</v>
      </c>
      <c r="L353" t="str">
        <f t="shared" si="125"/>
        <v>Diciembre</v>
      </c>
      <c r="M353" t="s">
        <v>28</v>
      </c>
      <c r="N353" t="str">
        <f t="shared" si="126"/>
        <v>{ nombre: "Tiempo Adviento, Semana 3 Miercoles", archivo: "/salterios/src/evan/audios/tas03miercoles.mp3", fecha: `${year}-012-17` },</v>
      </c>
    </row>
    <row r="354" spans="1:14" x14ac:dyDescent="0.25">
      <c r="A354" t="s">
        <v>0</v>
      </c>
      <c r="B354" t="str">
        <f t="shared" si="127"/>
        <v>adviento</v>
      </c>
      <c r="C354" t="s">
        <v>2</v>
      </c>
      <c r="D354" s="2">
        <f t="shared" si="134"/>
        <v>3</v>
      </c>
      <c r="E354" t="s">
        <v>6</v>
      </c>
      <c r="F354" t="s">
        <v>17</v>
      </c>
      <c r="G354" s="1" t="str">
        <f t="shared" si="132"/>
        <v>tas03jueves</v>
      </c>
      <c r="H354" t="s">
        <v>15</v>
      </c>
      <c r="I354">
        <f t="shared" si="133"/>
        <v>12</v>
      </c>
      <c r="J354">
        <f t="shared" si="120"/>
        <v>18</v>
      </c>
      <c r="K354" t="s">
        <v>27</v>
      </c>
      <c r="L354" t="str">
        <f t="shared" si="125"/>
        <v>Diciembre</v>
      </c>
      <c r="M354" t="s">
        <v>28</v>
      </c>
      <c r="N354" t="str">
        <f t="shared" si="126"/>
        <v>{ nombre: "Tiempo Adviento, Semana 3 Jueves", archivo: "/salterios/src/evan/audios/tas03jueves.mp3", fecha: `${year}-012-18` },</v>
      </c>
    </row>
    <row r="355" spans="1:14" x14ac:dyDescent="0.25">
      <c r="A355" t="s">
        <v>0</v>
      </c>
      <c r="B355" t="str">
        <f t="shared" si="127"/>
        <v>adviento</v>
      </c>
      <c r="C355" t="s">
        <v>2</v>
      </c>
      <c r="D355" s="2">
        <f t="shared" si="134"/>
        <v>3</v>
      </c>
      <c r="E355" t="s">
        <v>7</v>
      </c>
      <c r="F355" t="s">
        <v>17</v>
      </c>
      <c r="G355" s="1" t="str">
        <f t="shared" si="132"/>
        <v>tas03viernes</v>
      </c>
      <c r="H355" t="s">
        <v>15</v>
      </c>
      <c r="I355">
        <f t="shared" si="133"/>
        <v>12</v>
      </c>
      <c r="J355">
        <f t="shared" si="120"/>
        <v>19</v>
      </c>
      <c r="K355" t="s">
        <v>27</v>
      </c>
      <c r="L355" t="str">
        <f t="shared" si="125"/>
        <v>Diciembre</v>
      </c>
      <c r="M355" t="s">
        <v>28</v>
      </c>
      <c r="N355" t="str">
        <f t="shared" si="126"/>
        <v>{ nombre: "Tiempo Adviento, Semana 3 Viernes", archivo: "/salterios/src/evan/audios/tas03viernes.mp3", fecha: `${year}-012-19` },</v>
      </c>
    </row>
    <row r="356" spans="1:14" x14ac:dyDescent="0.25">
      <c r="A356" t="s">
        <v>0</v>
      </c>
      <c r="B356" t="str">
        <f t="shared" si="127"/>
        <v>adviento</v>
      </c>
      <c r="C356" t="s">
        <v>2</v>
      </c>
      <c r="D356" s="2">
        <f t="shared" si="134"/>
        <v>3</v>
      </c>
      <c r="E356" t="s">
        <v>8</v>
      </c>
      <c r="F356" t="s">
        <v>17</v>
      </c>
      <c r="G356" s="1" t="str">
        <f t="shared" si="132"/>
        <v>tas03sabado</v>
      </c>
      <c r="H356" t="s">
        <v>15</v>
      </c>
      <c r="I356">
        <f t="shared" si="133"/>
        <v>12</v>
      </c>
      <c r="J356">
        <f t="shared" si="120"/>
        <v>20</v>
      </c>
      <c r="K356" t="s">
        <v>27</v>
      </c>
      <c r="L356" t="str">
        <f t="shared" si="125"/>
        <v>Diciembre</v>
      </c>
      <c r="M356" t="s">
        <v>28</v>
      </c>
      <c r="N356" t="str">
        <f t="shared" si="126"/>
        <v>{ nombre: "Tiempo Adviento, Semana 3 Sabado", archivo: "/salterios/src/evan/audios/tas03sabado.mp3", fecha: `${year}-012-20` },</v>
      </c>
    </row>
    <row r="357" spans="1:14" x14ac:dyDescent="0.25">
      <c r="A357" t="s">
        <v>0</v>
      </c>
      <c r="B357" t="str">
        <f t="shared" si="127"/>
        <v>adviento</v>
      </c>
      <c r="C357" t="s">
        <v>2</v>
      </c>
      <c r="D357" s="2">
        <f>+D356+1</f>
        <v>4</v>
      </c>
      <c r="E357" t="s">
        <v>9</v>
      </c>
      <c r="F357" t="s">
        <v>17</v>
      </c>
      <c r="G357" s="1" t="str">
        <f>_xlfn.CONCAT(LEFT(A357,1),LEFT(B357,1),LEFT(C357,1),"0",D357,E357)</f>
        <v>tas04domingo</v>
      </c>
      <c r="H357" t="s">
        <v>15</v>
      </c>
      <c r="I357">
        <f t="shared" si="133"/>
        <v>12</v>
      </c>
      <c r="J357">
        <f t="shared" si="120"/>
        <v>21</v>
      </c>
      <c r="K357" t="s">
        <v>27</v>
      </c>
      <c r="L357" t="str">
        <f t="shared" si="125"/>
        <v>Diciembre</v>
      </c>
      <c r="M357" t="s">
        <v>28</v>
      </c>
      <c r="N357" t="str">
        <f t="shared" si="126"/>
        <v>{ nombre: "Tiempo Adviento, Semana 4 Domingo", archivo: "/salterios/src/evan/audios/tas04domingo.mp3", fecha: `${year}-012-21` },</v>
      </c>
    </row>
    <row r="358" spans="1:14" x14ac:dyDescent="0.25">
      <c r="A358" t="s">
        <v>0</v>
      </c>
      <c r="B358" t="str">
        <f t="shared" si="127"/>
        <v>adviento</v>
      </c>
      <c r="C358" t="s">
        <v>2</v>
      </c>
      <c r="D358" s="2">
        <f>D357</f>
        <v>4</v>
      </c>
      <c r="E358" t="s">
        <v>3</v>
      </c>
      <c r="F358" t="s">
        <v>17</v>
      </c>
      <c r="G358" s="1" t="str">
        <f t="shared" ref="G358:G363" si="135">_xlfn.CONCAT(LEFT(A358,1),LEFT(B358,1),LEFT(C358,1),"0",D358,E358)</f>
        <v>tas04lunes</v>
      </c>
      <c r="H358" t="s">
        <v>15</v>
      </c>
      <c r="I358">
        <f t="shared" si="133"/>
        <v>12</v>
      </c>
      <c r="J358">
        <f t="shared" si="120"/>
        <v>22</v>
      </c>
      <c r="K358" t="s">
        <v>27</v>
      </c>
      <c r="L358" t="str">
        <f t="shared" si="125"/>
        <v>Diciembre</v>
      </c>
      <c r="M358" t="s">
        <v>28</v>
      </c>
      <c r="N358" t="str">
        <f t="shared" si="126"/>
        <v>{ nombre: "Tiempo Adviento, Semana 4 Lunes", archivo: "/salterios/src/evan/audios/tas04lunes.mp3", fecha: `${year}-012-22` },</v>
      </c>
    </row>
    <row r="359" spans="1:14" x14ac:dyDescent="0.25">
      <c r="A359" t="s">
        <v>0</v>
      </c>
      <c r="B359" t="str">
        <f t="shared" si="127"/>
        <v>adviento</v>
      </c>
      <c r="C359" t="s">
        <v>2</v>
      </c>
      <c r="D359" s="2">
        <f t="shared" ref="D359:D363" si="136">D358</f>
        <v>4</v>
      </c>
      <c r="E359" t="s">
        <v>4</v>
      </c>
      <c r="F359" t="s">
        <v>17</v>
      </c>
      <c r="G359" s="1" t="str">
        <f t="shared" si="135"/>
        <v>tas04martes</v>
      </c>
      <c r="H359" t="s">
        <v>15</v>
      </c>
      <c r="I359">
        <f t="shared" si="133"/>
        <v>12</v>
      </c>
      <c r="J359">
        <f t="shared" si="120"/>
        <v>23</v>
      </c>
      <c r="K359" t="s">
        <v>27</v>
      </c>
      <c r="L359" t="str">
        <f t="shared" si="125"/>
        <v>Diciembre</v>
      </c>
      <c r="M359" t="s">
        <v>28</v>
      </c>
      <c r="N359" t="str">
        <f t="shared" si="126"/>
        <v>{ nombre: "Tiempo Adviento, Semana 4 Martes", archivo: "/salterios/src/evan/audios/tas04martes.mp3", fecha: `${year}-012-23` },</v>
      </c>
    </row>
    <row r="360" spans="1:14" x14ac:dyDescent="0.25">
      <c r="A360" t="s">
        <v>0</v>
      </c>
      <c r="B360" t="str">
        <f>B359</f>
        <v>adviento</v>
      </c>
      <c r="C360" t="s">
        <v>2</v>
      </c>
      <c r="D360" s="2">
        <f t="shared" si="136"/>
        <v>4</v>
      </c>
      <c r="E360" t="s">
        <v>5</v>
      </c>
      <c r="F360" t="s">
        <v>17</v>
      </c>
      <c r="G360" s="1" t="str">
        <f t="shared" si="135"/>
        <v>tas04miercoles</v>
      </c>
      <c r="H360" t="s">
        <v>15</v>
      </c>
      <c r="I360">
        <f t="shared" si="133"/>
        <v>12</v>
      </c>
      <c r="J360">
        <f t="shared" si="120"/>
        <v>24</v>
      </c>
      <c r="K360" t="s">
        <v>27</v>
      </c>
      <c r="L360" t="str">
        <f t="shared" si="125"/>
        <v>Diciembre</v>
      </c>
      <c r="M360" t="s">
        <v>28</v>
      </c>
      <c r="N360" t="str">
        <f t="shared" si="126"/>
        <v>{ nombre: "Tiempo Adviento, Semana 4 Miercoles", archivo: "/salterios/src/evan/audios/tas04miercoles.mp3", fecha: `${year}-012-24` },</v>
      </c>
    </row>
    <row r="361" spans="1:14" x14ac:dyDescent="0.25">
      <c r="A361" t="s">
        <v>0</v>
      </c>
      <c r="B361" t="s">
        <v>11</v>
      </c>
      <c r="C361" t="s">
        <v>2</v>
      </c>
      <c r="D361" s="2">
        <v>1</v>
      </c>
      <c r="E361" t="s">
        <v>6</v>
      </c>
      <c r="F361" t="s">
        <v>17</v>
      </c>
      <c r="G361" s="1" t="str">
        <f t="shared" si="135"/>
        <v>tns01jueves</v>
      </c>
      <c r="H361" t="s">
        <v>15</v>
      </c>
      <c r="I361">
        <f t="shared" si="133"/>
        <v>12</v>
      </c>
      <c r="J361">
        <f t="shared" si="120"/>
        <v>25</v>
      </c>
      <c r="K361" t="s">
        <v>27</v>
      </c>
      <c r="L361" t="str">
        <f t="shared" si="125"/>
        <v>Diciembre</v>
      </c>
      <c r="M361" t="s">
        <v>28</v>
      </c>
      <c r="N361" t="str">
        <f t="shared" si="126"/>
        <v>{ nombre: "Tiempo Navidad, Semana 1 Jueves", archivo: "/salterios/src/evan/audios/tns01jueves.mp3", fecha: `${year}-012-25` },</v>
      </c>
    </row>
    <row r="362" spans="1:14" x14ac:dyDescent="0.25">
      <c r="A362" t="s">
        <v>0</v>
      </c>
      <c r="B362" t="str">
        <f>B361</f>
        <v>navidad</v>
      </c>
      <c r="C362" t="s">
        <v>2</v>
      </c>
      <c r="D362" s="2">
        <f t="shared" si="136"/>
        <v>1</v>
      </c>
      <c r="E362" t="s">
        <v>7</v>
      </c>
      <c r="F362" t="s">
        <v>17</v>
      </c>
      <c r="G362" s="1" t="str">
        <f t="shared" si="135"/>
        <v>tns01viernes</v>
      </c>
      <c r="H362" t="s">
        <v>15</v>
      </c>
      <c r="I362">
        <f t="shared" si="133"/>
        <v>12</v>
      </c>
      <c r="J362">
        <f t="shared" si="120"/>
        <v>26</v>
      </c>
      <c r="K362" t="s">
        <v>27</v>
      </c>
      <c r="L362" t="str">
        <f t="shared" si="125"/>
        <v>Diciembre</v>
      </c>
      <c r="M362" t="s">
        <v>28</v>
      </c>
      <c r="N362" t="str">
        <f t="shared" si="126"/>
        <v>{ nombre: "Tiempo Navidad, Semana 1 Viernes", archivo: "/salterios/src/evan/audios/tns01viernes.mp3", fecha: `${year}-012-26` },</v>
      </c>
    </row>
    <row r="363" spans="1:14" x14ac:dyDescent="0.25">
      <c r="A363" t="s">
        <v>0</v>
      </c>
      <c r="B363" t="str">
        <f>B362</f>
        <v>navidad</v>
      </c>
      <c r="C363" t="s">
        <v>2</v>
      </c>
      <c r="D363" s="2">
        <f t="shared" si="136"/>
        <v>1</v>
      </c>
      <c r="E363" t="s">
        <v>8</v>
      </c>
      <c r="F363" t="s">
        <v>17</v>
      </c>
      <c r="G363" s="1" t="str">
        <f t="shared" si="135"/>
        <v>tns01sabado</v>
      </c>
      <c r="H363" t="s">
        <v>15</v>
      </c>
      <c r="I363">
        <f t="shared" si="133"/>
        <v>12</v>
      </c>
      <c r="J363">
        <f t="shared" si="120"/>
        <v>27</v>
      </c>
      <c r="K363" t="s">
        <v>27</v>
      </c>
      <c r="L363" t="str">
        <f t="shared" si="125"/>
        <v>Diciembre</v>
      </c>
      <c r="M363" t="s">
        <v>28</v>
      </c>
      <c r="N363" t="str">
        <f t="shared" si="126"/>
        <v>{ nombre: "Tiempo Navidad, Semana 1 Sabado", archivo: "/salterios/src/evan/audios/tns01sabado.mp3", fecha: `${year}-012-27` },</v>
      </c>
    </row>
    <row r="364" spans="1:14" x14ac:dyDescent="0.25">
      <c r="A364" t="s">
        <v>0</v>
      </c>
      <c r="B364" t="str">
        <f t="shared" ref="B364:B366" si="137">B363</f>
        <v>navidad</v>
      </c>
      <c r="C364" t="s">
        <v>2</v>
      </c>
      <c r="D364" s="2">
        <f>+D363+1</f>
        <v>2</v>
      </c>
      <c r="E364" t="s">
        <v>9</v>
      </c>
      <c r="F364" t="s">
        <v>17</v>
      </c>
      <c r="G364" s="1" t="str">
        <f>_xlfn.CONCAT(LEFT(A364,1),LEFT(B364,1),LEFT(C364,1),"0",D364,E364)</f>
        <v>tns02domingo</v>
      </c>
      <c r="H364" t="s">
        <v>15</v>
      </c>
      <c r="I364">
        <f t="shared" si="133"/>
        <v>12</v>
      </c>
      <c r="J364">
        <f t="shared" si="120"/>
        <v>28</v>
      </c>
      <c r="K364" t="s">
        <v>27</v>
      </c>
      <c r="L364" t="str">
        <f t="shared" si="125"/>
        <v>Diciembre</v>
      </c>
      <c r="M364" t="s">
        <v>28</v>
      </c>
      <c r="N364" t="str">
        <f t="shared" si="126"/>
        <v>{ nombre: "Tiempo Navidad, Semana 2 Domingo", archivo: "/salterios/src/evan/audios/tns02domingo.mp3", fecha: `${year}-012-28` },</v>
      </c>
    </row>
    <row r="365" spans="1:14" x14ac:dyDescent="0.25">
      <c r="A365" t="s">
        <v>0</v>
      </c>
      <c r="B365" t="str">
        <f t="shared" si="137"/>
        <v>navidad</v>
      </c>
      <c r="C365" t="s">
        <v>2</v>
      </c>
      <c r="D365" s="2">
        <f>D364</f>
        <v>2</v>
      </c>
      <c r="E365" t="s">
        <v>3</v>
      </c>
      <c r="F365" t="s">
        <v>17</v>
      </c>
      <c r="G365" s="1" t="str">
        <f t="shared" ref="G365:G367" si="138">_xlfn.CONCAT(LEFT(A365,1),LEFT(B365,1),LEFT(C365,1),"0",D365,E365)</f>
        <v>tns02lunes</v>
      </c>
      <c r="H365" t="s">
        <v>15</v>
      </c>
      <c r="I365">
        <f t="shared" si="133"/>
        <v>12</v>
      </c>
      <c r="J365">
        <f t="shared" si="120"/>
        <v>29</v>
      </c>
      <c r="K365" t="s">
        <v>27</v>
      </c>
      <c r="L365" t="str">
        <f t="shared" si="125"/>
        <v>Diciembre</v>
      </c>
      <c r="M365" t="s">
        <v>28</v>
      </c>
      <c r="N365" t="str">
        <f t="shared" si="126"/>
        <v>{ nombre: "Tiempo Navidad, Semana 2 Lunes", archivo: "/salterios/src/evan/audios/tns02lunes.mp3", fecha: `${year}-012-29` },</v>
      </c>
    </row>
    <row r="366" spans="1:14" x14ac:dyDescent="0.25">
      <c r="A366" t="s">
        <v>0</v>
      </c>
      <c r="B366" t="str">
        <f t="shared" si="137"/>
        <v>navidad</v>
      </c>
      <c r="C366" t="s">
        <v>2</v>
      </c>
      <c r="D366" s="2">
        <f t="shared" ref="D366:D367" si="139">D365</f>
        <v>2</v>
      </c>
      <c r="E366" t="s">
        <v>4</v>
      </c>
      <c r="F366" t="s">
        <v>17</v>
      </c>
      <c r="G366" s="1" t="str">
        <f t="shared" si="138"/>
        <v>tns02martes</v>
      </c>
      <c r="H366" t="s">
        <v>15</v>
      </c>
      <c r="I366">
        <f t="shared" si="133"/>
        <v>12</v>
      </c>
      <c r="J366">
        <f t="shared" si="120"/>
        <v>30</v>
      </c>
      <c r="K366" t="s">
        <v>27</v>
      </c>
      <c r="L366" t="str">
        <f t="shared" si="125"/>
        <v>Diciembre</v>
      </c>
      <c r="M366" t="s">
        <v>28</v>
      </c>
      <c r="N366" t="str">
        <f t="shared" si="126"/>
        <v>{ nombre: "Tiempo Navidad, Semana 2 Martes", archivo: "/salterios/src/evan/audios/tns02martes.mp3", fecha: `${year}-012-30` },</v>
      </c>
    </row>
    <row r="367" spans="1:14" x14ac:dyDescent="0.25">
      <c r="A367" t="s">
        <v>0</v>
      </c>
      <c r="B367" t="str">
        <f>B366</f>
        <v>navidad</v>
      </c>
      <c r="C367" t="s">
        <v>2</v>
      </c>
      <c r="D367" s="2">
        <f t="shared" si="139"/>
        <v>2</v>
      </c>
      <c r="E367" t="s">
        <v>5</v>
      </c>
      <c r="F367" t="s">
        <v>17</v>
      </c>
      <c r="G367" s="1" t="str">
        <f t="shared" si="138"/>
        <v>tns02miercoles</v>
      </c>
      <c r="H367" t="s">
        <v>15</v>
      </c>
      <c r="I367">
        <f t="shared" si="133"/>
        <v>12</v>
      </c>
      <c r="J367">
        <f t="shared" si="120"/>
        <v>31</v>
      </c>
      <c r="K367" t="s">
        <v>27</v>
      </c>
      <c r="L367" t="str">
        <f t="shared" si="125"/>
        <v>Diciembre</v>
      </c>
      <c r="M367" t="s">
        <v>28</v>
      </c>
      <c r="N367" t="str">
        <f t="shared" si="126"/>
        <v>{ nombre: "Tiempo Navidad, Semana 2 Miercoles", archivo: "/salterios/src/evan/audios/tns02miercoles.mp3", fecha: `${year}-012-31` },</v>
      </c>
    </row>
    <row r="368" spans="1:14" x14ac:dyDescent="0.25">
      <c r="D368" s="2"/>
      <c r="G368" s="1"/>
    </row>
    <row r="369" spans="4:7" x14ac:dyDescent="0.25">
      <c r="D369" s="2"/>
      <c r="G369" s="1"/>
    </row>
    <row r="370" spans="4:7" x14ac:dyDescent="0.25">
      <c r="D370" s="2"/>
      <c r="G370" s="1"/>
    </row>
  </sheetData>
  <conditionalFormatting sqref="B1:B1048576">
    <cfRule type="cellIs" dxfId="19" priority="1" operator="equal">
      <formula>"adviento"</formula>
    </cfRule>
    <cfRule type="cellIs" dxfId="18" priority="2" operator="equal">
      <formula>"ordinario"</formula>
    </cfRule>
    <cfRule type="cellIs" dxfId="17" priority="3" operator="equal">
      <formula>"cuaresma"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84781-5034-4D66-AA23-549C559F22F4}">
  <dimension ref="A3:L1130"/>
  <sheetViews>
    <sheetView tabSelected="1" topLeftCell="A726" zoomScale="160" zoomScaleNormal="160" workbookViewId="0">
      <selection activeCell="H741" sqref="H741"/>
    </sheetView>
  </sheetViews>
  <sheetFormatPr defaultColWidth="13.140625" defaultRowHeight="15" x14ac:dyDescent="0.25"/>
  <cols>
    <col min="1" max="1" width="10.42578125" customWidth="1"/>
    <col min="2" max="2" width="15.7109375" customWidth="1"/>
    <col min="3" max="3" width="13.28515625" customWidth="1"/>
    <col min="4" max="4" width="8.5703125" customWidth="1"/>
    <col min="5" max="5" width="9.5703125" bestFit="1" customWidth="1"/>
    <col min="6" max="6" width="8.7109375" customWidth="1"/>
    <col min="7" max="7" width="11.5703125" customWidth="1"/>
    <col min="8" max="8" width="18.5703125" customWidth="1"/>
    <col min="11" max="11" width="155.5703125" customWidth="1"/>
    <col min="12" max="12" width="41" customWidth="1"/>
  </cols>
  <sheetData>
    <row r="3" spans="2:3" x14ac:dyDescent="0.25">
      <c r="B3" s="4" t="s">
        <v>29</v>
      </c>
      <c r="C3" s="4"/>
    </row>
    <row r="4" spans="2:3" x14ac:dyDescent="0.25">
      <c r="B4" s="5" t="s">
        <v>30</v>
      </c>
      <c r="C4" s="5"/>
    </row>
    <row r="5" spans="2:3" x14ac:dyDescent="0.25">
      <c r="B5" s="6"/>
      <c r="C5" s="6"/>
    </row>
    <row r="6" spans="2:3" x14ac:dyDescent="0.25">
      <c r="B6" s="5" t="s">
        <v>31</v>
      </c>
      <c r="C6" s="5"/>
    </row>
    <row r="7" spans="2:3" x14ac:dyDescent="0.25">
      <c r="B7" s="4" t="s">
        <v>32</v>
      </c>
      <c r="C7" s="4"/>
    </row>
    <row r="8" spans="2:3" x14ac:dyDescent="0.25">
      <c r="B8" s="7" t="s">
        <v>33</v>
      </c>
      <c r="C8" s="7"/>
    </row>
    <row r="9" spans="2:3" x14ac:dyDescent="0.25">
      <c r="B9" s="7" t="s">
        <v>34</v>
      </c>
      <c r="C9" s="7"/>
    </row>
    <row r="10" spans="2:3" x14ac:dyDescent="0.25">
      <c r="B10" s="7" t="s">
        <v>35</v>
      </c>
      <c r="C10" s="7"/>
    </row>
    <row r="11" spans="2:3" x14ac:dyDescent="0.25">
      <c r="B11" s="7" t="s">
        <v>36</v>
      </c>
      <c r="C11" s="7"/>
    </row>
    <row r="12" spans="2:3" x14ac:dyDescent="0.25">
      <c r="B12" s="7" t="s">
        <v>37</v>
      </c>
      <c r="C12" s="7"/>
    </row>
    <row r="13" spans="2:3" x14ac:dyDescent="0.25">
      <c r="B13" s="5" t="s">
        <v>38</v>
      </c>
      <c r="C13" s="5"/>
    </row>
    <row r="14" spans="2:3" x14ac:dyDescent="0.25">
      <c r="B14" s="5" t="s">
        <v>39</v>
      </c>
      <c r="C14" s="5"/>
    </row>
    <row r="15" spans="2:3" x14ac:dyDescent="0.25">
      <c r="B15" s="5" t="s">
        <v>40</v>
      </c>
      <c r="C15" s="5"/>
    </row>
    <row r="16" spans="2:3" x14ac:dyDescent="0.25">
      <c r="B16" s="5" t="s">
        <v>41</v>
      </c>
      <c r="C16" s="5"/>
    </row>
    <row r="17" spans="1:12" x14ac:dyDescent="0.25">
      <c r="A17" t="s">
        <v>68</v>
      </c>
      <c r="B17" s="5" t="s">
        <v>65</v>
      </c>
      <c r="C17" t="s">
        <v>66</v>
      </c>
      <c r="D17" t="s">
        <v>67</v>
      </c>
      <c r="E17" t="s">
        <v>0</v>
      </c>
      <c r="F17" t="s">
        <v>43</v>
      </c>
      <c r="G17" t="s">
        <v>69</v>
      </c>
      <c r="H17" t="s">
        <v>73</v>
      </c>
      <c r="I17" t="s">
        <v>70</v>
      </c>
      <c r="J17" t="s">
        <v>44</v>
      </c>
      <c r="K17" t="s">
        <v>71</v>
      </c>
      <c r="L17" t="s">
        <v>72</v>
      </c>
    </row>
    <row r="18" spans="1:12" hidden="1" x14ac:dyDescent="0.25">
      <c r="A18" t="str" cm="1">
        <f t="array" ref="A18">_xlfn.IFS(E18="Adviento","ta", E18="Navidad","tn", E18="Epifania","te", E18="Ordinario","to", E18="Cuaresma","tc", E18="Domingo De Ramos","tc", E18="Semana Santa","ss", E18="Triduo Pascual","tp", E18="Vigilia Pascual","tp", E18="Pascual","tp")</f>
        <v>tn</v>
      </c>
      <c r="B18" s="14" t="str">
        <f>_xlfn.CONCAT("/* ",UPPER(TEXT(D18,"[$-es-ES]mmmm")),"        */")</f>
        <v>/* ENERO        */</v>
      </c>
      <c r="C18" s="15">
        <v>45658</v>
      </c>
      <c r="D18" s="9">
        <v>45658</v>
      </c>
      <c r="E18" s="12" t="s">
        <v>42</v>
      </c>
      <c r="F18" t="s">
        <v>43</v>
      </c>
      <c r="G18">
        <v>1</v>
      </c>
      <c r="H18" t="s">
        <v>61</v>
      </c>
      <c r="I18" s="11">
        <f>D18</f>
        <v>45658</v>
      </c>
      <c r="J18" t="s">
        <v>44</v>
      </c>
      <c r="K18" t="str">
        <f>_xlfn.CONCAT(B18, " ", "{ nombre: ", CHAR(34), E18, ", ", F18, " ", ROMAN(G18),H18, ", ", UPPER(TEXT(D18, "[$-es-ES]dddd")), CHAR(34), ", archivo: ", CHAR(34), "/ev/", _xlfn.IFS(E18="Adviento","ta", E18="Navidad","tn", E18="Epifania","te", E18="Ordinario","to", E18="Cuaresma","tc", E18="Domingo De Ramos","tc", E18="Semana Santa","ss", E18="Triduo Pascual","tp", E18="Vigilia Pascual","tp", E18="Pascual","tp"), "/", G18, "/", TEXT(D18, "[$-es-ES]dddd"), ".mp3", CHAR(34), ", fecha: `${year}-", TEXT(D18, "mm-dd"), "` },")</f>
        <v>/* ENERO        */ { nombre: "Navidad, Semana I,Santa María, Madre de Dios, MIÉRCOLES", archivo: "/ev/tn/1/miércoles.mp3", fecha: `${year}-01-01` },</v>
      </c>
      <c r="L18" s="10">
        <f>D18</f>
        <v>45658</v>
      </c>
    </row>
    <row r="19" spans="1:12" hidden="1" x14ac:dyDescent="0.25">
      <c r="A19" t="str" cm="1">
        <f t="array" ref="A19">_xlfn.IFS(E19="Adviento","ta", E19="Navidad","tn", E19="Epifania","te", E19="Ordinario","to", E19="Cuaresma","tc", E19="Domingo De Ramos","tc", E19="Semana Santa","ss", E19="Triduo Pascual","tp", E19="Vigilia Pascual","tp", E19="Pascual","tp")</f>
        <v>tn</v>
      </c>
      <c r="B19" s="14" t="str">
        <f t="shared" ref="B19:B82" si="0">_xlfn.CONCAT("/* ",UPPER(TEXT(D19,"[$-es-ES]mmmm")),"        */")</f>
        <v>/* ENERO        */</v>
      </c>
      <c r="C19" s="15">
        <f>+C18+1</f>
        <v>45659</v>
      </c>
      <c r="D19" s="9">
        <f>+D18+1</f>
        <v>45659</v>
      </c>
      <c r="E19" s="12" t="s">
        <v>42</v>
      </c>
      <c r="F19" t="s">
        <v>43</v>
      </c>
      <c r="G19">
        <v>1</v>
      </c>
      <c r="H19" t="s">
        <v>62</v>
      </c>
      <c r="I19" s="11">
        <f t="shared" ref="I19:I82" si="1">D19</f>
        <v>45659</v>
      </c>
      <c r="J19" t="s">
        <v>44</v>
      </c>
      <c r="K19" t="str">
        <f t="shared" ref="K19:K82" si="2">_xlfn.CONCAT(B19, " ", "{ nombre: ", CHAR(34), E19, ", ", F19, " ", ROMAN(G19),H19, ", ", UPPER(TEXT(D19, "[$-es-ES]dddd")), CHAR(34), ", archivo: ", CHAR(34), "/ev/", _xlfn.IFS(E19="Adviento","ta", E19="Navidad","tn", E19="Epifania","te", E19="Ordinario","to", E19="Cuaresma","tc", E19="Domingo De Ramos","tc", E19="Semana Santa","ss", E19="Triduo Pascual","tp", E19="Vigilia Pascual","tp", E19="Pascual","tp"), "/", G19, "/", TEXT(D19, "[$-es-ES]dddd"), ".mp3", CHAR(34), ", fecha: `${year}-", TEXT(D19, "mm-dd"), "` },")</f>
        <v>/* ENERO        */ { nombre: "Navidad, Semana I,Santos Basilio Magno y Gregorio de Nacianzo, obispos y doctores de la Iglesia, JUEVES", archivo: "/ev/tn/1/jueves.mp3", fecha: `${year}-01-02` },</v>
      </c>
      <c r="L19" s="10">
        <f t="shared" ref="L19:L20" si="3">D19</f>
        <v>45659</v>
      </c>
    </row>
    <row r="20" spans="1:12" hidden="1" x14ac:dyDescent="0.25">
      <c r="A20" t="str" cm="1">
        <f t="array" ref="A20">_xlfn.IFS(E20="Adviento","ta", E20="Navidad","tn", E20="Epifania","te", E20="Ordinario","to", E20="Cuaresma","tc", E20="Domingo De Ramos","tc", E20="Semana Santa","ss", E20="Triduo Pascual","tp", E20="Vigilia Pascual","tp", E20="Pascual","tp")</f>
        <v>tn</v>
      </c>
      <c r="B20" s="14" t="str">
        <f t="shared" si="0"/>
        <v>/* ENERO        */</v>
      </c>
      <c r="C20" s="15">
        <f t="shared" ref="C20:C84" si="4">+C19+1</f>
        <v>45660</v>
      </c>
      <c r="D20" s="9">
        <f>+D19+1</f>
        <v>45660</v>
      </c>
      <c r="E20" s="12" t="s">
        <v>42</v>
      </c>
      <c r="F20" t="s">
        <v>43</v>
      </c>
      <c r="G20">
        <v>1</v>
      </c>
      <c r="I20" s="11">
        <f t="shared" si="1"/>
        <v>45660</v>
      </c>
      <c r="J20" t="s">
        <v>44</v>
      </c>
      <c r="K20" t="str">
        <f t="shared" si="2"/>
        <v>/* ENERO        */ { nombre: "Navidad, Semana I, VIERNES", archivo: "/ev/tn/1/viernes.mp3", fecha: `${year}-01-03` },</v>
      </c>
      <c r="L20" s="10">
        <f t="shared" si="3"/>
        <v>45660</v>
      </c>
    </row>
    <row r="21" spans="1:12" hidden="1" x14ac:dyDescent="0.25">
      <c r="A21" t="str" cm="1">
        <f t="array" ref="A21">_xlfn.IFS(E21="Adviento","ta", E21="Navidad","tn", E21="Epifania","te", E21="Ordinario","to", E21="Cuaresma","tc", E21="Domingo De Ramos","tc", E21="Semana Santa","ss", E21="Triduo Pascual","tp", E21="Vigilia Pascual","tp", E21="Pascual","tp")</f>
        <v>tn</v>
      </c>
      <c r="B21" s="14" t="str">
        <f t="shared" si="0"/>
        <v>/* ENERO        */</v>
      </c>
      <c r="C21" s="15">
        <f t="shared" si="4"/>
        <v>45661</v>
      </c>
      <c r="D21" s="9">
        <f t="shared" ref="D21:D84" si="5">+D20+1</f>
        <v>45661</v>
      </c>
      <c r="E21" s="12" t="s">
        <v>42</v>
      </c>
      <c r="F21" t="s">
        <v>43</v>
      </c>
      <c r="G21">
        <v>1</v>
      </c>
      <c r="I21" s="11">
        <f t="shared" si="1"/>
        <v>45661</v>
      </c>
      <c r="J21" t="s">
        <v>44</v>
      </c>
      <c r="K21" t="str">
        <f t="shared" si="2"/>
        <v>/* ENERO        */ { nombre: "Navidad, Semana I, SÁBADO", archivo: "/ev/tn/1/sábado.mp3", fecha: `${year}-01-04` },</v>
      </c>
      <c r="L21" s="10">
        <f t="shared" ref="L21:L84" si="6">D21</f>
        <v>45661</v>
      </c>
    </row>
    <row r="22" spans="1:12" hidden="1" x14ac:dyDescent="0.25">
      <c r="A22" t="str" cm="1">
        <f t="array" ref="A22">_xlfn.IFS(E22="Adviento","ta", E22="Navidad","tn", E22="Epifania","te", E22="Ordinario","to", E22="Cuaresma","tc", E22="Domingo De Ramos","tc", E22="Semana Santa","ss", E22="Triduo Pascual","tp", E22="Vigilia Pascual","tp", E22="Pascual","tp")</f>
        <v>tn</v>
      </c>
      <c r="B22" s="14" t="str">
        <f t="shared" si="0"/>
        <v>/* ENERO        */</v>
      </c>
      <c r="C22" s="15">
        <f t="shared" si="4"/>
        <v>45662</v>
      </c>
      <c r="D22" s="9">
        <f t="shared" si="5"/>
        <v>45662</v>
      </c>
      <c r="E22" s="12" t="s">
        <v>42</v>
      </c>
      <c r="F22" t="s">
        <v>43</v>
      </c>
      <c r="G22">
        <v>2</v>
      </c>
      <c r="I22" s="11">
        <f t="shared" si="1"/>
        <v>45662</v>
      </c>
      <c r="J22" t="s">
        <v>44</v>
      </c>
      <c r="K22" t="str">
        <f t="shared" si="2"/>
        <v>/* ENERO        */ { nombre: "Navidad, Semana II, DOMINGO", archivo: "/ev/tn/2/domingo.mp3", fecha: `${year}-01-05` },</v>
      </c>
      <c r="L22" s="10">
        <f t="shared" si="6"/>
        <v>45662</v>
      </c>
    </row>
    <row r="23" spans="1:12" hidden="1" x14ac:dyDescent="0.25">
      <c r="A23" t="str" cm="1">
        <f t="array" ref="A23">_xlfn.IFS(E23="Adviento","ta", E23="Navidad","tn", E23="Epifania","te", E23="Ordinario","to", E23="Cuaresma","tc", E23="Domingo De Ramos","tc", E23="Semana Santa","ss", E23="Triduo Pascual","tp", E23="Vigilia Pascual","tp", E23="Pascual","tp")</f>
        <v>tn</v>
      </c>
      <c r="B23" s="14" t="str">
        <f t="shared" si="0"/>
        <v>/* ENERO        */</v>
      </c>
      <c r="C23" s="15">
        <f t="shared" si="4"/>
        <v>45663</v>
      </c>
      <c r="D23" s="9">
        <f t="shared" si="5"/>
        <v>45663</v>
      </c>
      <c r="E23" s="12" t="s">
        <v>42</v>
      </c>
      <c r="F23" t="s">
        <v>43</v>
      </c>
      <c r="G23">
        <v>2</v>
      </c>
      <c r="H23" t="s">
        <v>64</v>
      </c>
      <c r="I23" s="11">
        <f t="shared" si="1"/>
        <v>45663</v>
      </c>
      <c r="J23" t="s">
        <v>44</v>
      </c>
      <c r="K23" t="str">
        <f t="shared" si="2"/>
        <v>/* ENERO        */ { nombre: "Navidad, Semana II,La Epifanía del Señor, LUNES", archivo: "/ev/tn/2/lunes.mp3", fecha: `${year}-01-06` },</v>
      </c>
      <c r="L23" s="10">
        <f t="shared" si="6"/>
        <v>45663</v>
      </c>
    </row>
    <row r="24" spans="1:12" hidden="1" x14ac:dyDescent="0.25">
      <c r="A24" t="str" cm="1">
        <f t="array" ref="A24">_xlfn.IFS(E24="Adviento","ta", E24="Navidad","tn", E24="Epifania","te", E24="Ordinario","to", E24="Cuaresma","tc", E24="Domingo De Ramos","tc", E24="Semana Santa","ss", E24="Triduo Pascual","tp", E24="Vigilia Pascual","tp", E24="Pascual","tp")</f>
        <v>tn</v>
      </c>
      <c r="B24" s="14" t="str">
        <f t="shared" si="0"/>
        <v>/* ENERO        */</v>
      </c>
      <c r="C24" s="15">
        <f t="shared" si="4"/>
        <v>45664</v>
      </c>
      <c r="D24" s="9">
        <f t="shared" si="5"/>
        <v>45664</v>
      </c>
      <c r="E24" s="12" t="s">
        <v>42</v>
      </c>
      <c r="F24" t="s">
        <v>43</v>
      </c>
      <c r="G24">
        <v>2</v>
      </c>
      <c r="I24" s="11">
        <f t="shared" si="1"/>
        <v>45664</v>
      </c>
      <c r="J24" t="s">
        <v>44</v>
      </c>
      <c r="K24" t="str">
        <f t="shared" si="2"/>
        <v>/* ENERO        */ { nombre: "Navidad, Semana II, MARTES", archivo: "/ev/tn/2/martes.mp3", fecha: `${year}-01-07` },</v>
      </c>
      <c r="L24" s="10">
        <f t="shared" si="6"/>
        <v>45664</v>
      </c>
    </row>
    <row r="25" spans="1:12" hidden="1" x14ac:dyDescent="0.25">
      <c r="A25" t="str" cm="1">
        <f t="array" ref="A25">_xlfn.IFS(E25="Adviento","ta", E25="Navidad","tn", E25="Epifania","te", E25="Ordinario","to", E25="Cuaresma","tc", E25="Domingo De Ramos","tc", E25="Semana Santa","ss", E25="Triduo Pascual","tp", E25="Vigilia Pascual","tp", E25="Pascual","tp")</f>
        <v>tn</v>
      </c>
      <c r="B25" s="14" t="str">
        <f t="shared" si="0"/>
        <v>/* ENERO        */</v>
      </c>
      <c r="C25" s="15">
        <f t="shared" si="4"/>
        <v>45665</v>
      </c>
      <c r="D25" s="9">
        <f t="shared" si="5"/>
        <v>45665</v>
      </c>
      <c r="E25" s="12" t="s">
        <v>42</v>
      </c>
      <c r="F25" t="s">
        <v>43</v>
      </c>
      <c r="G25">
        <v>2</v>
      </c>
      <c r="I25" s="11">
        <f t="shared" si="1"/>
        <v>45665</v>
      </c>
      <c r="J25" t="s">
        <v>44</v>
      </c>
      <c r="K25" t="str">
        <f t="shared" si="2"/>
        <v>/* ENERO        */ { nombre: "Navidad, Semana II, MIÉRCOLES", archivo: "/ev/tn/2/miércoles.mp3", fecha: `${year}-01-08` },</v>
      </c>
      <c r="L25" s="10">
        <f t="shared" si="6"/>
        <v>45665</v>
      </c>
    </row>
    <row r="26" spans="1:12" hidden="1" x14ac:dyDescent="0.25">
      <c r="A26" t="str" cm="1">
        <f t="array" ref="A26">_xlfn.IFS(E26="Adviento","ta", E26="Navidad","tn", E26="Epifania","te", E26="Ordinario","to", E26="Cuaresma","tc", E26="Domingo De Ramos","tc", E26="Semana Santa","ss", E26="Triduo Pascual","tp", E26="Vigilia Pascual","tp", E26="Pascual","tp")</f>
        <v>tn</v>
      </c>
      <c r="B26" s="14" t="str">
        <f t="shared" si="0"/>
        <v>/* ENERO        */</v>
      </c>
      <c r="C26" s="15">
        <f t="shared" si="4"/>
        <v>45666</v>
      </c>
      <c r="D26" s="9">
        <f t="shared" si="5"/>
        <v>45666</v>
      </c>
      <c r="E26" s="12" t="s">
        <v>42</v>
      </c>
      <c r="F26" t="s">
        <v>43</v>
      </c>
      <c r="G26">
        <v>2</v>
      </c>
      <c r="I26" s="11">
        <f t="shared" si="1"/>
        <v>45666</v>
      </c>
      <c r="J26" t="s">
        <v>44</v>
      </c>
      <c r="K26" t="str">
        <f t="shared" si="2"/>
        <v>/* ENERO        */ { nombre: "Navidad, Semana II, JUEVES", archivo: "/ev/tn/2/jueves.mp3", fecha: `${year}-01-09` },</v>
      </c>
      <c r="L26" s="10">
        <f t="shared" si="6"/>
        <v>45666</v>
      </c>
    </row>
    <row r="27" spans="1:12" hidden="1" x14ac:dyDescent="0.25">
      <c r="A27" t="str" cm="1">
        <f t="array" ref="A27">_xlfn.IFS(E27="Adviento","ta", E27="Navidad","tn", E27="Epifania","te", E27="Ordinario","to", E27="Cuaresma","tc", E27="Domingo De Ramos","tc", E27="Semana Santa","ss", E27="Triduo Pascual","tp", E27="Vigilia Pascual","tp", E27="Pascual","tp")</f>
        <v>tn</v>
      </c>
      <c r="B27" s="14" t="str">
        <f t="shared" si="0"/>
        <v>/* ENERO        */</v>
      </c>
      <c r="C27" s="15">
        <f t="shared" si="4"/>
        <v>45667</v>
      </c>
      <c r="D27" s="9">
        <f t="shared" si="5"/>
        <v>45667</v>
      </c>
      <c r="E27" s="12" t="s">
        <v>42</v>
      </c>
      <c r="F27" t="s">
        <v>43</v>
      </c>
      <c r="G27">
        <v>2</v>
      </c>
      <c r="I27" s="11">
        <f t="shared" si="1"/>
        <v>45667</v>
      </c>
      <c r="J27" t="s">
        <v>44</v>
      </c>
      <c r="K27" t="str">
        <f t="shared" si="2"/>
        <v>/* ENERO        */ { nombre: "Navidad, Semana II, VIERNES", archivo: "/ev/tn/2/viernes.mp3", fecha: `${year}-01-10` },</v>
      </c>
      <c r="L27" s="10">
        <f t="shared" si="6"/>
        <v>45667</v>
      </c>
    </row>
    <row r="28" spans="1:12" hidden="1" x14ac:dyDescent="0.25">
      <c r="A28" t="str" cm="1">
        <f t="array" ref="A28">_xlfn.IFS(E28="Adviento","ta", E28="Navidad","tn", E28="Epifania","te", E28="Ordinario","to", E28="Cuaresma","tc", E28="Domingo De Ramos","tc", E28="Semana Santa","ss", E28="Triduo Pascual","tp", E28="Vigilia Pascual","tp", E28="Pascual","tp")</f>
        <v>to</v>
      </c>
      <c r="B28" s="14" t="str">
        <f t="shared" si="0"/>
        <v>/* ENERO        */</v>
      </c>
      <c r="C28" s="15">
        <f t="shared" si="4"/>
        <v>45668</v>
      </c>
      <c r="D28" s="9">
        <f t="shared" si="5"/>
        <v>45668</v>
      </c>
      <c r="E28" s="13" t="s">
        <v>47</v>
      </c>
      <c r="F28" t="s">
        <v>43</v>
      </c>
      <c r="G28">
        <v>1</v>
      </c>
      <c r="I28" s="11">
        <f t="shared" si="1"/>
        <v>45668</v>
      </c>
      <c r="J28" t="s">
        <v>44</v>
      </c>
      <c r="K28" t="str">
        <f t="shared" si="2"/>
        <v>/* ENERO        */ { nombre: "Ordinario, Semana I, SÁBADO", archivo: "/ev/to/1/sábado.mp3", fecha: `${year}-01-11` },</v>
      </c>
      <c r="L28" s="10">
        <f t="shared" si="6"/>
        <v>45668</v>
      </c>
    </row>
    <row r="29" spans="1:12" hidden="1" x14ac:dyDescent="0.25">
      <c r="A29" t="str" cm="1">
        <f t="array" ref="A29">_xlfn.IFS(E29="Adviento","ta", E29="Navidad","tn", E29="Epifania","te", E29="Ordinario","to", E29="Cuaresma","tc", E29="Domingo De Ramos","tc", E29="Semana Santa","ss", E29="Triduo Pascual","tp", E29="Vigilia Pascual","tp", E29="Pascual","tp")</f>
        <v>to</v>
      </c>
      <c r="B29" s="14" t="str">
        <f t="shared" si="0"/>
        <v>/* ENERO        */</v>
      </c>
      <c r="C29" s="15">
        <f t="shared" si="4"/>
        <v>45669</v>
      </c>
      <c r="D29" s="9">
        <f t="shared" si="5"/>
        <v>45669</v>
      </c>
      <c r="E29" s="13" t="s">
        <v>47</v>
      </c>
      <c r="F29" t="s">
        <v>43</v>
      </c>
      <c r="G29">
        <v>1</v>
      </c>
      <c r="H29" t="s">
        <v>63</v>
      </c>
      <c r="I29" s="11">
        <f t="shared" si="1"/>
        <v>45669</v>
      </c>
      <c r="J29" t="s">
        <v>44</v>
      </c>
      <c r="K29" t="str">
        <f t="shared" si="2"/>
        <v>/* ENERO        */ { nombre: "Ordinario, Semana I,El Bautismo del Señor, DOMINGO", archivo: "/ev/to/1/domingo.mp3", fecha: `${year}-01-12` },</v>
      </c>
      <c r="L29" s="10">
        <f t="shared" si="6"/>
        <v>45669</v>
      </c>
    </row>
    <row r="30" spans="1:12" hidden="1" x14ac:dyDescent="0.25">
      <c r="A30" t="str" cm="1">
        <f t="array" ref="A30">_xlfn.IFS(E30="Adviento","ta", E30="Navidad","tn", E30="Epifania","te", E30="Ordinario","to", E30="Cuaresma","tc", E30="Domingo De Ramos","tc", E30="Semana Santa","ss", E30="Triduo Pascual","tp", E30="Vigilia Pascual","tp", E30="Pascual","tp")</f>
        <v>to</v>
      </c>
      <c r="B30" s="14" t="str">
        <f t="shared" si="0"/>
        <v>/* ENERO        */</v>
      </c>
      <c r="C30" s="15">
        <f t="shared" si="4"/>
        <v>45670</v>
      </c>
      <c r="D30" s="9">
        <f t="shared" si="5"/>
        <v>45670</v>
      </c>
      <c r="E30" s="13" t="s">
        <v>47</v>
      </c>
      <c r="F30" t="s">
        <v>43</v>
      </c>
      <c r="G30">
        <v>1</v>
      </c>
      <c r="I30" s="11">
        <f t="shared" si="1"/>
        <v>45670</v>
      </c>
      <c r="J30" t="s">
        <v>44</v>
      </c>
      <c r="K30" t="str">
        <f t="shared" si="2"/>
        <v>/* ENERO        */ { nombre: "Ordinario, Semana I, LUNES", archivo: "/ev/to/1/lunes.mp3", fecha: `${year}-01-13` },</v>
      </c>
      <c r="L30" s="10">
        <f t="shared" si="6"/>
        <v>45670</v>
      </c>
    </row>
    <row r="31" spans="1:12" hidden="1" x14ac:dyDescent="0.25">
      <c r="A31" t="str" cm="1">
        <f t="array" ref="A31">_xlfn.IFS(E31="Adviento","ta", E31="Navidad","tn", E31="Epifania","te", E31="Ordinario","to", E31="Cuaresma","tc", E31="Domingo De Ramos","tc", E31="Semana Santa","ss", E31="Triduo Pascual","tp", E31="Vigilia Pascual","tp", E31="Pascual","tp")</f>
        <v>to</v>
      </c>
      <c r="B31" s="14" t="str">
        <f t="shared" si="0"/>
        <v>/* ENERO        */</v>
      </c>
      <c r="C31" s="15">
        <f t="shared" si="4"/>
        <v>45671</v>
      </c>
      <c r="D31" s="9">
        <f t="shared" si="5"/>
        <v>45671</v>
      </c>
      <c r="E31" s="13" t="s">
        <v>47</v>
      </c>
      <c r="F31" t="s">
        <v>43</v>
      </c>
      <c r="G31">
        <v>1</v>
      </c>
      <c r="I31" s="11">
        <f t="shared" si="1"/>
        <v>45671</v>
      </c>
      <c r="J31" t="s">
        <v>44</v>
      </c>
      <c r="K31" t="str">
        <f t="shared" si="2"/>
        <v>/* ENERO        */ { nombre: "Ordinario, Semana I, MARTES", archivo: "/ev/to/1/martes.mp3", fecha: `${year}-01-14` },</v>
      </c>
      <c r="L31" s="10">
        <f t="shared" si="6"/>
        <v>45671</v>
      </c>
    </row>
    <row r="32" spans="1:12" hidden="1" x14ac:dyDescent="0.25">
      <c r="A32" t="str" cm="1">
        <f t="array" ref="A32">_xlfn.IFS(E32="Adviento","ta", E32="Navidad","tn", E32="Epifania","te", E32="Ordinario","to", E32="Cuaresma","tc", E32="Domingo De Ramos","tc", E32="Semana Santa","ss", E32="Triduo Pascual","tp", E32="Vigilia Pascual","tp", E32="Pascual","tp")</f>
        <v>to</v>
      </c>
      <c r="B32" s="14" t="str">
        <f t="shared" si="0"/>
        <v>/* ENERO        */</v>
      </c>
      <c r="C32" s="15">
        <f t="shared" si="4"/>
        <v>45672</v>
      </c>
      <c r="D32" s="9">
        <f t="shared" si="5"/>
        <v>45672</v>
      </c>
      <c r="E32" s="13" t="s">
        <v>47</v>
      </c>
      <c r="F32" t="s">
        <v>43</v>
      </c>
      <c r="G32">
        <v>1</v>
      </c>
      <c r="I32" s="11">
        <f t="shared" si="1"/>
        <v>45672</v>
      </c>
      <c r="J32" t="s">
        <v>44</v>
      </c>
      <c r="K32" t="str">
        <f t="shared" si="2"/>
        <v>/* ENERO        */ { nombre: "Ordinario, Semana I, MIÉRCOLES", archivo: "/ev/to/1/miércoles.mp3", fecha: `${year}-01-15` },</v>
      </c>
      <c r="L32" s="10">
        <f t="shared" si="6"/>
        <v>45672</v>
      </c>
    </row>
    <row r="33" spans="1:12" hidden="1" x14ac:dyDescent="0.25">
      <c r="A33" t="str" cm="1">
        <f t="array" ref="A33">_xlfn.IFS(E33="Adviento","ta", E33="Navidad","tn", E33="Epifania","te", E33="Ordinario","to", E33="Cuaresma","tc", E33="Domingo De Ramos","tc", E33="Semana Santa","ss", E33="Triduo Pascual","tp", E33="Vigilia Pascual","tp", E33="Pascual","tp")</f>
        <v>to</v>
      </c>
      <c r="B33" s="14" t="str">
        <f t="shared" si="0"/>
        <v>/* ENERO        */</v>
      </c>
      <c r="C33" s="15">
        <f t="shared" si="4"/>
        <v>45673</v>
      </c>
      <c r="D33" s="9">
        <f t="shared" si="5"/>
        <v>45673</v>
      </c>
      <c r="E33" s="13" t="s">
        <v>47</v>
      </c>
      <c r="F33" t="s">
        <v>43</v>
      </c>
      <c r="G33">
        <v>1</v>
      </c>
      <c r="I33" s="11">
        <f t="shared" si="1"/>
        <v>45673</v>
      </c>
      <c r="J33" t="s">
        <v>44</v>
      </c>
      <c r="K33" t="str">
        <f t="shared" si="2"/>
        <v>/* ENERO        */ { nombre: "Ordinario, Semana I, JUEVES", archivo: "/ev/to/1/jueves.mp3", fecha: `${year}-01-16` },</v>
      </c>
      <c r="L33" s="10">
        <f t="shared" si="6"/>
        <v>45673</v>
      </c>
    </row>
    <row r="34" spans="1:12" hidden="1" x14ac:dyDescent="0.25">
      <c r="A34" t="str" cm="1">
        <f t="array" ref="A34">_xlfn.IFS(E34="Adviento","ta", E34="Navidad","tn", E34="Epifania","te", E34="Ordinario","to", E34="Cuaresma","tc", E34="Domingo De Ramos","tc", E34="Semana Santa","ss", E34="Triduo Pascual","tp", E34="Vigilia Pascual","tp", E34="Pascual","tp")</f>
        <v>to</v>
      </c>
      <c r="B34" s="14" t="str">
        <f t="shared" si="0"/>
        <v>/* ENERO        */</v>
      </c>
      <c r="C34" s="15">
        <f t="shared" si="4"/>
        <v>45674</v>
      </c>
      <c r="D34" s="9">
        <f t="shared" si="5"/>
        <v>45674</v>
      </c>
      <c r="E34" s="13" t="s">
        <v>47</v>
      </c>
      <c r="F34" t="s">
        <v>43</v>
      </c>
      <c r="G34">
        <v>1</v>
      </c>
      <c r="I34" s="11">
        <f t="shared" si="1"/>
        <v>45674</v>
      </c>
      <c r="J34" t="s">
        <v>44</v>
      </c>
      <c r="K34" t="str">
        <f t="shared" si="2"/>
        <v>/* ENERO        */ { nombre: "Ordinario, Semana I, VIERNES", archivo: "/ev/to/1/viernes.mp3", fecha: `${year}-01-17` },</v>
      </c>
      <c r="L34" s="10">
        <f t="shared" si="6"/>
        <v>45674</v>
      </c>
    </row>
    <row r="35" spans="1:12" hidden="1" x14ac:dyDescent="0.25">
      <c r="A35" t="str" cm="1">
        <f t="array" ref="A35">_xlfn.IFS(E35="Adviento","ta", E35="Navidad","tn", E35="Epifania","te", E35="Ordinario","to", E35="Cuaresma","tc", E35="Domingo De Ramos","tc", E35="Semana Santa","ss", E35="Triduo Pascual","tp", E35="Vigilia Pascual","tp", E35="Pascual","tp")</f>
        <v>to</v>
      </c>
      <c r="B35" s="14" t="str">
        <f t="shared" si="0"/>
        <v>/* ENERO        */</v>
      </c>
      <c r="C35" s="15">
        <f t="shared" si="4"/>
        <v>45675</v>
      </c>
      <c r="D35" s="9">
        <f t="shared" si="5"/>
        <v>45675</v>
      </c>
      <c r="E35" s="13" t="s">
        <v>47</v>
      </c>
      <c r="F35" t="s">
        <v>43</v>
      </c>
      <c r="G35">
        <v>1</v>
      </c>
      <c r="I35" s="11">
        <f t="shared" si="1"/>
        <v>45675</v>
      </c>
      <c r="J35" t="s">
        <v>44</v>
      </c>
      <c r="K35" t="str">
        <f t="shared" si="2"/>
        <v>/* ENERO        */ { nombre: "Ordinario, Semana I, SÁBADO", archivo: "/ev/to/1/sábado.mp3", fecha: `${year}-01-18` },</v>
      </c>
      <c r="L35" s="10">
        <f t="shared" si="6"/>
        <v>45675</v>
      </c>
    </row>
    <row r="36" spans="1:12" hidden="1" x14ac:dyDescent="0.25">
      <c r="A36" t="str" cm="1">
        <f t="array" ref="A36">_xlfn.IFS(E36="Adviento","ta", E36="Navidad","tn", E36="Epifania","te", E36="Ordinario","to", E36="Cuaresma","tc", E36="Domingo De Ramos","tc", E36="Semana Santa","ss", E36="Triduo Pascual","tp", E36="Vigilia Pascual","tp", E36="Pascual","tp")</f>
        <v>to</v>
      </c>
      <c r="B36" s="14" t="str">
        <f t="shared" si="0"/>
        <v>/* ENERO        */</v>
      </c>
      <c r="C36" s="15">
        <f t="shared" si="4"/>
        <v>45676</v>
      </c>
      <c r="D36" s="9">
        <f t="shared" si="5"/>
        <v>45676</v>
      </c>
      <c r="E36" s="13" t="s">
        <v>47</v>
      </c>
      <c r="F36" t="s">
        <v>43</v>
      </c>
      <c r="G36">
        <v>1</v>
      </c>
      <c r="I36" s="11">
        <f t="shared" si="1"/>
        <v>45676</v>
      </c>
      <c r="J36" t="s">
        <v>44</v>
      </c>
      <c r="K36" t="str">
        <f t="shared" si="2"/>
        <v>/* ENERO        */ { nombre: "Ordinario, Semana I, DOMINGO", archivo: "/ev/to/1/domingo.mp3", fecha: `${year}-01-19` },</v>
      </c>
      <c r="L36" s="10">
        <f t="shared" si="6"/>
        <v>45676</v>
      </c>
    </row>
    <row r="37" spans="1:12" hidden="1" x14ac:dyDescent="0.25">
      <c r="A37" t="str" cm="1">
        <f t="array" ref="A37">_xlfn.IFS(E37="Adviento","ta", E37="Navidad","tn", E37="Epifania","te", E37="Ordinario","to", E37="Cuaresma","tc", E37="Domingo De Ramos","tc", E37="Semana Santa","ss", E37="Triduo Pascual","tp", E37="Vigilia Pascual","tp", E37="Pascual","tp")</f>
        <v>to</v>
      </c>
      <c r="B37" s="14" t="str">
        <f t="shared" si="0"/>
        <v>/* ENERO        */</v>
      </c>
      <c r="C37" s="15">
        <f t="shared" si="4"/>
        <v>45677</v>
      </c>
      <c r="D37" s="9">
        <f t="shared" si="5"/>
        <v>45677</v>
      </c>
      <c r="E37" s="13" t="s">
        <v>47</v>
      </c>
      <c r="F37" t="s">
        <v>43</v>
      </c>
      <c r="G37">
        <v>1</v>
      </c>
      <c r="I37" s="11">
        <f t="shared" si="1"/>
        <v>45677</v>
      </c>
      <c r="J37" t="s">
        <v>44</v>
      </c>
      <c r="K37" t="str">
        <f t="shared" si="2"/>
        <v>/* ENERO        */ { nombre: "Ordinario, Semana I, LUNES", archivo: "/ev/to/1/lunes.mp3", fecha: `${year}-01-20` },</v>
      </c>
      <c r="L37" s="10">
        <f t="shared" si="6"/>
        <v>45677</v>
      </c>
    </row>
    <row r="38" spans="1:12" hidden="1" x14ac:dyDescent="0.25">
      <c r="A38" t="str" cm="1">
        <f t="array" ref="A38">_xlfn.IFS(E38="Adviento","ta", E38="Navidad","tn", E38="Epifania","te", E38="Ordinario","to", E38="Cuaresma","tc", E38="Domingo De Ramos","tc", E38="Semana Santa","ss", E38="Triduo Pascual","tp", E38="Vigilia Pascual","tp", E38="Pascual","tp")</f>
        <v>to</v>
      </c>
      <c r="B38" s="14" t="str">
        <f t="shared" si="0"/>
        <v>/* ENERO        */</v>
      </c>
      <c r="C38" s="15">
        <f t="shared" si="4"/>
        <v>45678</v>
      </c>
      <c r="D38" s="9">
        <f t="shared" si="5"/>
        <v>45678</v>
      </c>
      <c r="E38" s="13" t="s">
        <v>47</v>
      </c>
      <c r="F38" t="s">
        <v>43</v>
      </c>
      <c r="G38">
        <v>1</v>
      </c>
      <c r="I38" s="11">
        <f t="shared" si="1"/>
        <v>45678</v>
      </c>
      <c r="J38" t="s">
        <v>44</v>
      </c>
      <c r="K38" t="str">
        <f t="shared" si="2"/>
        <v>/* ENERO        */ { nombre: "Ordinario, Semana I, MARTES", archivo: "/ev/to/1/martes.mp3", fecha: `${year}-01-21` },</v>
      </c>
      <c r="L38" s="10">
        <f t="shared" si="6"/>
        <v>45678</v>
      </c>
    </row>
    <row r="39" spans="1:12" hidden="1" x14ac:dyDescent="0.25">
      <c r="A39" t="str" cm="1">
        <f t="array" ref="A39">_xlfn.IFS(E39="Adviento","ta", E39="Navidad","tn", E39="Epifania","te", E39="Ordinario","to", E39="Cuaresma","tc", E39="Domingo De Ramos","tc", E39="Semana Santa","ss", E39="Triduo Pascual","tp", E39="Vigilia Pascual","tp", E39="Pascual","tp")</f>
        <v>to</v>
      </c>
      <c r="B39" s="14" t="str">
        <f t="shared" si="0"/>
        <v>/* ENERO        */</v>
      </c>
      <c r="C39" s="15">
        <f t="shared" si="4"/>
        <v>45679</v>
      </c>
      <c r="D39" s="9">
        <f t="shared" si="5"/>
        <v>45679</v>
      </c>
      <c r="E39" s="13" t="s">
        <v>47</v>
      </c>
      <c r="F39" t="s">
        <v>43</v>
      </c>
      <c r="G39">
        <v>1</v>
      </c>
      <c r="I39" s="11">
        <f t="shared" si="1"/>
        <v>45679</v>
      </c>
      <c r="J39" t="s">
        <v>44</v>
      </c>
      <c r="K39" t="str">
        <f t="shared" si="2"/>
        <v>/* ENERO        */ { nombre: "Ordinario, Semana I, MIÉRCOLES", archivo: "/ev/to/1/miércoles.mp3", fecha: `${year}-01-22` },</v>
      </c>
      <c r="L39" s="10">
        <f t="shared" si="6"/>
        <v>45679</v>
      </c>
    </row>
    <row r="40" spans="1:12" hidden="1" x14ac:dyDescent="0.25">
      <c r="A40" t="str" cm="1">
        <f t="array" ref="A40">_xlfn.IFS(E40="Adviento","ta", E40="Navidad","tn", E40="Epifania","te", E40="Ordinario","to", E40="Cuaresma","tc", E40="Domingo De Ramos","tc", E40="Semana Santa","ss", E40="Triduo Pascual","tp", E40="Vigilia Pascual","tp", E40="Pascual","tp")</f>
        <v>to</v>
      </c>
      <c r="B40" s="14" t="str">
        <f t="shared" si="0"/>
        <v>/* ENERO        */</v>
      </c>
      <c r="C40" s="15">
        <f t="shared" si="4"/>
        <v>45680</v>
      </c>
      <c r="D40" s="9">
        <f t="shared" si="5"/>
        <v>45680</v>
      </c>
      <c r="E40" s="13" t="s">
        <v>47</v>
      </c>
      <c r="F40" t="s">
        <v>43</v>
      </c>
      <c r="G40">
        <v>1</v>
      </c>
      <c r="I40" s="11">
        <f t="shared" si="1"/>
        <v>45680</v>
      </c>
      <c r="J40" t="s">
        <v>44</v>
      </c>
      <c r="K40" t="str">
        <f t="shared" si="2"/>
        <v>/* ENERO        */ { nombre: "Ordinario, Semana I, JUEVES", archivo: "/ev/to/1/jueves.mp3", fecha: `${year}-01-23` },</v>
      </c>
      <c r="L40" s="10">
        <f t="shared" si="6"/>
        <v>45680</v>
      </c>
    </row>
    <row r="41" spans="1:12" hidden="1" x14ac:dyDescent="0.25">
      <c r="A41" t="str" cm="1">
        <f t="array" ref="A41">_xlfn.IFS(E41="Adviento","ta", E41="Navidad","tn", E41="Epifania","te", E41="Ordinario","to", E41="Cuaresma","tc", E41="Domingo De Ramos","tc", E41="Semana Santa","ss", E41="Triduo Pascual","tp", E41="Vigilia Pascual","tp", E41="Pascual","tp")</f>
        <v>to</v>
      </c>
      <c r="B41" s="14" t="str">
        <f t="shared" si="0"/>
        <v>/* ENERO        */</v>
      </c>
      <c r="C41" s="15">
        <f t="shared" si="4"/>
        <v>45681</v>
      </c>
      <c r="D41" s="9">
        <f t="shared" si="5"/>
        <v>45681</v>
      </c>
      <c r="E41" s="13" t="s">
        <v>47</v>
      </c>
      <c r="F41" t="s">
        <v>43</v>
      </c>
      <c r="G41">
        <v>1</v>
      </c>
      <c r="I41" s="11">
        <f t="shared" si="1"/>
        <v>45681</v>
      </c>
      <c r="J41" t="s">
        <v>44</v>
      </c>
      <c r="K41" t="str">
        <f t="shared" si="2"/>
        <v>/* ENERO        */ { nombre: "Ordinario, Semana I, VIERNES", archivo: "/ev/to/1/viernes.mp3", fecha: `${year}-01-24` },</v>
      </c>
      <c r="L41" s="10">
        <f t="shared" si="6"/>
        <v>45681</v>
      </c>
    </row>
    <row r="42" spans="1:12" hidden="1" x14ac:dyDescent="0.25">
      <c r="A42" t="str" cm="1">
        <f t="array" ref="A42">_xlfn.IFS(E42="Adviento","ta", E42="Navidad","tn", E42="Epifania","te", E42="Ordinario","to", E42="Cuaresma","tc", E42="Domingo De Ramos","tc", E42="Semana Santa","ss", E42="Triduo Pascual","tp", E42="Vigilia Pascual","tp", E42="Pascual","tp")</f>
        <v>to</v>
      </c>
      <c r="B42" s="14" t="str">
        <f t="shared" si="0"/>
        <v>/* ENERO        */</v>
      </c>
      <c r="C42" s="15">
        <f t="shared" si="4"/>
        <v>45682</v>
      </c>
      <c r="D42" s="9">
        <f t="shared" si="5"/>
        <v>45682</v>
      </c>
      <c r="E42" s="13" t="s">
        <v>47</v>
      </c>
      <c r="F42" t="s">
        <v>43</v>
      </c>
      <c r="G42">
        <v>1</v>
      </c>
      <c r="I42" s="11">
        <f t="shared" si="1"/>
        <v>45682</v>
      </c>
      <c r="J42" t="s">
        <v>44</v>
      </c>
      <c r="K42" t="str">
        <f t="shared" si="2"/>
        <v>/* ENERO        */ { nombre: "Ordinario, Semana I, SÁBADO", archivo: "/ev/to/1/sábado.mp3", fecha: `${year}-01-25` },</v>
      </c>
      <c r="L42" s="10">
        <f t="shared" si="6"/>
        <v>45682</v>
      </c>
    </row>
    <row r="43" spans="1:12" hidden="1" x14ac:dyDescent="0.25">
      <c r="A43" t="str" cm="1">
        <f t="array" ref="A43">_xlfn.IFS(E43="Adviento","ta", E43="Navidad","tn", E43="Epifania","te", E43="Ordinario","to", E43="Cuaresma","tc", E43="Domingo De Ramos","tc", E43="Semana Santa","ss", E43="Triduo Pascual","tp", E43="Vigilia Pascual","tp", E43="Pascual","tp")</f>
        <v>to</v>
      </c>
      <c r="B43" s="14" t="str">
        <f t="shared" si="0"/>
        <v>/* ENERO        */</v>
      </c>
      <c r="C43" s="15">
        <f t="shared" si="4"/>
        <v>45683</v>
      </c>
      <c r="D43" s="9">
        <f t="shared" si="5"/>
        <v>45683</v>
      </c>
      <c r="E43" s="13" t="s">
        <v>47</v>
      </c>
      <c r="F43" t="s">
        <v>43</v>
      </c>
      <c r="G43">
        <v>1</v>
      </c>
      <c r="I43" s="11">
        <f t="shared" si="1"/>
        <v>45683</v>
      </c>
      <c r="J43" t="s">
        <v>44</v>
      </c>
      <c r="K43" t="str">
        <f t="shared" si="2"/>
        <v>/* ENERO        */ { nombre: "Ordinario, Semana I, DOMINGO", archivo: "/ev/to/1/domingo.mp3", fecha: `${year}-01-26` },</v>
      </c>
      <c r="L43" s="10">
        <f t="shared" si="6"/>
        <v>45683</v>
      </c>
    </row>
    <row r="44" spans="1:12" hidden="1" x14ac:dyDescent="0.25">
      <c r="A44" t="str" cm="1">
        <f t="array" ref="A44">_xlfn.IFS(E44="Adviento","ta", E44="Navidad","tn", E44="Epifania","te", E44="Ordinario","to", E44="Cuaresma","tc", E44="Domingo De Ramos","tc", E44="Semana Santa","ss", E44="Triduo Pascual","tp", E44="Vigilia Pascual","tp", E44="Pascual","tp")</f>
        <v>to</v>
      </c>
      <c r="B44" s="14" t="str">
        <f t="shared" si="0"/>
        <v>/* ENERO        */</v>
      </c>
      <c r="C44" s="15">
        <f t="shared" si="4"/>
        <v>45684</v>
      </c>
      <c r="D44" s="9">
        <f t="shared" si="5"/>
        <v>45684</v>
      </c>
      <c r="E44" s="13" t="s">
        <v>47</v>
      </c>
      <c r="F44" t="s">
        <v>43</v>
      </c>
      <c r="G44">
        <v>1</v>
      </c>
      <c r="I44" s="11">
        <f t="shared" si="1"/>
        <v>45684</v>
      </c>
      <c r="J44" t="s">
        <v>44</v>
      </c>
      <c r="K44" t="str">
        <f t="shared" si="2"/>
        <v>/* ENERO        */ { nombre: "Ordinario, Semana I, LUNES", archivo: "/ev/to/1/lunes.mp3", fecha: `${year}-01-27` },</v>
      </c>
      <c r="L44" s="10">
        <f t="shared" si="6"/>
        <v>45684</v>
      </c>
    </row>
    <row r="45" spans="1:12" hidden="1" x14ac:dyDescent="0.25">
      <c r="A45" t="str" cm="1">
        <f t="array" ref="A45">_xlfn.IFS(E45="Adviento","ta", E45="Navidad","tn", E45="Epifania","te", E45="Ordinario","to", E45="Cuaresma","tc", E45="Domingo De Ramos","tc", E45="Semana Santa","ss", E45="Triduo Pascual","tp", E45="Vigilia Pascual","tp", E45="Pascual","tp")</f>
        <v>to</v>
      </c>
      <c r="B45" s="14" t="str">
        <f t="shared" si="0"/>
        <v>/* ENERO        */</v>
      </c>
      <c r="C45" s="15">
        <f t="shared" si="4"/>
        <v>45685</v>
      </c>
      <c r="D45" s="9">
        <f t="shared" si="5"/>
        <v>45685</v>
      </c>
      <c r="E45" s="13" t="s">
        <v>47</v>
      </c>
      <c r="F45" t="s">
        <v>43</v>
      </c>
      <c r="G45">
        <v>1</v>
      </c>
      <c r="I45" s="11">
        <f t="shared" si="1"/>
        <v>45685</v>
      </c>
      <c r="J45" t="s">
        <v>44</v>
      </c>
      <c r="K45" t="str">
        <f t="shared" si="2"/>
        <v>/* ENERO        */ { nombre: "Ordinario, Semana I, MARTES", archivo: "/ev/to/1/martes.mp3", fecha: `${year}-01-28` },</v>
      </c>
      <c r="L45" s="10">
        <f t="shared" si="6"/>
        <v>45685</v>
      </c>
    </row>
    <row r="46" spans="1:12" hidden="1" x14ac:dyDescent="0.25">
      <c r="A46" t="str" cm="1">
        <f t="array" ref="A46">_xlfn.IFS(E46="Adviento","ta", E46="Navidad","tn", E46="Epifania","te", E46="Ordinario","to", E46="Cuaresma","tc", E46="Domingo De Ramos","tc", E46="Semana Santa","ss", E46="Triduo Pascual","tp", E46="Vigilia Pascual","tp", E46="Pascual","tp")</f>
        <v>to</v>
      </c>
      <c r="B46" s="14" t="str">
        <f t="shared" si="0"/>
        <v>/* ENERO        */</v>
      </c>
      <c r="C46" s="15">
        <f t="shared" si="4"/>
        <v>45686</v>
      </c>
      <c r="D46" s="9">
        <f t="shared" si="5"/>
        <v>45686</v>
      </c>
      <c r="E46" s="13" t="s">
        <v>47</v>
      </c>
      <c r="F46" t="s">
        <v>43</v>
      </c>
      <c r="G46">
        <v>1</v>
      </c>
      <c r="I46" s="11">
        <f t="shared" si="1"/>
        <v>45686</v>
      </c>
      <c r="J46" t="s">
        <v>44</v>
      </c>
      <c r="K46" t="str">
        <f t="shared" si="2"/>
        <v>/* ENERO        */ { nombre: "Ordinario, Semana I, MIÉRCOLES", archivo: "/ev/to/1/miércoles.mp3", fecha: `${year}-01-29` },</v>
      </c>
      <c r="L46" s="10">
        <f t="shared" si="6"/>
        <v>45686</v>
      </c>
    </row>
    <row r="47" spans="1:12" hidden="1" x14ac:dyDescent="0.25">
      <c r="A47" t="str" cm="1">
        <f t="array" ref="A47">_xlfn.IFS(E47="Adviento","ta", E47="Navidad","tn", E47="Epifania","te", E47="Ordinario","to", E47="Cuaresma","tc", E47="Domingo De Ramos","tc", E47="Semana Santa","ss", E47="Triduo Pascual","tp", E47="Vigilia Pascual","tp", E47="Pascual","tp")</f>
        <v>to</v>
      </c>
      <c r="B47" s="14" t="str">
        <f t="shared" si="0"/>
        <v>/* ENERO        */</v>
      </c>
      <c r="C47" s="15">
        <f t="shared" si="4"/>
        <v>45687</v>
      </c>
      <c r="D47" s="9">
        <f t="shared" si="5"/>
        <v>45687</v>
      </c>
      <c r="E47" s="13" t="s">
        <v>47</v>
      </c>
      <c r="F47" t="s">
        <v>43</v>
      </c>
      <c r="G47">
        <v>1</v>
      </c>
      <c r="I47" s="11">
        <f t="shared" si="1"/>
        <v>45687</v>
      </c>
      <c r="J47" t="s">
        <v>44</v>
      </c>
      <c r="K47" t="str">
        <f t="shared" si="2"/>
        <v>/* ENERO        */ { nombre: "Ordinario, Semana I, JUEVES", archivo: "/ev/to/1/jueves.mp3", fecha: `${year}-01-30` },</v>
      </c>
      <c r="L47" s="10">
        <f t="shared" si="6"/>
        <v>45687</v>
      </c>
    </row>
    <row r="48" spans="1:12" hidden="1" x14ac:dyDescent="0.25">
      <c r="A48" t="str" cm="1">
        <f t="array" ref="A48">_xlfn.IFS(E48="Adviento","ta", E48="Navidad","tn", E48="Epifania","te", E48="Ordinario","to", E48="Cuaresma","tc", E48="Domingo De Ramos","tc", E48="Semana Santa","ss", E48="Triduo Pascual","tp", E48="Vigilia Pascual","tp", E48="Pascual","tp")</f>
        <v>to</v>
      </c>
      <c r="B48" s="14" t="str">
        <f t="shared" si="0"/>
        <v>/* ENERO        */</v>
      </c>
      <c r="C48" s="15">
        <f t="shared" si="4"/>
        <v>45688</v>
      </c>
      <c r="D48" s="9">
        <f t="shared" si="5"/>
        <v>45688</v>
      </c>
      <c r="E48" s="13" t="s">
        <v>47</v>
      </c>
      <c r="F48" t="s">
        <v>43</v>
      </c>
      <c r="G48">
        <v>1</v>
      </c>
      <c r="I48" s="11">
        <f t="shared" si="1"/>
        <v>45688</v>
      </c>
      <c r="J48" t="s">
        <v>44</v>
      </c>
      <c r="K48" t="str">
        <f t="shared" si="2"/>
        <v>/* ENERO        */ { nombre: "Ordinario, Semana I, VIERNES", archivo: "/ev/to/1/viernes.mp3", fecha: `${year}-01-31` },</v>
      </c>
      <c r="L48" s="10">
        <f t="shared" si="6"/>
        <v>45688</v>
      </c>
    </row>
    <row r="49" spans="1:12" hidden="1" x14ac:dyDescent="0.25">
      <c r="A49" t="str" cm="1">
        <f t="array" ref="A49">_xlfn.IFS(E49="Adviento","ta", E49="Navidad","tn", E49="Epifania","te", E49="Ordinario","to", E49="Cuaresma","tc", E49="Domingo De Ramos","tc", E49="Semana Santa","ss", E49="Triduo Pascual","tp", E49="Vigilia Pascual","tp", E49="Pascual","tp")</f>
        <v>ta</v>
      </c>
      <c r="B49" s="14" t="str">
        <f t="shared" si="0"/>
        <v>/* FEBRERO        */</v>
      </c>
      <c r="C49" s="15">
        <f t="shared" si="4"/>
        <v>45689</v>
      </c>
      <c r="D49" s="9">
        <f t="shared" si="5"/>
        <v>45689</v>
      </c>
      <c r="E49" t="s">
        <v>46</v>
      </c>
      <c r="F49" t="s">
        <v>43</v>
      </c>
      <c r="G49">
        <v>1</v>
      </c>
      <c r="I49" s="11">
        <f t="shared" si="1"/>
        <v>45689</v>
      </c>
      <c r="J49" t="s">
        <v>44</v>
      </c>
      <c r="K49" t="str">
        <f t="shared" si="2"/>
        <v>/* FEBRERO        */ { nombre: "Adviento, Semana I, SÁBADO", archivo: "/ev/ta/1/sábado.mp3", fecha: `${year}-02-01` },</v>
      </c>
      <c r="L49" s="10">
        <f t="shared" si="6"/>
        <v>45689</v>
      </c>
    </row>
    <row r="50" spans="1:12" hidden="1" x14ac:dyDescent="0.25">
      <c r="A50" t="str" cm="1">
        <f t="array" ref="A50">_xlfn.IFS(E50="Adviento","ta", E50="Navidad","tn", E50="Epifania","te", E50="Ordinario","to", E50="Cuaresma","tc", E50="Domingo De Ramos","tc", E50="Semana Santa","ss", E50="Triduo Pascual","tp", E50="Vigilia Pascual","tp", E50="Pascual","tp")</f>
        <v>ta</v>
      </c>
      <c r="B50" s="14" t="str">
        <f t="shared" si="0"/>
        <v>/* FEBRERO        */</v>
      </c>
      <c r="C50" s="15">
        <f t="shared" si="4"/>
        <v>45690</v>
      </c>
      <c r="D50" s="9">
        <f t="shared" si="5"/>
        <v>45690</v>
      </c>
      <c r="E50" t="s">
        <v>46</v>
      </c>
      <c r="F50" t="s">
        <v>43</v>
      </c>
      <c r="G50">
        <v>1</v>
      </c>
      <c r="I50" s="11">
        <f t="shared" si="1"/>
        <v>45690</v>
      </c>
      <c r="J50" t="s">
        <v>44</v>
      </c>
      <c r="K50" t="str">
        <f t="shared" si="2"/>
        <v>/* FEBRERO        */ { nombre: "Adviento, Semana I, DOMINGO", archivo: "/ev/ta/1/domingo.mp3", fecha: `${year}-02-02` },</v>
      </c>
      <c r="L50" s="10">
        <f t="shared" si="6"/>
        <v>45690</v>
      </c>
    </row>
    <row r="51" spans="1:12" hidden="1" x14ac:dyDescent="0.25">
      <c r="A51" t="str" cm="1">
        <f t="array" ref="A51">_xlfn.IFS(E51="Adviento","ta", E51="Navidad","tn", E51="Epifania","te", E51="Ordinario","to", E51="Cuaresma","tc", E51="Domingo De Ramos","tc", E51="Semana Santa","ss", E51="Triduo Pascual","tp", E51="Vigilia Pascual","tp", E51="Pascual","tp")</f>
        <v>ta</v>
      </c>
      <c r="B51" s="14" t="str">
        <f t="shared" si="0"/>
        <v>/* FEBRERO        */</v>
      </c>
      <c r="C51" s="15">
        <f t="shared" si="4"/>
        <v>45691</v>
      </c>
      <c r="D51" s="9">
        <f t="shared" si="5"/>
        <v>45691</v>
      </c>
      <c r="E51" t="s">
        <v>46</v>
      </c>
      <c r="F51" t="s">
        <v>43</v>
      </c>
      <c r="G51">
        <v>1</v>
      </c>
      <c r="I51" s="11">
        <f t="shared" si="1"/>
        <v>45691</v>
      </c>
      <c r="J51" t="s">
        <v>44</v>
      </c>
      <c r="K51" t="str">
        <f t="shared" si="2"/>
        <v>/* FEBRERO        */ { nombre: "Adviento, Semana I, LUNES", archivo: "/ev/ta/1/lunes.mp3", fecha: `${year}-02-03` },</v>
      </c>
      <c r="L51" s="10">
        <f t="shared" si="6"/>
        <v>45691</v>
      </c>
    </row>
    <row r="52" spans="1:12" hidden="1" x14ac:dyDescent="0.25">
      <c r="A52" t="str" cm="1">
        <f t="array" ref="A52">_xlfn.IFS(E52="Adviento","ta", E52="Navidad","tn", E52="Epifania","te", E52="Ordinario","to", E52="Cuaresma","tc", E52="Domingo De Ramos","tc", E52="Semana Santa","ss", E52="Triduo Pascual","tp", E52="Vigilia Pascual","tp", E52="Pascual","tp")</f>
        <v>ta</v>
      </c>
      <c r="B52" s="14" t="str">
        <f t="shared" si="0"/>
        <v>/* FEBRERO        */</v>
      </c>
      <c r="C52" s="15">
        <f t="shared" si="4"/>
        <v>45692</v>
      </c>
      <c r="D52" s="9">
        <f t="shared" si="5"/>
        <v>45692</v>
      </c>
      <c r="E52" t="s">
        <v>46</v>
      </c>
      <c r="F52" t="s">
        <v>43</v>
      </c>
      <c r="G52">
        <v>1</v>
      </c>
      <c r="I52" s="11">
        <f t="shared" si="1"/>
        <v>45692</v>
      </c>
      <c r="J52" t="s">
        <v>44</v>
      </c>
      <c r="K52" t="str">
        <f t="shared" si="2"/>
        <v>/* FEBRERO        */ { nombre: "Adviento, Semana I, MARTES", archivo: "/ev/ta/1/martes.mp3", fecha: `${year}-02-04` },</v>
      </c>
      <c r="L52" s="10">
        <f t="shared" si="6"/>
        <v>45692</v>
      </c>
    </row>
    <row r="53" spans="1:12" hidden="1" x14ac:dyDescent="0.25">
      <c r="A53" t="str" cm="1">
        <f t="array" ref="A53">_xlfn.IFS(E53="Adviento","ta", E53="Navidad","tn", E53="Epifania","te", E53="Ordinario","to", E53="Cuaresma","tc", E53="Domingo De Ramos","tc", E53="Semana Santa","ss", E53="Triduo Pascual","tp", E53="Vigilia Pascual","tp", E53="Pascual","tp")</f>
        <v>ta</v>
      </c>
      <c r="B53" s="14" t="str">
        <f t="shared" si="0"/>
        <v>/* FEBRERO        */</v>
      </c>
      <c r="C53" s="15">
        <f t="shared" si="4"/>
        <v>45693</v>
      </c>
      <c r="D53" s="9">
        <f t="shared" si="5"/>
        <v>45693</v>
      </c>
      <c r="E53" t="s">
        <v>46</v>
      </c>
      <c r="F53" t="s">
        <v>43</v>
      </c>
      <c r="G53">
        <v>1</v>
      </c>
      <c r="I53" s="11">
        <f t="shared" si="1"/>
        <v>45693</v>
      </c>
      <c r="J53" t="s">
        <v>44</v>
      </c>
      <c r="K53" t="str">
        <f t="shared" si="2"/>
        <v>/* FEBRERO        */ { nombre: "Adviento, Semana I, MIÉRCOLES", archivo: "/ev/ta/1/miércoles.mp3", fecha: `${year}-02-05` },</v>
      </c>
      <c r="L53" s="10">
        <f t="shared" si="6"/>
        <v>45693</v>
      </c>
    </row>
    <row r="54" spans="1:12" hidden="1" x14ac:dyDescent="0.25">
      <c r="A54" t="str" cm="1">
        <f t="array" ref="A54">_xlfn.IFS(E54="Adviento","ta", E54="Navidad","tn", E54="Epifania","te", E54="Ordinario","to", E54="Cuaresma","tc", E54="Domingo De Ramos","tc", E54="Semana Santa","ss", E54="Triduo Pascual","tp", E54="Vigilia Pascual","tp", E54="Pascual","tp")</f>
        <v>ta</v>
      </c>
      <c r="B54" s="14" t="str">
        <f t="shared" si="0"/>
        <v>/* FEBRERO        */</v>
      </c>
      <c r="C54" s="15">
        <f t="shared" si="4"/>
        <v>45694</v>
      </c>
      <c r="D54" s="9">
        <f t="shared" si="5"/>
        <v>45694</v>
      </c>
      <c r="E54" t="s">
        <v>46</v>
      </c>
      <c r="F54" t="s">
        <v>43</v>
      </c>
      <c r="G54">
        <v>1</v>
      </c>
      <c r="I54" s="11">
        <f t="shared" si="1"/>
        <v>45694</v>
      </c>
      <c r="J54" t="s">
        <v>44</v>
      </c>
      <c r="K54" t="str">
        <f t="shared" si="2"/>
        <v>/* FEBRERO        */ { nombre: "Adviento, Semana I, JUEVES", archivo: "/ev/ta/1/jueves.mp3", fecha: `${year}-02-06` },</v>
      </c>
      <c r="L54" s="10">
        <f t="shared" si="6"/>
        <v>45694</v>
      </c>
    </row>
    <row r="55" spans="1:12" hidden="1" x14ac:dyDescent="0.25">
      <c r="A55" t="str" cm="1">
        <f t="array" ref="A55">_xlfn.IFS(E55="Adviento","ta", E55="Navidad","tn", E55="Epifania","te", E55="Ordinario","to", E55="Cuaresma","tc", E55="Domingo De Ramos","tc", E55="Semana Santa","ss", E55="Triduo Pascual","tp", E55="Vigilia Pascual","tp", E55="Pascual","tp")</f>
        <v>ta</v>
      </c>
      <c r="B55" s="14" t="str">
        <f t="shared" si="0"/>
        <v>/* FEBRERO        */</v>
      </c>
      <c r="C55" s="15">
        <f t="shared" si="4"/>
        <v>45695</v>
      </c>
      <c r="D55" s="9">
        <f t="shared" si="5"/>
        <v>45695</v>
      </c>
      <c r="E55" t="s">
        <v>46</v>
      </c>
      <c r="F55" t="s">
        <v>43</v>
      </c>
      <c r="G55">
        <v>1</v>
      </c>
      <c r="I55" s="11">
        <f t="shared" si="1"/>
        <v>45695</v>
      </c>
      <c r="J55" t="s">
        <v>44</v>
      </c>
      <c r="K55" t="str">
        <f t="shared" si="2"/>
        <v>/* FEBRERO        */ { nombre: "Adviento, Semana I, VIERNES", archivo: "/ev/ta/1/viernes.mp3", fecha: `${year}-02-07` },</v>
      </c>
      <c r="L55" s="10">
        <f t="shared" si="6"/>
        <v>45695</v>
      </c>
    </row>
    <row r="56" spans="1:12" hidden="1" x14ac:dyDescent="0.25">
      <c r="A56" t="str" cm="1">
        <f t="array" ref="A56">_xlfn.IFS(E56="Adviento","ta", E56="Navidad","tn", E56="Epifania","te", E56="Ordinario","to", E56="Cuaresma","tc", E56="Domingo De Ramos","tc", E56="Semana Santa","ss", E56="Triduo Pascual","tp", E56="Vigilia Pascual","tp", E56="Pascual","tp")</f>
        <v>ta</v>
      </c>
      <c r="B56" s="14" t="str">
        <f t="shared" si="0"/>
        <v>/* FEBRERO        */</v>
      </c>
      <c r="C56" s="15">
        <f t="shared" si="4"/>
        <v>45696</v>
      </c>
      <c r="D56" s="9">
        <f t="shared" si="5"/>
        <v>45696</v>
      </c>
      <c r="E56" t="s">
        <v>46</v>
      </c>
      <c r="F56" t="s">
        <v>43</v>
      </c>
      <c r="G56">
        <v>1</v>
      </c>
      <c r="I56" s="11">
        <f t="shared" si="1"/>
        <v>45696</v>
      </c>
      <c r="J56" t="s">
        <v>44</v>
      </c>
      <c r="K56" t="str">
        <f t="shared" si="2"/>
        <v>/* FEBRERO        */ { nombre: "Adviento, Semana I, SÁBADO", archivo: "/ev/ta/1/sábado.mp3", fecha: `${year}-02-08` },</v>
      </c>
      <c r="L56" s="10">
        <f t="shared" si="6"/>
        <v>45696</v>
      </c>
    </row>
    <row r="57" spans="1:12" hidden="1" x14ac:dyDescent="0.25">
      <c r="A57" t="str" cm="1">
        <f t="array" ref="A57">_xlfn.IFS(E57="Adviento","ta", E57="Navidad","tn", E57="Epifania","te", E57="Ordinario","to", E57="Cuaresma","tc", E57="Domingo De Ramos","tc", E57="Semana Santa","ss", E57="Triduo Pascual","tp", E57="Vigilia Pascual","tp", E57="Pascual","tp")</f>
        <v>ta</v>
      </c>
      <c r="B57" s="14" t="str">
        <f t="shared" si="0"/>
        <v>/* FEBRERO        */</v>
      </c>
      <c r="C57" s="15">
        <f t="shared" si="4"/>
        <v>45697</v>
      </c>
      <c r="D57" s="9">
        <f t="shared" si="5"/>
        <v>45697</v>
      </c>
      <c r="E57" t="s">
        <v>46</v>
      </c>
      <c r="F57" t="s">
        <v>43</v>
      </c>
      <c r="G57">
        <v>1</v>
      </c>
      <c r="I57" s="11">
        <f t="shared" si="1"/>
        <v>45697</v>
      </c>
      <c r="J57" t="s">
        <v>44</v>
      </c>
      <c r="K57" t="str">
        <f t="shared" si="2"/>
        <v>/* FEBRERO        */ { nombre: "Adviento, Semana I, DOMINGO", archivo: "/ev/ta/1/domingo.mp3", fecha: `${year}-02-09` },</v>
      </c>
      <c r="L57" s="10">
        <f t="shared" si="6"/>
        <v>45697</v>
      </c>
    </row>
    <row r="58" spans="1:12" hidden="1" x14ac:dyDescent="0.25">
      <c r="A58" t="str" cm="1">
        <f t="array" ref="A58">_xlfn.IFS(E58="Adviento","ta", E58="Navidad","tn", E58="Epifania","te", E58="Ordinario","to", E58="Cuaresma","tc", E58="Domingo De Ramos","tc", E58="Semana Santa","ss", E58="Triduo Pascual","tp", E58="Vigilia Pascual","tp", E58="Pascual","tp")</f>
        <v>ta</v>
      </c>
      <c r="B58" s="14" t="str">
        <f t="shared" si="0"/>
        <v>/* FEBRERO        */</v>
      </c>
      <c r="C58" s="15">
        <f t="shared" si="4"/>
        <v>45698</v>
      </c>
      <c r="D58" s="9">
        <f t="shared" si="5"/>
        <v>45698</v>
      </c>
      <c r="E58" t="s">
        <v>46</v>
      </c>
      <c r="F58" t="s">
        <v>43</v>
      </c>
      <c r="G58">
        <v>1</v>
      </c>
      <c r="I58" s="11">
        <f t="shared" si="1"/>
        <v>45698</v>
      </c>
      <c r="J58" t="s">
        <v>44</v>
      </c>
      <c r="K58" t="str">
        <f t="shared" si="2"/>
        <v>/* FEBRERO        */ { nombre: "Adviento, Semana I, LUNES", archivo: "/ev/ta/1/lunes.mp3", fecha: `${year}-02-10` },</v>
      </c>
      <c r="L58" s="10">
        <f t="shared" si="6"/>
        <v>45698</v>
      </c>
    </row>
    <row r="59" spans="1:12" hidden="1" x14ac:dyDescent="0.25">
      <c r="A59" t="str" cm="1">
        <f t="array" ref="A59">_xlfn.IFS(E59="Adviento","ta", E59="Navidad","tn", E59="Epifania","te", E59="Ordinario","to", E59="Cuaresma","tc", E59="Domingo De Ramos","tc", E59="Semana Santa","ss", E59="Triduo Pascual","tp", E59="Vigilia Pascual","tp", E59="Pascual","tp")</f>
        <v>ta</v>
      </c>
      <c r="B59" s="14" t="str">
        <f t="shared" si="0"/>
        <v>/* FEBRERO        */</v>
      </c>
      <c r="C59" s="15">
        <f t="shared" si="4"/>
        <v>45699</v>
      </c>
      <c r="D59" s="9">
        <f t="shared" si="5"/>
        <v>45699</v>
      </c>
      <c r="E59" t="s">
        <v>46</v>
      </c>
      <c r="F59" t="s">
        <v>43</v>
      </c>
      <c r="G59">
        <v>1</v>
      </c>
      <c r="I59" s="11">
        <f t="shared" si="1"/>
        <v>45699</v>
      </c>
      <c r="J59" t="s">
        <v>44</v>
      </c>
      <c r="K59" t="str">
        <f t="shared" si="2"/>
        <v>/* FEBRERO        */ { nombre: "Adviento, Semana I, MARTES", archivo: "/ev/ta/1/martes.mp3", fecha: `${year}-02-11` },</v>
      </c>
      <c r="L59" s="10">
        <f t="shared" si="6"/>
        <v>45699</v>
      </c>
    </row>
    <row r="60" spans="1:12" hidden="1" x14ac:dyDescent="0.25">
      <c r="A60" t="str" cm="1">
        <f t="array" ref="A60">_xlfn.IFS(E60="Adviento","ta", E60="Navidad","tn", E60="Epifania","te", E60="Ordinario","to", E60="Cuaresma","tc", E60="Domingo De Ramos","tc", E60="Semana Santa","ss", E60="Triduo Pascual","tp", E60="Vigilia Pascual","tp", E60="Pascual","tp")</f>
        <v>ta</v>
      </c>
      <c r="B60" s="14" t="str">
        <f t="shared" si="0"/>
        <v>/* FEBRERO        */</v>
      </c>
      <c r="C60" s="15">
        <f t="shared" si="4"/>
        <v>45700</v>
      </c>
      <c r="D60" s="9">
        <f t="shared" si="5"/>
        <v>45700</v>
      </c>
      <c r="E60" t="s">
        <v>46</v>
      </c>
      <c r="F60" t="s">
        <v>43</v>
      </c>
      <c r="G60">
        <v>1</v>
      </c>
      <c r="I60" s="11">
        <f t="shared" si="1"/>
        <v>45700</v>
      </c>
      <c r="J60" t="s">
        <v>44</v>
      </c>
      <c r="K60" t="str">
        <f t="shared" si="2"/>
        <v>/* FEBRERO        */ { nombre: "Adviento, Semana I, MIÉRCOLES", archivo: "/ev/ta/1/miércoles.mp3", fecha: `${year}-02-12` },</v>
      </c>
      <c r="L60" s="10">
        <f t="shared" si="6"/>
        <v>45700</v>
      </c>
    </row>
    <row r="61" spans="1:12" hidden="1" x14ac:dyDescent="0.25">
      <c r="A61" t="str" cm="1">
        <f t="array" ref="A61">_xlfn.IFS(E61="Adviento","ta", E61="Navidad","tn", E61="Epifania","te", E61="Ordinario","to", E61="Cuaresma","tc", E61="Domingo De Ramos","tc", E61="Semana Santa","ss", E61="Triduo Pascual","tp", E61="Vigilia Pascual","tp", E61="Pascual","tp")</f>
        <v>ta</v>
      </c>
      <c r="B61" s="14" t="str">
        <f t="shared" si="0"/>
        <v>/* FEBRERO        */</v>
      </c>
      <c r="C61" s="15">
        <f t="shared" si="4"/>
        <v>45701</v>
      </c>
      <c r="D61" s="9">
        <f t="shared" si="5"/>
        <v>45701</v>
      </c>
      <c r="E61" t="s">
        <v>46</v>
      </c>
      <c r="F61" t="s">
        <v>43</v>
      </c>
      <c r="G61">
        <v>1</v>
      </c>
      <c r="I61" s="11">
        <f t="shared" si="1"/>
        <v>45701</v>
      </c>
      <c r="J61" t="s">
        <v>44</v>
      </c>
      <c r="K61" t="str">
        <f t="shared" si="2"/>
        <v>/* FEBRERO        */ { nombre: "Adviento, Semana I, JUEVES", archivo: "/ev/ta/1/jueves.mp3", fecha: `${year}-02-13` },</v>
      </c>
      <c r="L61" s="10">
        <f t="shared" si="6"/>
        <v>45701</v>
      </c>
    </row>
    <row r="62" spans="1:12" hidden="1" x14ac:dyDescent="0.25">
      <c r="A62" t="str" cm="1">
        <f t="array" ref="A62">_xlfn.IFS(E62="Adviento","ta", E62="Navidad","tn", E62="Epifania","te", E62="Ordinario","to", E62="Cuaresma","tc", E62="Domingo De Ramos","tc", E62="Semana Santa","ss", E62="Triduo Pascual","tp", E62="Vigilia Pascual","tp", E62="Pascual","tp")</f>
        <v>ta</v>
      </c>
      <c r="B62" s="14" t="str">
        <f t="shared" si="0"/>
        <v>/* FEBRERO        */</v>
      </c>
      <c r="C62" s="15">
        <f t="shared" si="4"/>
        <v>45702</v>
      </c>
      <c r="D62" s="9">
        <f t="shared" si="5"/>
        <v>45702</v>
      </c>
      <c r="E62" t="s">
        <v>46</v>
      </c>
      <c r="F62" t="s">
        <v>43</v>
      </c>
      <c r="G62">
        <v>1</v>
      </c>
      <c r="I62" s="11">
        <f t="shared" si="1"/>
        <v>45702</v>
      </c>
      <c r="J62" t="s">
        <v>44</v>
      </c>
      <c r="K62" t="str">
        <f t="shared" si="2"/>
        <v>/* FEBRERO        */ { nombre: "Adviento, Semana I, VIERNES", archivo: "/ev/ta/1/viernes.mp3", fecha: `${year}-02-14` },</v>
      </c>
      <c r="L62" s="10">
        <f t="shared" si="6"/>
        <v>45702</v>
      </c>
    </row>
    <row r="63" spans="1:12" hidden="1" x14ac:dyDescent="0.25">
      <c r="A63" t="str" cm="1">
        <f t="array" ref="A63">_xlfn.IFS(E63="Adviento","ta", E63="Navidad","tn", E63="Epifania","te", E63="Ordinario","to", E63="Cuaresma","tc", E63="Domingo De Ramos","tc", E63="Semana Santa","ss", E63="Triduo Pascual","tp", E63="Vigilia Pascual","tp", E63="Pascual","tp")</f>
        <v>ta</v>
      </c>
      <c r="B63" s="14" t="str">
        <f t="shared" si="0"/>
        <v>/* FEBRERO        */</v>
      </c>
      <c r="C63" s="15">
        <f t="shared" si="4"/>
        <v>45703</v>
      </c>
      <c r="D63" s="9">
        <f t="shared" si="5"/>
        <v>45703</v>
      </c>
      <c r="E63" t="s">
        <v>46</v>
      </c>
      <c r="F63" t="s">
        <v>43</v>
      </c>
      <c r="G63">
        <v>1</v>
      </c>
      <c r="I63" s="11">
        <f t="shared" si="1"/>
        <v>45703</v>
      </c>
      <c r="J63" t="s">
        <v>44</v>
      </c>
      <c r="K63" t="str">
        <f t="shared" si="2"/>
        <v>/* FEBRERO        */ { nombre: "Adviento, Semana I, SÁBADO", archivo: "/ev/ta/1/sábado.mp3", fecha: `${year}-02-15` },</v>
      </c>
      <c r="L63" s="10">
        <f t="shared" si="6"/>
        <v>45703</v>
      </c>
    </row>
    <row r="64" spans="1:12" hidden="1" x14ac:dyDescent="0.25">
      <c r="A64" t="str" cm="1">
        <f t="array" ref="A64">_xlfn.IFS(E64="Adviento","ta", E64="Navidad","tn", E64="Epifania","te", E64="Ordinario","to", E64="Cuaresma","tc", E64="Domingo De Ramos","tc", E64="Semana Santa","ss", E64="Triduo Pascual","tp", E64="Vigilia Pascual","tp", E64="Pascual","tp")</f>
        <v>ta</v>
      </c>
      <c r="B64" s="14" t="str">
        <f t="shared" si="0"/>
        <v>/* FEBRERO        */</v>
      </c>
      <c r="C64" s="15">
        <f t="shared" si="4"/>
        <v>45704</v>
      </c>
      <c r="D64" s="9">
        <f t="shared" si="5"/>
        <v>45704</v>
      </c>
      <c r="E64" t="s">
        <v>46</v>
      </c>
      <c r="F64" t="s">
        <v>43</v>
      </c>
      <c r="G64">
        <v>1</v>
      </c>
      <c r="I64" s="11">
        <f t="shared" si="1"/>
        <v>45704</v>
      </c>
      <c r="J64" t="s">
        <v>44</v>
      </c>
      <c r="K64" t="str">
        <f t="shared" si="2"/>
        <v>/* FEBRERO        */ { nombre: "Adviento, Semana I, DOMINGO", archivo: "/ev/ta/1/domingo.mp3", fecha: `${year}-02-16` },</v>
      </c>
      <c r="L64" s="10">
        <f t="shared" si="6"/>
        <v>45704</v>
      </c>
    </row>
    <row r="65" spans="1:12" hidden="1" x14ac:dyDescent="0.25">
      <c r="A65" t="str" cm="1">
        <f t="array" ref="A65">_xlfn.IFS(E65="Adviento","ta", E65="Navidad","tn", E65="Epifania","te", E65="Ordinario","to", E65="Cuaresma","tc", E65="Domingo De Ramos","tc", E65="Semana Santa","ss", E65="Triduo Pascual","tp", E65="Vigilia Pascual","tp", E65="Pascual","tp")</f>
        <v>ta</v>
      </c>
      <c r="B65" s="14" t="str">
        <f t="shared" si="0"/>
        <v>/* FEBRERO        */</v>
      </c>
      <c r="C65" s="15">
        <f t="shared" si="4"/>
        <v>45705</v>
      </c>
      <c r="D65" s="9">
        <f t="shared" si="5"/>
        <v>45705</v>
      </c>
      <c r="E65" t="s">
        <v>46</v>
      </c>
      <c r="F65" t="s">
        <v>43</v>
      </c>
      <c r="G65">
        <v>1</v>
      </c>
      <c r="I65" s="11">
        <f t="shared" si="1"/>
        <v>45705</v>
      </c>
      <c r="J65" t="s">
        <v>44</v>
      </c>
      <c r="K65" t="str">
        <f t="shared" si="2"/>
        <v>/* FEBRERO        */ { nombre: "Adviento, Semana I, LUNES", archivo: "/ev/ta/1/lunes.mp3", fecha: `${year}-02-17` },</v>
      </c>
      <c r="L65" s="10">
        <f t="shared" si="6"/>
        <v>45705</v>
      </c>
    </row>
    <row r="66" spans="1:12" hidden="1" x14ac:dyDescent="0.25">
      <c r="A66" t="str" cm="1">
        <f t="array" ref="A66">_xlfn.IFS(E66="Adviento","ta", E66="Navidad","tn", E66="Epifania","te", E66="Ordinario","to", E66="Cuaresma","tc", E66="Domingo De Ramos","tc", E66="Semana Santa","ss", E66="Triduo Pascual","tp", E66="Vigilia Pascual","tp", E66="Pascual","tp")</f>
        <v>ta</v>
      </c>
      <c r="B66" s="14" t="str">
        <f t="shared" si="0"/>
        <v>/* FEBRERO        */</v>
      </c>
      <c r="C66" s="15">
        <f t="shared" si="4"/>
        <v>45706</v>
      </c>
      <c r="D66" s="9">
        <f t="shared" si="5"/>
        <v>45706</v>
      </c>
      <c r="E66" t="s">
        <v>46</v>
      </c>
      <c r="F66" t="s">
        <v>43</v>
      </c>
      <c r="G66">
        <v>1</v>
      </c>
      <c r="I66" s="11">
        <f t="shared" si="1"/>
        <v>45706</v>
      </c>
      <c r="J66" t="s">
        <v>44</v>
      </c>
      <c r="K66" t="str">
        <f t="shared" si="2"/>
        <v>/* FEBRERO        */ { nombre: "Adviento, Semana I, MARTES", archivo: "/ev/ta/1/martes.mp3", fecha: `${year}-02-18` },</v>
      </c>
      <c r="L66" s="10">
        <f t="shared" si="6"/>
        <v>45706</v>
      </c>
    </row>
    <row r="67" spans="1:12" hidden="1" x14ac:dyDescent="0.25">
      <c r="A67" t="str" cm="1">
        <f t="array" ref="A67">_xlfn.IFS(E67="Adviento","ta", E67="Navidad","tn", E67="Epifania","te", E67="Ordinario","to", E67="Cuaresma","tc", E67="Domingo De Ramos","tc", E67="Semana Santa","ss", E67="Triduo Pascual","tp", E67="Vigilia Pascual","tp", E67="Pascual","tp")</f>
        <v>ta</v>
      </c>
      <c r="B67" s="14" t="str">
        <f t="shared" si="0"/>
        <v>/* FEBRERO        */</v>
      </c>
      <c r="C67" s="15">
        <f t="shared" si="4"/>
        <v>45707</v>
      </c>
      <c r="D67" s="9">
        <f t="shared" si="5"/>
        <v>45707</v>
      </c>
      <c r="E67" t="s">
        <v>46</v>
      </c>
      <c r="F67" t="s">
        <v>43</v>
      </c>
      <c r="G67">
        <v>1</v>
      </c>
      <c r="I67" s="11">
        <f t="shared" si="1"/>
        <v>45707</v>
      </c>
      <c r="J67" t="s">
        <v>44</v>
      </c>
      <c r="K67" t="str">
        <f t="shared" si="2"/>
        <v>/* FEBRERO        */ { nombre: "Adviento, Semana I, MIÉRCOLES", archivo: "/ev/ta/1/miércoles.mp3", fecha: `${year}-02-19` },</v>
      </c>
      <c r="L67" s="10">
        <f t="shared" si="6"/>
        <v>45707</v>
      </c>
    </row>
    <row r="68" spans="1:12" hidden="1" x14ac:dyDescent="0.25">
      <c r="A68" t="str" cm="1">
        <f t="array" ref="A68">_xlfn.IFS(E68="Adviento","ta", E68="Navidad","tn", E68="Epifania","te", E68="Ordinario","to", E68="Cuaresma","tc", E68="Domingo De Ramos","tc", E68="Semana Santa","ss", E68="Triduo Pascual","tp", E68="Vigilia Pascual","tp", E68="Pascual","tp")</f>
        <v>ta</v>
      </c>
      <c r="B68" s="14" t="str">
        <f t="shared" si="0"/>
        <v>/* FEBRERO        */</v>
      </c>
      <c r="C68" s="15">
        <f t="shared" si="4"/>
        <v>45708</v>
      </c>
      <c r="D68" s="9">
        <f t="shared" si="5"/>
        <v>45708</v>
      </c>
      <c r="E68" t="s">
        <v>46</v>
      </c>
      <c r="F68" t="s">
        <v>43</v>
      </c>
      <c r="G68">
        <v>1</v>
      </c>
      <c r="I68" s="11">
        <f t="shared" si="1"/>
        <v>45708</v>
      </c>
      <c r="J68" t="s">
        <v>44</v>
      </c>
      <c r="K68" t="str">
        <f t="shared" si="2"/>
        <v>/* FEBRERO        */ { nombre: "Adviento, Semana I, JUEVES", archivo: "/ev/ta/1/jueves.mp3", fecha: `${year}-02-20` },</v>
      </c>
      <c r="L68" s="10">
        <f t="shared" si="6"/>
        <v>45708</v>
      </c>
    </row>
    <row r="69" spans="1:12" hidden="1" x14ac:dyDescent="0.25">
      <c r="A69" t="str" cm="1">
        <f t="array" ref="A69">_xlfn.IFS(E69="Adviento","ta", E69="Navidad","tn", E69="Epifania","te", E69="Ordinario","to", E69="Cuaresma","tc", E69="Domingo De Ramos","tc", E69="Semana Santa","ss", E69="Triduo Pascual","tp", E69="Vigilia Pascual","tp", E69="Pascual","tp")</f>
        <v>ta</v>
      </c>
      <c r="B69" s="14" t="str">
        <f t="shared" si="0"/>
        <v>/* FEBRERO        */</v>
      </c>
      <c r="C69" s="15">
        <f t="shared" si="4"/>
        <v>45709</v>
      </c>
      <c r="D69" s="9">
        <f t="shared" si="5"/>
        <v>45709</v>
      </c>
      <c r="E69" t="s">
        <v>46</v>
      </c>
      <c r="F69" t="s">
        <v>43</v>
      </c>
      <c r="G69">
        <v>1</v>
      </c>
      <c r="I69" s="11">
        <f t="shared" si="1"/>
        <v>45709</v>
      </c>
      <c r="J69" t="s">
        <v>44</v>
      </c>
      <c r="K69" t="str">
        <f t="shared" si="2"/>
        <v>/* FEBRERO        */ { nombre: "Adviento, Semana I, VIERNES", archivo: "/ev/ta/1/viernes.mp3", fecha: `${year}-02-21` },</v>
      </c>
      <c r="L69" s="10">
        <f t="shared" si="6"/>
        <v>45709</v>
      </c>
    </row>
    <row r="70" spans="1:12" hidden="1" x14ac:dyDescent="0.25">
      <c r="A70" t="str" cm="1">
        <f t="array" ref="A70">_xlfn.IFS(E70="Adviento","ta", E70="Navidad","tn", E70="Epifania","te", E70="Ordinario","to", E70="Cuaresma","tc", E70="Domingo De Ramos","tc", E70="Semana Santa","ss", E70="Triduo Pascual","tp", E70="Vigilia Pascual","tp", E70="Pascual","tp")</f>
        <v>ta</v>
      </c>
      <c r="B70" s="14" t="str">
        <f t="shared" si="0"/>
        <v>/* FEBRERO        */</v>
      </c>
      <c r="C70" s="15">
        <f t="shared" si="4"/>
        <v>45710</v>
      </c>
      <c r="D70" s="9">
        <f t="shared" si="5"/>
        <v>45710</v>
      </c>
      <c r="E70" t="s">
        <v>46</v>
      </c>
      <c r="F70" t="s">
        <v>43</v>
      </c>
      <c r="G70">
        <v>1</v>
      </c>
      <c r="I70" s="11">
        <f t="shared" si="1"/>
        <v>45710</v>
      </c>
      <c r="J70" t="s">
        <v>44</v>
      </c>
      <c r="K70" t="str">
        <f t="shared" si="2"/>
        <v>/* FEBRERO        */ { nombre: "Adviento, Semana I, SÁBADO", archivo: "/ev/ta/1/sábado.mp3", fecha: `${year}-02-22` },</v>
      </c>
      <c r="L70" s="10">
        <f t="shared" si="6"/>
        <v>45710</v>
      </c>
    </row>
    <row r="71" spans="1:12" hidden="1" x14ac:dyDescent="0.25">
      <c r="A71" t="str" cm="1">
        <f t="array" ref="A71">_xlfn.IFS(E71="Adviento","ta", E71="Navidad","tn", E71="Epifania","te", E71="Ordinario","to", E71="Cuaresma","tc", E71="Domingo De Ramos","tc", E71="Semana Santa","ss", E71="Triduo Pascual","tp", E71="Vigilia Pascual","tp", E71="Pascual","tp")</f>
        <v>ta</v>
      </c>
      <c r="B71" s="14" t="str">
        <f t="shared" si="0"/>
        <v>/* FEBRERO        */</v>
      </c>
      <c r="C71" s="15">
        <f t="shared" si="4"/>
        <v>45711</v>
      </c>
      <c r="D71" s="9">
        <f t="shared" si="5"/>
        <v>45711</v>
      </c>
      <c r="E71" t="s">
        <v>46</v>
      </c>
      <c r="F71" t="s">
        <v>43</v>
      </c>
      <c r="G71">
        <v>1</v>
      </c>
      <c r="I71" s="11">
        <f t="shared" si="1"/>
        <v>45711</v>
      </c>
      <c r="J71" t="s">
        <v>44</v>
      </c>
      <c r="K71" t="str">
        <f t="shared" si="2"/>
        <v>/* FEBRERO        */ { nombre: "Adviento, Semana I, DOMINGO", archivo: "/ev/ta/1/domingo.mp3", fecha: `${year}-02-23` },</v>
      </c>
      <c r="L71" s="10">
        <f t="shared" si="6"/>
        <v>45711</v>
      </c>
    </row>
    <row r="72" spans="1:12" hidden="1" x14ac:dyDescent="0.25">
      <c r="A72" t="str" cm="1">
        <f t="array" ref="A72">_xlfn.IFS(E72="Adviento","ta", E72="Navidad","tn", E72="Epifania","te", E72="Ordinario","to", E72="Cuaresma","tc", E72="Domingo De Ramos","tc", E72="Semana Santa","ss", E72="Triduo Pascual","tp", E72="Vigilia Pascual","tp", E72="Pascual","tp")</f>
        <v>ta</v>
      </c>
      <c r="B72" s="14" t="str">
        <f t="shared" si="0"/>
        <v>/* FEBRERO        */</v>
      </c>
      <c r="C72" s="15">
        <f t="shared" si="4"/>
        <v>45712</v>
      </c>
      <c r="D72" s="9">
        <f t="shared" si="5"/>
        <v>45712</v>
      </c>
      <c r="E72" t="s">
        <v>46</v>
      </c>
      <c r="F72" t="s">
        <v>43</v>
      </c>
      <c r="G72">
        <v>1</v>
      </c>
      <c r="I72" s="11">
        <f t="shared" si="1"/>
        <v>45712</v>
      </c>
      <c r="J72" t="s">
        <v>44</v>
      </c>
      <c r="K72" t="str">
        <f t="shared" si="2"/>
        <v>/* FEBRERO        */ { nombre: "Adviento, Semana I, LUNES", archivo: "/ev/ta/1/lunes.mp3", fecha: `${year}-02-24` },</v>
      </c>
      <c r="L72" s="10">
        <f t="shared" si="6"/>
        <v>45712</v>
      </c>
    </row>
    <row r="73" spans="1:12" hidden="1" x14ac:dyDescent="0.25">
      <c r="A73" t="str" cm="1">
        <f t="array" ref="A73">_xlfn.IFS(E73="Adviento","ta", E73="Navidad","tn", E73="Epifania","te", E73="Ordinario","to", E73="Cuaresma","tc", E73="Domingo De Ramos","tc", E73="Semana Santa","ss", E73="Triduo Pascual","tp", E73="Vigilia Pascual","tp", E73="Pascual","tp")</f>
        <v>ta</v>
      </c>
      <c r="B73" s="14" t="str">
        <f t="shared" si="0"/>
        <v>/* FEBRERO        */</v>
      </c>
      <c r="C73" s="15">
        <f t="shared" si="4"/>
        <v>45713</v>
      </c>
      <c r="D73" s="9">
        <f t="shared" si="5"/>
        <v>45713</v>
      </c>
      <c r="E73" t="s">
        <v>46</v>
      </c>
      <c r="F73" t="s">
        <v>43</v>
      </c>
      <c r="G73">
        <v>1</v>
      </c>
      <c r="I73" s="11">
        <f t="shared" si="1"/>
        <v>45713</v>
      </c>
      <c r="J73" t="s">
        <v>44</v>
      </c>
      <c r="K73" t="str">
        <f t="shared" si="2"/>
        <v>/* FEBRERO        */ { nombre: "Adviento, Semana I, MARTES", archivo: "/ev/ta/1/martes.mp3", fecha: `${year}-02-25` },</v>
      </c>
      <c r="L73" s="10">
        <f t="shared" si="6"/>
        <v>45713</v>
      </c>
    </row>
    <row r="74" spans="1:12" hidden="1" x14ac:dyDescent="0.25">
      <c r="A74" t="str" cm="1">
        <f t="array" ref="A74">_xlfn.IFS(E74="Adviento","ta", E74="Navidad","tn", E74="Epifania","te", E74="Ordinario","to", E74="Cuaresma","tc", E74="Domingo De Ramos","tc", E74="Semana Santa","ss", E74="Triduo Pascual","tp", E74="Vigilia Pascual","tp", E74="Pascual","tp")</f>
        <v>ta</v>
      </c>
      <c r="B74" s="14" t="str">
        <f t="shared" si="0"/>
        <v>/* FEBRERO        */</v>
      </c>
      <c r="C74" s="15">
        <f t="shared" si="4"/>
        <v>45714</v>
      </c>
      <c r="D74" s="9">
        <f t="shared" si="5"/>
        <v>45714</v>
      </c>
      <c r="E74" t="s">
        <v>46</v>
      </c>
      <c r="F74" t="s">
        <v>43</v>
      </c>
      <c r="G74">
        <v>1</v>
      </c>
      <c r="I74" s="11">
        <f t="shared" si="1"/>
        <v>45714</v>
      </c>
      <c r="J74" t="s">
        <v>44</v>
      </c>
      <c r="K74" t="str">
        <f t="shared" si="2"/>
        <v>/* FEBRERO        */ { nombre: "Adviento, Semana I, MIÉRCOLES", archivo: "/ev/ta/1/miércoles.mp3", fecha: `${year}-02-26` },</v>
      </c>
      <c r="L74" s="10">
        <f t="shared" si="6"/>
        <v>45714</v>
      </c>
    </row>
    <row r="75" spans="1:12" hidden="1" x14ac:dyDescent="0.25">
      <c r="A75" t="str" cm="1">
        <f t="array" ref="A75">_xlfn.IFS(E75="Adviento","ta", E75="Navidad","tn", E75="Epifania","te", E75="Ordinario","to", E75="Cuaresma","tc", E75="Domingo De Ramos","tc", E75="Semana Santa","ss", E75="Triduo Pascual","tp", E75="Vigilia Pascual","tp", E75="Pascual","tp")</f>
        <v>ta</v>
      </c>
      <c r="B75" s="14" t="str">
        <f t="shared" si="0"/>
        <v>/* FEBRERO        */</v>
      </c>
      <c r="C75" s="15">
        <f t="shared" si="4"/>
        <v>45715</v>
      </c>
      <c r="D75" s="9">
        <f t="shared" si="5"/>
        <v>45715</v>
      </c>
      <c r="E75" t="s">
        <v>46</v>
      </c>
      <c r="F75" t="s">
        <v>43</v>
      </c>
      <c r="G75">
        <v>1</v>
      </c>
      <c r="I75" s="11">
        <f t="shared" si="1"/>
        <v>45715</v>
      </c>
      <c r="J75" t="s">
        <v>44</v>
      </c>
      <c r="K75" t="str">
        <f t="shared" si="2"/>
        <v>/* FEBRERO        */ { nombre: "Adviento, Semana I, JUEVES", archivo: "/ev/ta/1/jueves.mp3", fecha: `${year}-02-27` },</v>
      </c>
      <c r="L75" s="10">
        <f t="shared" si="6"/>
        <v>45715</v>
      </c>
    </row>
    <row r="76" spans="1:12" hidden="1" x14ac:dyDescent="0.25">
      <c r="A76" t="str" cm="1">
        <f t="array" ref="A76">_xlfn.IFS(E76="Adviento","ta", E76="Navidad","tn", E76="Epifania","te", E76="Ordinario","to", E76="Cuaresma","tc", E76="Domingo De Ramos","tc", E76="Semana Santa","ss", E76="Triduo Pascual","tp", E76="Vigilia Pascual","tp", E76="Pascual","tp")</f>
        <v>ta</v>
      </c>
      <c r="B76" s="14" t="str">
        <f t="shared" si="0"/>
        <v>/* FEBRERO        */</v>
      </c>
      <c r="C76" s="15">
        <f t="shared" si="4"/>
        <v>45716</v>
      </c>
      <c r="D76" s="9">
        <f t="shared" si="5"/>
        <v>45716</v>
      </c>
      <c r="E76" t="s">
        <v>46</v>
      </c>
      <c r="F76" t="s">
        <v>43</v>
      </c>
      <c r="G76">
        <v>1</v>
      </c>
      <c r="I76" s="11">
        <f t="shared" si="1"/>
        <v>45716</v>
      </c>
      <c r="J76" t="s">
        <v>44</v>
      </c>
      <c r="K76" t="str">
        <f t="shared" si="2"/>
        <v>/* FEBRERO        */ { nombre: "Adviento, Semana I, VIERNES", archivo: "/ev/ta/1/viernes.mp3", fecha: `${year}-02-28` },</v>
      </c>
      <c r="L76" s="10">
        <f t="shared" si="6"/>
        <v>45716</v>
      </c>
    </row>
    <row r="77" spans="1:12" hidden="1" x14ac:dyDescent="0.25">
      <c r="A77" t="str" cm="1">
        <f t="array" ref="A77">_xlfn.IFS(E77="Adviento","ta", E77="Navidad","tn", E77="Epifania","te", E77="Ordinario","to", E77="Cuaresma","tc", E77="Domingo De Ramos","tc", E77="Semana Santa","ss", E77="Triduo Pascual","tp", E77="Vigilia Pascual","tp", E77="Pascual","tp")</f>
        <v>ta</v>
      </c>
      <c r="B77" s="14" t="str">
        <f t="shared" si="0"/>
        <v>/* MARZO        */</v>
      </c>
      <c r="C77" s="15">
        <f t="shared" si="4"/>
        <v>45717</v>
      </c>
      <c r="D77" s="9">
        <f t="shared" si="5"/>
        <v>45717</v>
      </c>
      <c r="E77" t="s">
        <v>46</v>
      </c>
      <c r="F77" t="s">
        <v>43</v>
      </c>
      <c r="G77">
        <v>1</v>
      </c>
      <c r="I77" s="11">
        <f t="shared" si="1"/>
        <v>45717</v>
      </c>
      <c r="J77" t="s">
        <v>44</v>
      </c>
      <c r="K77" t="str">
        <f t="shared" si="2"/>
        <v>/* MARZO        */ { nombre: "Adviento, Semana I, SÁBADO", archivo: "/ev/ta/1/sábado.mp3", fecha: `${year}-03-01` },</v>
      </c>
      <c r="L77" s="10">
        <f t="shared" si="6"/>
        <v>45717</v>
      </c>
    </row>
    <row r="78" spans="1:12" hidden="1" x14ac:dyDescent="0.25">
      <c r="A78" t="str" cm="1">
        <f t="array" ref="A78">_xlfn.IFS(E78="Adviento","ta", E78="Navidad","tn", E78="Epifania","te", E78="Ordinario","to", E78="Cuaresma","tc", E78="Domingo De Ramos","tc", E78="Semana Santa","ss", E78="Triduo Pascual","tp", E78="Vigilia Pascual","tp", E78="Pascual","tp")</f>
        <v>ta</v>
      </c>
      <c r="B78" s="14" t="str">
        <f t="shared" si="0"/>
        <v>/* MARZO        */</v>
      </c>
      <c r="C78" s="15">
        <f t="shared" si="4"/>
        <v>45718</v>
      </c>
      <c r="D78" s="9">
        <f t="shared" si="5"/>
        <v>45718</v>
      </c>
      <c r="E78" t="s">
        <v>46</v>
      </c>
      <c r="F78" t="s">
        <v>43</v>
      </c>
      <c r="G78">
        <v>1</v>
      </c>
      <c r="I78" s="11">
        <f t="shared" si="1"/>
        <v>45718</v>
      </c>
      <c r="J78" t="s">
        <v>44</v>
      </c>
      <c r="K78" t="str">
        <f t="shared" si="2"/>
        <v>/* MARZO        */ { nombre: "Adviento, Semana I, DOMINGO", archivo: "/ev/ta/1/domingo.mp3", fecha: `${year}-03-02` },</v>
      </c>
      <c r="L78" s="10">
        <f t="shared" si="6"/>
        <v>45718</v>
      </c>
    </row>
    <row r="79" spans="1:12" hidden="1" x14ac:dyDescent="0.25">
      <c r="A79" t="str" cm="1">
        <f t="array" ref="A79">_xlfn.IFS(E79="Adviento","ta", E79="Navidad","tn", E79="Epifania","te", E79="Ordinario","to", E79="Cuaresma","tc", E79="Domingo De Ramos","tc", E79="Semana Santa","ss", E79="Triduo Pascual","tp", E79="Vigilia Pascual","tp", E79="Pascual","tp")</f>
        <v>ta</v>
      </c>
      <c r="B79" s="14" t="str">
        <f t="shared" si="0"/>
        <v>/* MARZO        */</v>
      </c>
      <c r="C79" s="15">
        <f t="shared" si="4"/>
        <v>45719</v>
      </c>
      <c r="D79" s="9">
        <f t="shared" si="5"/>
        <v>45719</v>
      </c>
      <c r="E79" t="s">
        <v>46</v>
      </c>
      <c r="F79" t="s">
        <v>43</v>
      </c>
      <c r="G79">
        <v>1</v>
      </c>
      <c r="I79" s="11">
        <f t="shared" si="1"/>
        <v>45719</v>
      </c>
      <c r="J79" t="s">
        <v>44</v>
      </c>
      <c r="K79" t="str">
        <f t="shared" si="2"/>
        <v>/* MARZO        */ { nombre: "Adviento, Semana I, LUNES", archivo: "/ev/ta/1/lunes.mp3", fecha: `${year}-03-03` },</v>
      </c>
      <c r="L79" s="10">
        <f t="shared" si="6"/>
        <v>45719</v>
      </c>
    </row>
    <row r="80" spans="1:12" hidden="1" x14ac:dyDescent="0.25">
      <c r="A80" t="str" cm="1">
        <f t="array" ref="A80">_xlfn.IFS(E80="Adviento","ta", E80="Navidad","tn", E80="Epifania","te", E80="Ordinario","to", E80="Cuaresma","tc", E80="Domingo De Ramos","tc", E80="Semana Santa","ss", E80="Triduo Pascual","tp", E80="Vigilia Pascual","tp", E80="Pascual","tp")</f>
        <v>ta</v>
      </c>
      <c r="B80" s="14" t="str">
        <f t="shared" si="0"/>
        <v>/* MARZO        */</v>
      </c>
      <c r="C80" s="15">
        <f t="shared" si="4"/>
        <v>45720</v>
      </c>
      <c r="D80" s="9">
        <f t="shared" si="5"/>
        <v>45720</v>
      </c>
      <c r="E80" t="s">
        <v>46</v>
      </c>
      <c r="F80" t="s">
        <v>43</v>
      </c>
      <c r="G80">
        <v>1</v>
      </c>
      <c r="I80" s="11">
        <f t="shared" si="1"/>
        <v>45720</v>
      </c>
      <c r="J80" t="s">
        <v>44</v>
      </c>
      <c r="K80" t="str">
        <f t="shared" si="2"/>
        <v>/* MARZO        */ { nombre: "Adviento, Semana I, MARTES", archivo: "/ev/ta/1/martes.mp3", fecha: `${year}-03-04` },</v>
      </c>
      <c r="L80" s="10">
        <f t="shared" si="6"/>
        <v>45720</v>
      </c>
    </row>
    <row r="81" spans="1:12" hidden="1" x14ac:dyDescent="0.25">
      <c r="A81" t="str" cm="1">
        <f t="array" ref="A81">_xlfn.IFS(E81="Adviento","ta", E81="Navidad","tn", E81="Epifania","te", E81="Ordinario","to", E81="Cuaresma","tc", E81="Domingo De Ramos","tc", E81="Semana Santa","ss", E81="Triduo Pascual","tp", E81="Vigilia Pascual","tp", E81="Pascual","tp")</f>
        <v>ta</v>
      </c>
      <c r="B81" s="14" t="str">
        <f t="shared" si="0"/>
        <v>/* MARZO        */</v>
      </c>
      <c r="C81" s="15">
        <f t="shared" si="4"/>
        <v>45721</v>
      </c>
      <c r="D81" s="9">
        <f t="shared" si="5"/>
        <v>45721</v>
      </c>
      <c r="E81" t="s">
        <v>46</v>
      </c>
      <c r="F81" t="s">
        <v>43</v>
      </c>
      <c r="G81">
        <v>1</v>
      </c>
      <c r="I81" s="11">
        <f t="shared" si="1"/>
        <v>45721</v>
      </c>
      <c r="J81" t="s">
        <v>44</v>
      </c>
      <c r="K81" t="str">
        <f t="shared" si="2"/>
        <v>/* MARZO        */ { nombre: "Adviento, Semana I, MIÉRCOLES", archivo: "/ev/ta/1/miércoles.mp3", fecha: `${year}-03-05` },</v>
      </c>
      <c r="L81" s="10">
        <f t="shared" si="6"/>
        <v>45721</v>
      </c>
    </row>
    <row r="82" spans="1:12" hidden="1" x14ac:dyDescent="0.25">
      <c r="A82" t="str" cm="1">
        <f t="array" ref="A82">_xlfn.IFS(E82="Adviento","ta", E82="Navidad","tn", E82="Epifania","te", E82="Ordinario","to", E82="Cuaresma","tc", E82="Domingo De Ramos","tc", E82="Semana Santa","ss", E82="Triduo Pascual","tp", E82="Vigilia Pascual","tp", E82="Pascual","tp")</f>
        <v>ta</v>
      </c>
      <c r="B82" s="14" t="str">
        <f t="shared" si="0"/>
        <v>/* MARZO        */</v>
      </c>
      <c r="C82" s="15">
        <f t="shared" si="4"/>
        <v>45722</v>
      </c>
      <c r="D82" s="9">
        <f t="shared" si="5"/>
        <v>45722</v>
      </c>
      <c r="E82" t="s">
        <v>46</v>
      </c>
      <c r="F82" t="s">
        <v>43</v>
      </c>
      <c r="G82">
        <v>1</v>
      </c>
      <c r="I82" s="11">
        <f t="shared" si="1"/>
        <v>45722</v>
      </c>
      <c r="J82" t="s">
        <v>44</v>
      </c>
      <c r="K82" t="str">
        <f t="shared" si="2"/>
        <v>/* MARZO        */ { nombre: "Adviento, Semana I, JUEVES", archivo: "/ev/ta/1/jueves.mp3", fecha: `${year}-03-06` },</v>
      </c>
      <c r="L82" s="10">
        <f t="shared" si="6"/>
        <v>45722</v>
      </c>
    </row>
    <row r="83" spans="1:12" hidden="1" x14ac:dyDescent="0.25">
      <c r="A83" t="str" cm="1">
        <f t="array" ref="A83">_xlfn.IFS(E83="Adviento","ta", E83="Navidad","tn", E83="Epifania","te", E83="Ordinario","to", E83="Cuaresma","tc", E83="Domingo De Ramos","tc", E83="Semana Santa","ss", E83="Triduo Pascual","tp", E83="Vigilia Pascual","tp", E83="Pascual","tp")</f>
        <v>ta</v>
      </c>
      <c r="B83" s="14" t="str">
        <f t="shared" ref="B83:B149" si="7">_xlfn.CONCAT("/* ",UPPER(TEXT(D83,"[$-es-ES]mmmm")),"        */")</f>
        <v>/* MARZO        */</v>
      </c>
      <c r="C83" s="15">
        <f t="shared" si="4"/>
        <v>45723</v>
      </c>
      <c r="D83" s="9">
        <f t="shared" si="5"/>
        <v>45723</v>
      </c>
      <c r="E83" t="s">
        <v>46</v>
      </c>
      <c r="F83" t="s">
        <v>43</v>
      </c>
      <c r="G83">
        <v>1</v>
      </c>
      <c r="I83" s="11">
        <f t="shared" ref="I83:I84" si="8">D83</f>
        <v>45723</v>
      </c>
      <c r="J83" t="s">
        <v>44</v>
      </c>
      <c r="K83" t="str">
        <f t="shared" ref="K83:K84" si="9">_xlfn.CONCAT(B83, " ", "{ nombre: ", CHAR(34), E83, ", ", F83, " ", ROMAN(G83),H83, ", ", UPPER(TEXT(D83, "[$-es-ES]dddd")), CHAR(34), ", archivo: ", CHAR(34), "/ev/", _xlfn.IFS(E83="Adviento","ta", E83="Navidad","tn", E83="Epifania","te", E83="Ordinario","to", E83="Cuaresma","tc", E83="Domingo De Ramos","tc", E83="Semana Santa","ss", E83="Triduo Pascual","tp", E83="Vigilia Pascual","tp", E83="Pascual","tp"), "/", G83, "/", TEXT(D83, "[$-es-ES]dddd"), ".mp3", CHAR(34), ", fecha: `${year}-", TEXT(D83, "mm-dd"), "` },")</f>
        <v>/* MARZO        */ { nombre: "Adviento, Semana I, VIERNES", archivo: "/ev/ta/1/viernes.mp3", fecha: `${year}-03-07` },</v>
      </c>
      <c r="L83" s="10">
        <f t="shared" si="6"/>
        <v>45723</v>
      </c>
    </row>
    <row r="84" spans="1:12" hidden="1" x14ac:dyDescent="0.25">
      <c r="A84" t="str" cm="1">
        <f t="array" ref="A84">_xlfn.IFS(E84="Adviento","ta", E84="Navidad","tn", E84="Epifania","te", E84="Ordinario","to", E84="Cuaresma","tc", E84="Domingo De Ramos","tc", E84="Semana Santa","ss", E84="Triduo Pascual","tp", E84="Vigilia Pascual","tp", E84="Pascual","tp")</f>
        <v>ta</v>
      </c>
      <c r="B84" s="14" t="str">
        <f t="shared" si="7"/>
        <v>/* MARZO        */</v>
      </c>
      <c r="C84" s="15">
        <f t="shared" si="4"/>
        <v>45724</v>
      </c>
      <c r="D84" s="9">
        <f t="shared" si="5"/>
        <v>45724</v>
      </c>
      <c r="E84" t="s">
        <v>46</v>
      </c>
      <c r="F84" t="s">
        <v>43</v>
      </c>
      <c r="G84">
        <v>1</v>
      </c>
      <c r="I84" s="11">
        <f t="shared" si="8"/>
        <v>45724</v>
      </c>
      <c r="J84" t="s">
        <v>44</v>
      </c>
      <c r="K84" t="str">
        <f t="shared" si="9"/>
        <v>/* MARZO        */ { nombre: "Adviento, Semana I, SÁBADO", archivo: "/ev/ta/1/sábado.mp3", fecha: `${year}-03-08` },</v>
      </c>
      <c r="L84" s="10">
        <f t="shared" si="6"/>
        <v>45724</v>
      </c>
    </row>
    <row r="85" spans="1:12" hidden="1" x14ac:dyDescent="0.25">
      <c r="A85" t="str" cm="1">
        <f t="array" ref="A85">_xlfn.IFS(E85="Adviento","ta", E85="Navidad","tn", E85="Epifania","te", E85="Ordinario","to", E85="Cuaresma","tc", E85="Domingo De Ramos","tc", E85="Semana Santa","ss", E85="Triduo Pascual","tp", E85="Vigilia Pascual","tp", E85="Pascual","tp")</f>
        <v>ta</v>
      </c>
      <c r="B85" s="14" t="str">
        <f t="shared" si="7"/>
        <v>/* MARZO        */</v>
      </c>
      <c r="C85" s="15">
        <f t="shared" ref="C85:C148" si="10">+C84+1</f>
        <v>45725</v>
      </c>
      <c r="D85" s="9">
        <f t="shared" ref="D85:D148" si="11">+D84+1</f>
        <v>45725</v>
      </c>
      <c r="E85" t="s">
        <v>46</v>
      </c>
      <c r="F85" t="s">
        <v>43</v>
      </c>
      <c r="G85">
        <v>1</v>
      </c>
      <c r="I85" s="11">
        <f t="shared" ref="I85:I148" si="12">D85</f>
        <v>45725</v>
      </c>
      <c r="J85" t="s">
        <v>44</v>
      </c>
      <c r="K85" t="str">
        <f t="shared" ref="K85:K148" si="13">_xlfn.CONCAT(B85, " ", "{ nombre: ", CHAR(34), E85, ", ", F85, " ", ROMAN(G85),H85, ", ", UPPER(TEXT(D85, "[$-es-ES]dddd")), CHAR(34), ", archivo: ", CHAR(34), "/ev/", _xlfn.IFS(E85="Adviento","ta", E85="Navidad","tn", E85="Epifania","te", E85="Ordinario","to", E85="Cuaresma","tc", E85="Domingo De Ramos","tc", E85="Semana Santa","ss", E85="Triduo Pascual","tp", E85="Vigilia Pascual","tp", E85="Pascual","tp"), "/", G85, "/", TEXT(D85, "[$-es-ES]dddd"), ".mp3", CHAR(34), ", fecha: `${year}-", TEXT(D85, "mm-dd"), "` },")</f>
        <v>/* MARZO        */ { nombre: "Adviento, Semana I, DOMINGO", archivo: "/ev/ta/1/domingo.mp3", fecha: `${year}-03-09` },</v>
      </c>
      <c r="L85" s="10">
        <f t="shared" ref="L85:L148" si="14">D85</f>
        <v>45725</v>
      </c>
    </row>
    <row r="86" spans="1:12" hidden="1" x14ac:dyDescent="0.25">
      <c r="A86" t="str" cm="1">
        <f t="array" ref="A86">_xlfn.IFS(E86="Adviento","ta", E86="Navidad","tn", E86="Epifania","te", E86="Ordinario","to", E86="Cuaresma","tc", E86="Domingo De Ramos","tc", E86="Semana Santa","ss", E86="Triduo Pascual","tp", E86="Vigilia Pascual","tp", E86="Pascual","tp")</f>
        <v>ta</v>
      </c>
      <c r="B86" s="14" t="str">
        <f t="shared" si="7"/>
        <v>/* MARZO        */</v>
      </c>
      <c r="C86" s="15">
        <f t="shared" si="10"/>
        <v>45726</v>
      </c>
      <c r="D86" s="9">
        <f t="shared" si="11"/>
        <v>45726</v>
      </c>
      <c r="E86" t="s">
        <v>46</v>
      </c>
      <c r="F86" t="s">
        <v>43</v>
      </c>
      <c r="G86">
        <v>1</v>
      </c>
      <c r="I86" s="11">
        <f t="shared" si="12"/>
        <v>45726</v>
      </c>
      <c r="J86" t="s">
        <v>44</v>
      </c>
      <c r="K86" t="str">
        <f t="shared" si="13"/>
        <v>/* MARZO        */ { nombre: "Adviento, Semana I, LUNES", archivo: "/ev/ta/1/lunes.mp3", fecha: `${year}-03-10` },</v>
      </c>
      <c r="L86" s="10">
        <f t="shared" si="14"/>
        <v>45726</v>
      </c>
    </row>
    <row r="87" spans="1:12" hidden="1" x14ac:dyDescent="0.25">
      <c r="A87" t="str" cm="1">
        <f t="array" ref="A87">_xlfn.IFS(E87="Adviento","ta", E87="Navidad","tn", E87="Epifania","te", E87="Ordinario","to", E87="Cuaresma","tc", E87="Domingo De Ramos","tc", E87="Semana Santa","ss", E87="Triduo Pascual","tp", E87="Vigilia Pascual","tp", E87="Pascual","tp")</f>
        <v>ta</v>
      </c>
      <c r="B87" s="14" t="str">
        <f t="shared" si="7"/>
        <v>/* MARZO        */</v>
      </c>
      <c r="C87" s="15">
        <f t="shared" si="10"/>
        <v>45727</v>
      </c>
      <c r="D87" s="9">
        <f t="shared" si="11"/>
        <v>45727</v>
      </c>
      <c r="E87" t="s">
        <v>46</v>
      </c>
      <c r="F87" t="s">
        <v>43</v>
      </c>
      <c r="G87">
        <v>1</v>
      </c>
      <c r="I87" s="11">
        <f t="shared" si="12"/>
        <v>45727</v>
      </c>
      <c r="J87" t="s">
        <v>44</v>
      </c>
      <c r="K87" t="str">
        <f t="shared" si="13"/>
        <v>/* MARZO        */ { nombre: "Adviento, Semana I, MARTES", archivo: "/ev/ta/1/martes.mp3", fecha: `${year}-03-11` },</v>
      </c>
      <c r="L87" s="10">
        <f t="shared" si="14"/>
        <v>45727</v>
      </c>
    </row>
    <row r="88" spans="1:12" hidden="1" x14ac:dyDescent="0.25">
      <c r="A88" t="str" cm="1">
        <f t="array" ref="A88">_xlfn.IFS(E88="Adviento","ta", E88="Navidad","tn", E88="Epifania","te", E88="Ordinario","to", E88="Cuaresma","tc", E88="Domingo De Ramos","tc", E88="Semana Santa","ss", E88="Triduo Pascual","tp", E88="Vigilia Pascual","tp", E88="Pascual","tp")</f>
        <v>ta</v>
      </c>
      <c r="B88" s="14" t="str">
        <f t="shared" si="7"/>
        <v>/* MARZO        */</v>
      </c>
      <c r="C88" s="15">
        <f t="shared" si="10"/>
        <v>45728</v>
      </c>
      <c r="D88" s="9">
        <f t="shared" si="11"/>
        <v>45728</v>
      </c>
      <c r="E88" t="s">
        <v>46</v>
      </c>
      <c r="F88" t="s">
        <v>43</v>
      </c>
      <c r="G88">
        <v>1</v>
      </c>
      <c r="I88" s="11">
        <f t="shared" si="12"/>
        <v>45728</v>
      </c>
      <c r="J88" t="s">
        <v>44</v>
      </c>
      <c r="K88" t="str">
        <f t="shared" si="13"/>
        <v>/* MARZO        */ { nombre: "Adviento, Semana I, MIÉRCOLES", archivo: "/ev/ta/1/miércoles.mp3", fecha: `${year}-03-12` },</v>
      </c>
      <c r="L88" s="10">
        <f t="shared" si="14"/>
        <v>45728</v>
      </c>
    </row>
    <row r="89" spans="1:12" hidden="1" x14ac:dyDescent="0.25">
      <c r="A89" t="str" cm="1">
        <f t="array" ref="A89">_xlfn.IFS(E89="Adviento","ta", E89="Navidad","tn", E89="Epifania","te", E89="Ordinario","to", E89="Cuaresma","tc", E89="Domingo De Ramos","tc", E89="Semana Santa","ss", E89="Triduo Pascual","tp", E89="Vigilia Pascual","tp", E89="Pascual","tp")</f>
        <v>ta</v>
      </c>
      <c r="B89" s="14" t="str">
        <f t="shared" si="7"/>
        <v>/* MARZO        */</v>
      </c>
      <c r="C89" s="15">
        <f t="shared" si="10"/>
        <v>45729</v>
      </c>
      <c r="D89" s="9">
        <f t="shared" si="11"/>
        <v>45729</v>
      </c>
      <c r="E89" t="s">
        <v>46</v>
      </c>
      <c r="F89" t="s">
        <v>43</v>
      </c>
      <c r="G89">
        <v>1</v>
      </c>
      <c r="I89" s="11">
        <f t="shared" si="12"/>
        <v>45729</v>
      </c>
      <c r="J89" t="s">
        <v>44</v>
      </c>
      <c r="K89" t="str">
        <f t="shared" si="13"/>
        <v>/* MARZO        */ { nombre: "Adviento, Semana I, JUEVES", archivo: "/ev/ta/1/jueves.mp3", fecha: `${year}-03-13` },</v>
      </c>
      <c r="L89" s="10">
        <f t="shared" si="14"/>
        <v>45729</v>
      </c>
    </row>
    <row r="90" spans="1:12" hidden="1" x14ac:dyDescent="0.25">
      <c r="A90" t="str" cm="1">
        <f t="array" ref="A90">_xlfn.IFS(E90="Adviento","ta", E90="Navidad","tn", E90="Epifania","te", E90="Ordinario","to", E90="Cuaresma","tc", E90="Domingo De Ramos","tc", E90="Semana Santa","ss", E90="Triduo Pascual","tp", E90="Vigilia Pascual","tp", E90="Pascual","tp")</f>
        <v>ta</v>
      </c>
      <c r="B90" s="14" t="str">
        <f t="shared" si="7"/>
        <v>/* MARZO        */</v>
      </c>
      <c r="C90" s="15">
        <f t="shared" si="10"/>
        <v>45730</v>
      </c>
      <c r="D90" s="9">
        <f t="shared" si="11"/>
        <v>45730</v>
      </c>
      <c r="E90" t="s">
        <v>46</v>
      </c>
      <c r="F90" t="s">
        <v>43</v>
      </c>
      <c r="G90">
        <v>1</v>
      </c>
      <c r="I90" s="11">
        <f t="shared" si="12"/>
        <v>45730</v>
      </c>
      <c r="J90" t="s">
        <v>44</v>
      </c>
      <c r="K90" t="str">
        <f t="shared" si="13"/>
        <v>/* MARZO        */ { nombre: "Adviento, Semana I, VIERNES", archivo: "/ev/ta/1/viernes.mp3", fecha: `${year}-03-14` },</v>
      </c>
      <c r="L90" s="10">
        <f t="shared" si="14"/>
        <v>45730</v>
      </c>
    </row>
    <row r="91" spans="1:12" hidden="1" x14ac:dyDescent="0.25">
      <c r="A91" t="str" cm="1">
        <f t="array" ref="A91">_xlfn.IFS(E91="Adviento","ta", E91="Navidad","tn", E91="Epifania","te", E91="Ordinario","to", E91="Cuaresma","tc", E91="Domingo De Ramos","tc", E91="Semana Santa","ss", E91="Triduo Pascual","tp", E91="Vigilia Pascual","tp", E91="Pascual","tp")</f>
        <v>ta</v>
      </c>
      <c r="B91" s="14" t="str">
        <f t="shared" si="7"/>
        <v>/* MARZO        */</v>
      </c>
      <c r="C91" s="15">
        <f t="shared" si="10"/>
        <v>45731</v>
      </c>
      <c r="D91" s="9">
        <f t="shared" si="11"/>
        <v>45731</v>
      </c>
      <c r="E91" t="s">
        <v>46</v>
      </c>
      <c r="F91" t="s">
        <v>43</v>
      </c>
      <c r="G91">
        <v>1</v>
      </c>
      <c r="I91" s="11">
        <f t="shared" si="12"/>
        <v>45731</v>
      </c>
      <c r="J91" t="s">
        <v>44</v>
      </c>
      <c r="K91" t="str">
        <f t="shared" si="13"/>
        <v>/* MARZO        */ { nombre: "Adviento, Semana I, SÁBADO", archivo: "/ev/ta/1/sábado.mp3", fecha: `${year}-03-15` },</v>
      </c>
      <c r="L91" s="10">
        <f t="shared" si="14"/>
        <v>45731</v>
      </c>
    </row>
    <row r="92" spans="1:12" hidden="1" x14ac:dyDescent="0.25">
      <c r="A92" t="str" cm="1">
        <f t="array" ref="A92">_xlfn.IFS(E92="Adviento","ta", E92="Navidad","tn", E92="Epifania","te", E92="Ordinario","to", E92="Cuaresma","tc", E92="Domingo De Ramos","tc", E92="Semana Santa","ss", E92="Triduo Pascual","tp", E92="Vigilia Pascual","tp", E92="Pascual","tp")</f>
        <v>ta</v>
      </c>
      <c r="B92" s="14" t="str">
        <f t="shared" si="7"/>
        <v>/* MARZO        */</v>
      </c>
      <c r="C92" s="15">
        <f t="shared" si="10"/>
        <v>45732</v>
      </c>
      <c r="D92" s="9">
        <f t="shared" si="11"/>
        <v>45732</v>
      </c>
      <c r="E92" t="s">
        <v>46</v>
      </c>
      <c r="F92" t="s">
        <v>43</v>
      </c>
      <c r="G92">
        <v>1</v>
      </c>
      <c r="I92" s="11">
        <f t="shared" si="12"/>
        <v>45732</v>
      </c>
      <c r="J92" t="s">
        <v>44</v>
      </c>
      <c r="K92" t="str">
        <f t="shared" si="13"/>
        <v>/* MARZO        */ { nombre: "Adviento, Semana I, DOMINGO", archivo: "/ev/ta/1/domingo.mp3", fecha: `${year}-03-16` },</v>
      </c>
      <c r="L92" s="10">
        <f t="shared" si="14"/>
        <v>45732</v>
      </c>
    </row>
    <row r="93" spans="1:12" hidden="1" x14ac:dyDescent="0.25">
      <c r="A93" t="str" cm="1">
        <f t="array" ref="A93">_xlfn.IFS(E93="Adviento","ta", E93="Navidad","tn", E93="Epifania","te", E93="Ordinario","to", E93="Cuaresma","tc", E93="Domingo De Ramos","tc", E93="Semana Santa","ss", E93="Triduo Pascual","tp", E93="Vigilia Pascual","tp", E93="Pascual","tp")</f>
        <v>ta</v>
      </c>
      <c r="B93" s="14" t="str">
        <f t="shared" si="7"/>
        <v>/* MARZO        */</v>
      </c>
      <c r="C93" s="15">
        <f t="shared" si="10"/>
        <v>45733</v>
      </c>
      <c r="D93" s="9">
        <f t="shared" si="11"/>
        <v>45733</v>
      </c>
      <c r="E93" t="s">
        <v>46</v>
      </c>
      <c r="F93" t="s">
        <v>43</v>
      </c>
      <c r="G93">
        <v>1</v>
      </c>
      <c r="I93" s="11">
        <f t="shared" si="12"/>
        <v>45733</v>
      </c>
      <c r="J93" t="s">
        <v>44</v>
      </c>
      <c r="K93" t="str">
        <f t="shared" si="13"/>
        <v>/* MARZO        */ { nombre: "Adviento, Semana I, LUNES", archivo: "/ev/ta/1/lunes.mp3", fecha: `${year}-03-17` },</v>
      </c>
      <c r="L93" s="10">
        <f t="shared" si="14"/>
        <v>45733</v>
      </c>
    </row>
    <row r="94" spans="1:12" hidden="1" x14ac:dyDescent="0.25">
      <c r="A94" t="str" cm="1">
        <f t="array" ref="A94">_xlfn.IFS(E94="Adviento","ta", E94="Navidad","tn", E94="Epifania","te", E94="Ordinario","to", E94="Cuaresma","tc", E94="Domingo De Ramos","tc", E94="Semana Santa","ss", E94="Triduo Pascual","tp", E94="Vigilia Pascual","tp", E94="Pascual","tp")</f>
        <v>ta</v>
      </c>
      <c r="B94" s="14" t="str">
        <f t="shared" si="7"/>
        <v>/* MARZO        */</v>
      </c>
      <c r="C94" s="15">
        <f t="shared" si="10"/>
        <v>45734</v>
      </c>
      <c r="D94" s="9">
        <f t="shared" si="11"/>
        <v>45734</v>
      </c>
      <c r="E94" t="s">
        <v>46</v>
      </c>
      <c r="F94" t="s">
        <v>43</v>
      </c>
      <c r="G94">
        <v>1</v>
      </c>
      <c r="I94" s="11">
        <f t="shared" si="12"/>
        <v>45734</v>
      </c>
      <c r="J94" t="s">
        <v>44</v>
      </c>
      <c r="K94" t="str">
        <f t="shared" si="13"/>
        <v>/* MARZO        */ { nombre: "Adviento, Semana I, MARTES", archivo: "/ev/ta/1/martes.mp3", fecha: `${year}-03-18` },</v>
      </c>
      <c r="L94" s="10">
        <f t="shared" si="14"/>
        <v>45734</v>
      </c>
    </row>
    <row r="95" spans="1:12" hidden="1" x14ac:dyDescent="0.25">
      <c r="A95" t="str" cm="1">
        <f t="array" ref="A95">_xlfn.IFS(E95="Adviento","ta", E95="Navidad","tn", E95="Epifania","te", E95="Ordinario","to", E95="Cuaresma","tc", E95="Domingo De Ramos","tc", E95="Semana Santa","ss", E95="Triduo Pascual","tp", E95="Vigilia Pascual","tp", E95="Pascual","tp")</f>
        <v>ta</v>
      </c>
      <c r="B95" s="14" t="str">
        <f t="shared" si="7"/>
        <v>/* MARZO        */</v>
      </c>
      <c r="C95" s="15">
        <f t="shared" si="10"/>
        <v>45735</v>
      </c>
      <c r="D95" s="9">
        <f t="shared" si="11"/>
        <v>45735</v>
      </c>
      <c r="E95" t="s">
        <v>46</v>
      </c>
      <c r="F95" t="s">
        <v>43</v>
      </c>
      <c r="G95">
        <v>1</v>
      </c>
      <c r="I95" s="11">
        <f t="shared" si="12"/>
        <v>45735</v>
      </c>
      <c r="J95" t="s">
        <v>44</v>
      </c>
      <c r="K95" t="str">
        <f t="shared" si="13"/>
        <v>/* MARZO        */ { nombre: "Adviento, Semana I, MIÉRCOLES", archivo: "/ev/ta/1/miércoles.mp3", fecha: `${year}-03-19` },</v>
      </c>
      <c r="L95" s="10">
        <f t="shared" si="14"/>
        <v>45735</v>
      </c>
    </row>
    <row r="96" spans="1:12" hidden="1" x14ac:dyDescent="0.25">
      <c r="A96" t="str" cm="1">
        <f t="array" ref="A96">_xlfn.IFS(E96="Adviento","ta", E96="Navidad","tn", E96="Epifania","te", E96="Ordinario","to", E96="Cuaresma","tc", E96="Domingo De Ramos","tc", E96="Semana Santa","ss", E96="Triduo Pascual","tp", E96="Vigilia Pascual","tp", E96="Pascual","tp")</f>
        <v>ta</v>
      </c>
      <c r="B96" s="14" t="str">
        <f t="shared" si="7"/>
        <v>/* MARZO        */</v>
      </c>
      <c r="C96" s="15">
        <f t="shared" si="10"/>
        <v>45736</v>
      </c>
      <c r="D96" s="9">
        <f t="shared" si="11"/>
        <v>45736</v>
      </c>
      <c r="E96" t="s">
        <v>46</v>
      </c>
      <c r="F96" t="s">
        <v>43</v>
      </c>
      <c r="G96">
        <v>1</v>
      </c>
      <c r="I96" s="11">
        <f t="shared" si="12"/>
        <v>45736</v>
      </c>
      <c r="J96" t="s">
        <v>44</v>
      </c>
      <c r="K96" t="str">
        <f t="shared" si="13"/>
        <v>/* MARZO        */ { nombre: "Adviento, Semana I, JUEVES", archivo: "/ev/ta/1/jueves.mp3", fecha: `${year}-03-20` },</v>
      </c>
      <c r="L96" s="10">
        <f t="shared" si="14"/>
        <v>45736</v>
      </c>
    </row>
    <row r="97" spans="1:12" hidden="1" x14ac:dyDescent="0.25">
      <c r="A97" t="str" cm="1">
        <f t="array" ref="A97">_xlfn.IFS(E97="Adviento","ta", E97="Navidad","tn", E97="Epifania","te", E97="Ordinario","to", E97="Cuaresma","tc", E97="Domingo De Ramos","tc", E97="Semana Santa","ss", E97="Triduo Pascual","tp", E97="Vigilia Pascual","tp", E97="Pascual","tp")</f>
        <v>ta</v>
      </c>
      <c r="B97" s="14" t="str">
        <f t="shared" si="7"/>
        <v>/* MARZO        */</v>
      </c>
      <c r="C97" s="15">
        <f t="shared" si="10"/>
        <v>45737</v>
      </c>
      <c r="D97" s="9">
        <f t="shared" si="11"/>
        <v>45737</v>
      </c>
      <c r="E97" t="s">
        <v>46</v>
      </c>
      <c r="F97" t="s">
        <v>43</v>
      </c>
      <c r="G97">
        <v>1</v>
      </c>
      <c r="I97" s="11">
        <f t="shared" si="12"/>
        <v>45737</v>
      </c>
      <c r="J97" t="s">
        <v>44</v>
      </c>
      <c r="K97" t="str">
        <f t="shared" si="13"/>
        <v>/* MARZO        */ { nombre: "Adviento, Semana I, VIERNES", archivo: "/ev/ta/1/viernes.mp3", fecha: `${year}-03-21` },</v>
      </c>
      <c r="L97" s="10">
        <f t="shared" si="14"/>
        <v>45737</v>
      </c>
    </row>
    <row r="98" spans="1:12" hidden="1" x14ac:dyDescent="0.25">
      <c r="A98" t="str" cm="1">
        <f t="array" ref="A98">_xlfn.IFS(E98="Adviento","ta", E98="Navidad","tn", E98="Epifania","te", E98="Ordinario","to", E98="Cuaresma","tc", E98="Domingo De Ramos","tc", E98="Semana Santa","ss", E98="Triduo Pascual","tp", E98="Vigilia Pascual","tp", E98="Pascual","tp")</f>
        <v>ta</v>
      </c>
      <c r="B98" s="14" t="str">
        <f t="shared" si="7"/>
        <v>/* MARZO        */</v>
      </c>
      <c r="C98" s="15">
        <f t="shared" si="10"/>
        <v>45738</v>
      </c>
      <c r="D98" s="9">
        <f t="shared" si="11"/>
        <v>45738</v>
      </c>
      <c r="E98" t="s">
        <v>46</v>
      </c>
      <c r="F98" t="s">
        <v>43</v>
      </c>
      <c r="G98">
        <v>1</v>
      </c>
      <c r="I98" s="11">
        <f t="shared" si="12"/>
        <v>45738</v>
      </c>
      <c r="J98" t="s">
        <v>44</v>
      </c>
      <c r="K98" t="str">
        <f t="shared" si="13"/>
        <v>/* MARZO        */ { nombre: "Adviento, Semana I, SÁBADO", archivo: "/ev/ta/1/sábado.mp3", fecha: `${year}-03-22` },</v>
      </c>
      <c r="L98" s="10">
        <f t="shared" si="14"/>
        <v>45738</v>
      </c>
    </row>
    <row r="99" spans="1:12" hidden="1" x14ac:dyDescent="0.25">
      <c r="A99" t="str" cm="1">
        <f t="array" ref="A99">_xlfn.IFS(E99="Adviento","ta", E99="Navidad","tn", E99="Epifania","te", E99="Ordinario","to", E99="Cuaresma","tc", E99="Domingo De Ramos","tc", E99="Semana Santa","ss", E99="Triduo Pascual","tp", E99="Vigilia Pascual","tp", E99="Pascual","tp")</f>
        <v>ta</v>
      </c>
      <c r="B99" s="14" t="str">
        <f t="shared" si="7"/>
        <v>/* MARZO        */</v>
      </c>
      <c r="C99" s="15">
        <f t="shared" si="10"/>
        <v>45739</v>
      </c>
      <c r="D99" s="9">
        <f t="shared" si="11"/>
        <v>45739</v>
      </c>
      <c r="E99" t="s">
        <v>46</v>
      </c>
      <c r="F99" t="s">
        <v>43</v>
      </c>
      <c r="G99">
        <v>1</v>
      </c>
      <c r="I99" s="11">
        <f t="shared" si="12"/>
        <v>45739</v>
      </c>
      <c r="J99" t="s">
        <v>44</v>
      </c>
      <c r="K99" t="str">
        <f t="shared" si="13"/>
        <v>/* MARZO        */ { nombre: "Adviento, Semana I, DOMINGO", archivo: "/ev/ta/1/domingo.mp3", fecha: `${year}-03-23` },</v>
      </c>
      <c r="L99" s="10">
        <f t="shared" si="14"/>
        <v>45739</v>
      </c>
    </row>
    <row r="100" spans="1:12" hidden="1" x14ac:dyDescent="0.25">
      <c r="A100" t="str" cm="1">
        <f t="array" ref="A100">_xlfn.IFS(E100="Adviento","ta", E100="Navidad","tn", E100="Epifania","te", E100="Ordinario","to", E100="Cuaresma","tc", E100="Domingo De Ramos","tc", E100="Semana Santa","ss", E100="Triduo Pascual","tp", E100="Vigilia Pascual","tp", E100="Pascual","tp")</f>
        <v>ta</v>
      </c>
      <c r="B100" s="14" t="str">
        <f t="shared" si="7"/>
        <v>/* MARZO        */</v>
      </c>
      <c r="C100" s="15">
        <f t="shared" si="10"/>
        <v>45740</v>
      </c>
      <c r="D100" s="9">
        <f t="shared" si="11"/>
        <v>45740</v>
      </c>
      <c r="E100" t="s">
        <v>46</v>
      </c>
      <c r="F100" t="s">
        <v>43</v>
      </c>
      <c r="G100">
        <v>1</v>
      </c>
      <c r="I100" s="11">
        <f t="shared" si="12"/>
        <v>45740</v>
      </c>
      <c r="J100" t="s">
        <v>44</v>
      </c>
      <c r="K100" t="str">
        <f t="shared" si="13"/>
        <v>/* MARZO        */ { nombre: "Adviento, Semana I, LUNES", archivo: "/ev/ta/1/lunes.mp3", fecha: `${year}-03-24` },</v>
      </c>
      <c r="L100" s="10">
        <f t="shared" si="14"/>
        <v>45740</v>
      </c>
    </row>
    <row r="101" spans="1:12" hidden="1" x14ac:dyDescent="0.25">
      <c r="A101" t="str" cm="1">
        <f t="array" ref="A101">_xlfn.IFS(E101="Adviento","ta", E101="Navidad","tn", E101="Epifania","te", E101="Ordinario","to", E101="Cuaresma","tc", E101="Domingo De Ramos","tc", E101="Semana Santa","ss", E101="Triduo Pascual","tp", E101="Vigilia Pascual","tp", E101="Pascual","tp")</f>
        <v>ta</v>
      </c>
      <c r="B101" s="14" t="str">
        <f t="shared" si="7"/>
        <v>/* MARZO        */</v>
      </c>
      <c r="C101" s="15">
        <f t="shared" si="10"/>
        <v>45741</v>
      </c>
      <c r="D101" s="9">
        <f t="shared" si="11"/>
        <v>45741</v>
      </c>
      <c r="E101" t="s">
        <v>46</v>
      </c>
      <c r="F101" t="s">
        <v>43</v>
      </c>
      <c r="G101">
        <v>1</v>
      </c>
      <c r="I101" s="11">
        <f t="shared" si="12"/>
        <v>45741</v>
      </c>
      <c r="J101" t="s">
        <v>44</v>
      </c>
      <c r="K101" t="str">
        <f t="shared" si="13"/>
        <v>/* MARZO        */ { nombre: "Adviento, Semana I, MARTES", archivo: "/ev/ta/1/martes.mp3", fecha: `${year}-03-25` },</v>
      </c>
      <c r="L101" s="10">
        <f t="shared" si="14"/>
        <v>45741</v>
      </c>
    </row>
    <row r="102" spans="1:12" hidden="1" x14ac:dyDescent="0.25">
      <c r="A102" t="str" cm="1">
        <f t="array" ref="A102">_xlfn.IFS(E102="Adviento","ta", E102="Navidad","tn", E102="Epifania","te", E102="Ordinario","to", E102="Cuaresma","tc", E102="Domingo De Ramos","tc", E102="Semana Santa","ss", E102="Triduo Pascual","tp", E102="Vigilia Pascual","tp", E102="Pascual","tp")</f>
        <v>ta</v>
      </c>
      <c r="B102" s="14" t="str">
        <f t="shared" si="7"/>
        <v>/* MARZO        */</v>
      </c>
      <c r="C102" s="15">
        <f t="shared" si="10"/>
        <v>45742</v>
      </c>
      <c r="D102" s="9">
        <f t="shared" si="11"/>
        <v>45742</v>
      </c>
      <c r="E102" t="s">
        <v>46</v>
      </c>
      <c r="F102" t="s">
        <v>43</v>
      </c>
      <c r="G102">
        <v>1</v>
      </c>
      <c r="I102" s="11">
        <f t="shared" si="12"/>
        <v>45742</v>
      </c>
      <c r="J102" t="s">
        <v>44</v>
      </c>
      <c r="K102" t="str">
        <f t="shared" si="13"/>
        <v>/* MARZO        */ { nombre: "Adviento, Semana I, MIÉRCOLES", archivo: "/ev/ta/1/miércoles.mp3", fecha: `${year}-03-26` },</v>
      </c>
      <c r="L102" s="10">
        <f t="shared" si="14"/>
        <v>45742</v>
      </c>
    </row>
    <row r="103" spans="1:12" hidden="1" x14ac:dyDescent="0.25">
      <c r="A103" t="str" cm="1">
        <f t="array" ref="A103">_xlfn.IFS(E103="Adviento","ta", E103="Navidad","tn", E103="Epifania","te", E103="Ordinario","to", E103="Cuaresma","tc", E103="Domingo De Ramos","tc", E103="Semana Santa","ss", E103="Triduo Pascual","tp", E103="Vigilia Pascual","tp", E103="Pascual","tp")</f>
        <v>ta</v>
      </c>
      <c r="B103" s="14" t="str">
        <f t="shared" si="7"/>
        <v>/* MARZO        */</v>
      </c>
      <c r="C103" s="15">
        <f t="shared" si="10"/>
        <v>45743</v>
      </c>
      <c r="D103" s="9">
        <f t="shared" si="11"/>
        <v>45743</v>
      </c>
      <c r="E103" t="s">
        <v>46</v>
      </c>
      <c r="F103" t="s">
        <v>43</v>
      </c>
      <c r="G103">
        <v>1</v>
      </c>
      <c r="I103" s="11">
        <f t="shared" si="12"/>
        <v>45743</v>
      </c>
      <c r="J103" t="s">
        <v>44</v>
      </c>
      <c r="K103" t="str">
        <f t="shared" si="13"/>
        <v>/* MARZO        */ { nombre: "Adviento, Semana I, JUEVES", archivo: "/ev/ta/1/jueves.mp3", fecha: `${year}-03-27` },</v>
      </c>
      <c r="L103" s="10">
        <f t="shared" si="14"/>
        <v>45743</v>
      </c>
    </row>
    <row r="104" spans="1:12" hidden="1" x14ac:dyDescent="0.25">
      <c r="A104" t="str" cm="1">
        <f t="array" ref="A104">_xlfn.IFS(E104="Adviento","ta", E104="Navidad","tn", E104="Epifania","te", E104="Ordinario","to", E104="Cuaresma","tc", E104="Domingo De Ramos","tc", E104="Semana Santa","ss", E104="Triduo Pascual","tp", E104="Vigilia Pascual","tp", E104="Pascual","tp")</f>
        <v>ta</v>
      </c>
      <c r="B104" s="14" t="str">
        <f t="shared" si="7"/>
        <v>/* MARZO        */</v>
      </c>
      <c r="C104" s="15">
        <f t="shared" si="10"/>
        <v>45744</v>
      </c>
      <c r="D104" s="9">
        <f t="shared" si="11"/>
        <v>45744</v>
      </c>
      <c r="E104" t="s">
        <v>46</v>
      </c>
      <c r="F104" t="s">
        <v>43</v>
      </c>
      <c r="G104">
        <v>1</v>
      </c>
      <c r="I104" s="11">
        <f t="shared" si="12"/>
        <v>45744</v>
      </c>
      <c r="J104" t="s">
        <v>44</v>
      </c>
      <c r="K104" t="str">
        <f t="shared" si="13"/>
        <v>/* MARZO        */ { nombre: "Adviento, Semana I, VIERNES", archivo: "/ev/ta/1/viernes.mp3", fecha: `${year}-03-28` },</v>
      </c>
      <c r="L104" s="10">
        <f t="shared" si="14"/>
        <v>45744</v>
      </c>
    </row>
    <row r="105" spans="1:12" hidden="1" x14ac:dyDescent="0.25">
      <c r="A105" t="str" cm="1">
        <f t="array" ref="A105">_xlfn.IFS(E105="Adviento","ta", E105="Navidad","tn", E105="Epifania","te", E105="Ordinario","to", E105="Cuaresma","tc", E105="Domingo De Ramos","tc", E105="Semana Santa","ss", E105="Triduo Pascual","tp", E105="Vigilia Pascual","tp", E105="Pascual","tp")</f>
        <v>ta</v>
      </c>
      <c r="B105" s="14" t="str">
        <f t="shared" si="7"/>
        <v>/* MARZO        */</v>
      </c>
      <c r="C105" s="15">
        <f t="shared" si="10"/>
        <v>45745</v>
      </c>
      <c r="D105" s="9">
        <f t="shared" si="11"/>
        <v>45745</v>
      </c>
      <c r="E105" t="s">
        <v>46</v>
      </c>
      <c r="F105" t="s">
        <v>43</v>
      </c>
      <c r="G105">
        <v>1</v>
      </c>
      <c r="I105" s="11">
        <f t="shared" si="12"/>
        <v>45745</v>
      </c>
      <c r="J105" t="s">
        <v>44</v>
      </c>
      <c r="K105" t="str">
        <f t="shared" si="13"/>
        <v>/* MARZO        */ { nombre: "Adviento, Semana I, SÁBADO", archivo: "/ev/ta/1/sábado.mp3", fecha: `${year}-03-29` },</v>
      </c>
      <c r="L105" s="10">
        <f t="shared" si="14"/>
        <v>45745</v>
      </c>
    </row>
    <row r="106" spans="1:12" hidden="1" x14ac:dyDescent="0.25">
      <c r="A106" t="str" cm="1">
        <f t="array" ref="A106">_xlfn.IFS(E106="Adviento","ta", E106="Navidad","tn", E106="Epifania","te", E106="Ordinario","to", E106="Cuaresma","tc", E106="Domingo De Ramos","tc", E106="Semana Santa","ss", E106="Triduo Pascual","tp", E106="Vigilia Pascual","tp", E106="Pascual","tp")</f>
        <v>ta</v>
      </c>
      <c r="B106" s="14" t="str">
        <f t="shared" si="7"/>
        <v>/* MARZO        */</v>
      </c>
      <c r="C106" s="15">
        <f t="shared" si="10"/>
        <v>45746</v>
      </c>
      <c r="D106" s="9">
        <f t="shared" si="11"/>
        <v>45746</v>
      </c>
      <c r="E106" t="s">
        <v>46</v>
      </c>
      <c r="F106" t="s">
        <v>43</v>
      </c>
      <c r="G106">
        <v>1</v>
      </c>
      <c r="I106" s="11">
        <f t="shared" si="12"/>
        <v>45746</v>
      </c>
      <c r="J106" t="s">
        <v>44</v>
      </c>
      <c r="K106" t="str">
        <f t="shared" si="13"/>
        <v>/* MARZO        */ { nombre: "Adviento, Semana I, DOMINGO", archivo: "/ev/ta/1/domingo.mp3", fecha: `${year}-03-30` },</v>
      </c>
      <c r="L106" s="10">
        <f t="shared" si="14"/>
        <v>45746</v>
      </c>
    </row>
    <row r="107" spans="1:12" hidden="1" x14ac:dyDescent="0.25">
      <c r="A107" t="str" cm="1">
        <f t="array" ref="A107">_xlfn.IFS(E107="Adviento","ta", E107="Navidad","tn", E107="Epifania","te", E107="Ordinario","to", E107="Cuaresma","tc", E107="Domingo De Ramos","tc", E107="Semana Santa","ss", E107="Triduo Pascual","tp", E107="Vigilia Pascual","tp", E107="Pascual","tp")</f>
        <v>ta</v>
      </c>
      <c r="B107" s="14" t="str">
        <f t="shared" si="7"/>
        <v>/* MARZO        */</v>
      </c>
      <c r="C107" s="15">
        <f t="shared" si="10"/>
        <v>45747</v>
      </c>
      <c r="D107" s="9">
        <f t="shared" si="11"/>
        <v>45747</v>
      </c>
      <c r="E107" t="s">
        <v>46</v>
      </c>
      <c r="F107" t="s">
        <v>43</v>
      </c>
      <c r="G107">
        <v>1</v>
      </c>
      <c r="I107" s="11">
        <f t="shared" si="12"/>
        <v>45747</v>
      </c>
      <c r="J107" t="s">
        <v>44</v>
      </c>
      <c r="K107" t="str">
        <f t="shared" si="13"/>
        <v>/* MARZO        */ { nombre: "Adviento, Semana I, LUNES", archivo: "/ev/ta/1/lunes.mp3", fecha: `${year}-03-31` },</v>
      </c>
      <c r="L107" s="10">
        <f t="shared" si="14"/>
        <v>45747</v>
      </c>
    </row>
    <row r="108" spans="1:12" hidden="1" x14ac:dyDescent="0.25">
      <c r="A108" t="str" cm="1">
        <f t="array" ref="A108">_xlfn.IFS(E108="Adviento","ta", E108="Navidad","tn", E108="Epifania","te", E108="Ordinario","to", E108="Cuaresma","tc", E108="Domingo De Ramos","tc", E108="Semana Santa","ss", E108="Triduo Pascual","tp", E108="Vigilia Pascual","tp", E108="Pascual","tp")</f>
        <v>ta</v>
      </c>
      <c r="B108" s="14" t="str">
        <f t="shared" si="7"/>
        <v>/* ABRIL        */</v>
      </c>
      <c r="C108" s="15">
        <f t="shared" si="10"/>
        <v>45748</v>
      </c>
      <c r="D108" s="9">
        <f t="shared" si="11"/>
        <v>45748</v>
      </c>
      <c r="E108" t="s">
        <v>46</v>
      </c>
      <c r="F108" t="s">
        <v>43</v>
      </c>
      <c r="G108">
        <v>1</v>
      </c>
      <c r="I108" s="11">
        <f t="shared" si="12"/>
        <v>45748</v>
      </c>
      <c r="J108" t="s">
        <v>44</v>
      </c>
      <c r="K108" t="str">
        <f t="shared" si="13"/>
        <v>/* ABRIL        */ { nombre: "Adviento, Semana I, MARTES", archivo: "/ev/ta/1/martes.mp3", fecha: `${year}-04-01` },</v>
      </c>
      <c r="L108" s="10">
        <f t="shared" si="14"/>
        <v>45748</v>
      </c>
    </row>
    <row r="109" spans="1:12" hidden="1" x14ac:dyDescent="0.25">
      <c r="A109" t="str" cm="1">
        <f t="array" ref="A109">_xlfn.IFS(E109="Adviento","ta", E109="Navidad","tn", E109="Epifania","te", E109="Ordinario","to", E109="Cuaresma","tc", E109="Domingo De Ramos","tc", E109="Semana Santa","ss", E109="Triduo Pascual","tp", E109="Vigilia Pascual","tp", E109="Pascual","tp")</f>
        <v>ta</v>
      </c>
      <c r="B109" s="14" t="str">
        <f t="shared" si="7"/>
        <v>/* ABRIL        */</v>
      </c>
      <c r="C109" s="15">
        <f t="shared" si="10"/>
        <v>45749</v>
      </c>
      <c r="D109" s="9">
        <f t="shared" si="11"/>
        <v>45749</v>
      </c>
      <c r="E109" t="s">
        <v>46</v>
      </c>
      <c r="F109" t="s">
        <v>43</v>
      </c>
      <c r="G109">
        <v>1</v>
      </c>
      <c r="I109" s="11">
        <f t="shared" si="12"/>
        <v>45749</v>
      </c>
      <c r="J109" t="s">
        <v>44</v>
      </c>
      <c r="K109" t="str">
        <f t="shared" si="13"/>
        <v>/* ABRIL        */ { nombre: "Adviento, Semana I, MIÉRCOLES", archivo: "/ev/ta/1/miércoles.mp3", fecha: `${year}-04-02` },</v>
      </c>
      <c r="L109" s="10">
        <f t="shared" si="14"/>
        <v>45749</v>
      </c>
    </row>
    <row r="110" spans="1:12" hidden="1" x14ac:dyDescent="0.25">
      <c r="A110" t="str" cm="1">
        <f t="array" ref="A110">_xlfn.IFS(E110="Adviento","ta", E110="Navidad","tn", E110="Epifania","te", E110="Ordinario","to", E110="Cuaresma","tc", E110="Domingo De Ramos","tc", E110="Semana Santa","ss", E110="Triduo Pascual","tp", E110="Vigilia Pascual","tp", E110="Pascual","tp")</f>
        <v>ta</v>
      </c>
      <c r="B110" s="14" t="str">
        <f t="shared" si="7"/>
        <v>/* ABRIL        */</v>
      </c>
      <c r="C110" s="15">
        <f t="shared" si="10"/>
        <v>45750</v>
      </c>
      <c r="D110" s="9">
        <f t="shared" si="11"/>
        <v>45750</v>
      </c>
      <c r="E110" t="s">
        <v>46</v>
      </c>
      <c r="F110" t="s">
        <v>43</v>
      </c>
      <c r="G110">
        <v>1</v>
      </c>
      <c r="I110" s="11">
        <f t="shared" si="12"/>
        <v>45750</v>
      </c>
      <c r="J110" t="s">
        <v>44</v>
      </c>
      <c r="K110" t="str">
        <f t="shared" si="13"/>
        <v>/* ABRIL        */ { nombre: "Adviento, Semana I, JUEVES", archivo: "/ev/ta/1/jueves.mp3", fecha: `${year}-04-03` },</v>
      </c>
      <c r="L110" s="10">
        <f t="shared" si="14"/>
        <v>45750</v>
      </c>
    </row>
    <row r="111" spans="1:12" hidden="1" x14ac:dyDescent="0.25">
      <c r="A111" t="str" cm="1">
        <f t="array" ref="A111">_xlfn.IFS(E111="Adviento","ta", E111="Navidad","tn", E111="Epifania","te", E111="Ordinario","to", E111="Cuaresma","tc", E111="Domingo De Ramos","tc", E111="Semana Santa","ss", E111="Triduo Pascual","tp", E111="Vigilia Pascual","tp", E111="Pascual","tp")</f>
        <v>ta</v>
      </c>
      <c r="B111" s="14" t="str">
        <f t="shared" si="7"/>
        <v>/* ABRIL        */</v>
      </c>
      <c r="C111" s="15">
        <f t="shared" si="10"/>
        <v>45751</v>
      </c>
      <c r="D111" s="9">
        <f t="shared" si="11"/>
        <v>45751</v>
      </c>
      <c r="E111" t="s">
        <v>46</v>
      </c>
      <c r="F111" t="s">
        <v>43</v>
      </c>
      <c r="G111">
        <v>1</v>
      </c>
      <c r="I111" s="11">
        <f t="shared" si="12"/>
        <v>45751</v>
      </c>
      <c r="J111" t="s">
        <v>44</v>
      </c>
      <c r="K111" t="str">
        <f t="shared" si="13"/>
        <v>/* ABRIL        */ { nombre: "Adviento, Semana I, VIERNES", archivo: "/ev/ta/1/viernes.mp3", fecha: `${year}-04-04` },</v>
      </c>
      <c r="L111" s="10">
        <f t="shared" si="14"/>
        <v>45751</v>
      </c>
    </row>
    <row r="112" spans="1:12" hidden="1" x14ac:dyDescent="0.25">
      <c r="A112" t="str" cm="1">
        <f t="array" ref="A112">_xlfn.IFS(E112="Adviento","ta", E112="Navidad","tn", E112="Epifania","te", E112="Ordinario","to", E112="Cuaresma","tc", E112="Domingo De Ramos","tc", E112="Semana Santa","ss", E112="Triduo Pascual","tp", E112="Vigilia Pascual","tp", E112="Pascual","tp")</f>
        <v>ta</v>
      </c>
      <c r="B112" s="14" t="str">
        <f t="shared" si="7"/>
        <v>/* ABRIL        */</v>
      </c>
      <c r="C112" s="15">
        <f t="shared" si="10"/>
        <v>45752</v>
      </c>
      <c r="D112" s="9">
        <f t="shared" si="11"/>
        <v>45752</v>
      </c>
      <c r="E112" t="s">
        <v>46</v>
      </c>
      <c r="F112" t="s">
        <v>43</v>
      </c>
      <c r="G112">
        <v>1</v>
      </c>
      <c r="I112" s="11">
        <f t="shared" si="12"/>
        <v>45752</v>
      </c>
      <c r="J112" t="s">
        <v>44</v>
      </c>
      <c r="K112" t="str">
        <f t="shared" si="13"/>
        <v>/* ABRIL        */ { nombre: "Adviento, Semana I, SÁBADO", archivo: "/ev/ta/1/sábado.mp3", fecha: `${year}-04-05` },</v>
      </c>
      <c r="L112" s="10">
        <f t="shared" si="14"/>
        <v>45752</v>
      </c>
    </row>
    <row r="113" spans="1:12" hidden="1" x14ac:dyDescent="0.25">
      <c r="A113" t="str" cm="1">
        <f t="array" ref="A113">_xlfn.IFS(E113="Adviento","ta", E113="Navidad","tn", E113="Epifania","te", E113="Ordinario","to", E113="Cuaresma","tc", E113="Domingo De Ramos","tc", E113="Semana Santa","ss", E113="Triduo Pascual","tp", E113="Vigilia Pascual","tp", E113="Pascual","tp")</f>
        <v>ta</v>
      </c>
      <c r="B113" s="14" t="str">
        <f t="shared" si="7"/>
        <v>/* ABRIL        */</v>
      </c>
      <c r="C113" s="15">
        <f t="shared" si="10"/>
        <v>45753</v>
      </c>
      <c r="D113" s="9">
        <f t="shared" si="11"/>
        <v>45753</v>
      </c>
      <c r="E113" t="s">
        <v>46</v>
      </c>
      <c r="F113" t="s">
        <v>43</v>
      </c>
      <c r="G113">
        <v>1</v>
      </c>
      <c r="I113" s="11">
        <f t="shared" si="12"/>
        <v>45753</v>
      </c>
      <c r="J113" t="s">
        <v>44</v>
      </c>
      <c r="K113" t="str">
        <f t="shared" si="13"/>
        <v>/* ABRIL        */ { nombre: "Adviento, Semana I, DOMINGO", archivo: "/ev/ta/1/domingo.mp3", fecha: `${year}-04-06` },</v>
      </c>
      <c r="L113" s="10">
        <f t="shared" si="14"/>
        <v>45753</v>
      </c>
    </row>
    <row r="114" spans="1:12" hidden="1" x14ac:dyDescent="0.25">
      <c r="A114" t="str" cm="1">
        <f t="array" ref="A114">_xlfn.IFS(E114="Adviento","ta", E114="Navidad","tn", E114="Epifania","te", E114="Ordinario","to", E114="Cuaresma","tc", E114="Domingo De Ramos","tc", E114="Semana Santa","ss", E114="Triduo Pascual","tp", E114="Vigilia Pascual","tp", E114="Pascual","tp")</f>
        <v>ta</v>
      </c>
      <c r="B114" s="14" t="str">
        <f t="shared" si="7"/>
        <v>/* ABRIL        */</v>
      </c>
      <c r="C114" s="15">
        <f t="shared" si="10"/>
        <v>45754</v>
      </c>
      <c r="D114" s="9">
        <f t="shared" si="11"/>
        <v>45754</v>
      </c>
      <c r="E114" t="s">
        <v>46</v>
      </c>
      <c r="F114" t="s">
        <v>43</v>
      </c>
      <c r="G114">
        <v>1</v>
      </c>
      <c r="I114" s="11">
        <f t="shared" si="12"/>
        <v>45754</v>
      </c>
      <c r="J114" t="s">
        <v>44</v>
      </c>
      <c r="K114" t="str">
        <f t="shared" si="13"/>
        <v>/* ABRIL        */ { nombre: "Adviento, Semana I, LUNES", archivo: "/ev/ta/1/lunes.mp3", fecha: `${year}-04-07` },</v>
      </c>
      <c r="L114" s="10">
        <f t="shared" si="14"/>
        <v>45754</v>
      </c>
    </row>
    <row r="115" spans="1:12" hidden="1" x14ac:dyDescent="0.25">
      <c r="A115" t="str" cm="1">
        <f t="array" ref="A115">_xlfn.IFS(E115="Adviento","ta", E115="Navidad","tn", E115="Epifania","te", E115="Ordinario","to", E115="Cuaresma","tc", E115="Domingo De Ramos","tc", E115="Semana Santa","ss", E115="Triduo Pascual","tp", E115="Vigilia Pascual","tp", E115="Pascual","tp")</f>
        <v>ta</v>
      </c>
      <c r="B115" s="14" t="str">
        <f t="shared" si="7"/>
        <v>/* ABRIL        */</v>
      </c>
      <c r="C115" s="15">
        <f t="shared" si="10"/>
        <v>45755</v>
      </c>
      <c r="D115" s="9">
        <f t="shared" si="11"/>
        <v>45755</v>
      </c>
      <c r="E115" t="s">
        <v>46</v>
      </c>
      <c r="F115" t="s">
        <v>43</v>
      </c>
      <c r="G115">
        <v>1</v>
      </c>
      <c r="I115" s="11">
        <f t="shared" si="12"/>
        <v>45755</v>
      </c>
      <c r="J115" t="s">
        <v>44</v>
      </c>
      <c r="K115" t="str">
        <f t="shared" si="13"/>
        <v>/* ABRIL        */ { nombre: "Adviento, Semana I, MARTES", archivo: "/ev/ta/1/martes.mp3", fecha: `${year}-04-08` },</v>
      </c>
      <c r="L115" s="10">
        <f t="shared" si="14"/>
        <v>45755</v>
      </c>
    </row>
    <row r="116" spans="1:12" hidden="1" x14ac:dyDescent="0.25">
      <c r="A116" t="str" cm="1">
        <f t="array" ref="A116">_xlfn.IFS(E116="Adviento","ta", E116="Navidad","tn", E116="Epifania","te", E116="Ordinario","to", E116="Cuaresma","tc", E116="Domingo De Ramos","tc", E116="Semana Santa","ss", E116="Triduo Pascual","tp", E116="Vigilia Pascual","tp", E116="Pascual","tp")</f>
        <v>ta</v>
      </c>
      <c r="B116" s="14" t="str">
        <f t="shared" si="7"/>
        <v>/* ABRIL        */</v>
      </c>
      <c r="C116" s="15">
        <f t="shared" si="10"/>
        <v>45756</v>
      </c>
      <c r="D116" s="9">
        <f t="shared" si="11"/>
        <v>45756</v>
      </c>
      <c r="E116" t="s">
        <v>46</v>
      </c>
      <c r="F116" t="s">
        <v>43</v>
      </c>
      <c r="G116">
        <v>1</v>
      </c>
      <c r="I116" s="11">
        <f t="shared" si="12"/>
        <v>45756</v>
      </c>
      <c r="J116" t="s">
        <v>44</v>
      </c>
      <c r="K116" t="str">
        <f t="shared" si="13"/>
        <v>/* ABRIL        */ { nombre: "Adviento, Semana I, MIÉRCOLES", archivo: "/ev/ta/1/miércoles.mp3", fecha: `${year}-04-09` },</v>
      </c>
      <c r="L116" s="10">
        <f t="shared" si="14"/>
        <v>45756</v>
      </c>
    </row>
    <row r="117" spans="1:12" hidden="1" x14ac:dyDescent="0.25">
      <c r="A117" t="str" cm="1">
        <f t="array" ref="A117">_xlfn.IFS(E117="Adviento","ta", E117="Navidad","tn", E117="Epifania","te", E117="Ordinario","to", E117="Cuaresma","tc", E117="Domingo De Ramos","tc", E117="Semana Santa","ss", E117="Triduo Pascual","tp", E117="Vigilia Pascual","tp", E117="Pascual","tp")</f>
        <v>ta</v>
      </c>
      <c r="B117" s="14" t="str">
        <f t="shared" si="7"/>
        <v>/* ABRIL        */</v>
      </c>
      <c r="C117" s="15">
        <f t="shared" si="10"/>
        <v>45757</v>
      </c>
      <c r="D117" s="9">
        <f t="shared" si="11"/>
        <v>45757</v>
      </c>
      <c r="E117" t="s">
        <v>46</v>
      </c>
      <c r="F117" t="s">
        <v>43</v>
      </c>
      <c r="G117">
        <v>1</v>
      </c>
      <c r="I117" s="11">
        <f t="shared" si="12"/>
        <v>45757</v>
      </c>
      <c r="J117" t="s">
        <v>44</v>
      </c>
      <c r="K117" t="str">
        <f t="shared" si="13"/>
        <v>/* ABRIL        */ { nombre: "Adviento, Semana I, JUEVES", archivo: "/ev/ta/1/jueves.mp3", fecha: `${year}-04-10` },</v>
      </c>
      <c r="L117" s="10">
        <f t="shared" si="14"/>
        <v>45757</v>
      </c>
    </row>
    <row r="118" spans="1:12" hidden="1" x14ac:dyDescent="0.25">
      <c r="A118" t="str" cm="1">
        <f t="array" ref="A118">_xlfn.IFS(E118="Adviento","ta", E118="Navidad","tn", E118="Epifania","te", E118="Ordinario","to", E118="Cuaresma","tc", E118="Domingo De Ramos","tc", E118="Semana Santa","ss", E118="Triduo Pascual","tp", E118="Vigilia Pascual","tp", E118="Pascual","tp")</f>
        <v>ta</v>
      </c>
      <c r="B118" s="14" t="str">
        <f t="shared" si="7"/>
        <v>/* ABRIL        */</v>
      </c>
      <c r="C118" s="15">
        <f t="shared" si="10"/>
        <v>45758</v>
      </c>
      <c r="D118" s="9">
        <f t="shared" si="11"/>
        <v>45758</v>
      </c>
      <c r="E118" t="s">
        <v>46</v>
      </c>
      <c r="F118" t="s">
        <v>43</v>
      </c>
      <c r="G118">
        <v>1</v>
      </c>
      <c r="I118" s="11">
        <f t="shared" si="12"/>
        <v>45758</v>
      </c>
      <c r="J118" t="s">
        <v>44</v>
      </c>
      <c r="K118" t="str">
        <f t="shared" si="13"/>
        <v>/* ABRIL        */ { nombre: "Adviento, Semana I, VIERNES", archivo: "/ev/ta/1/viernes.mp3", fecha: `${year}-04-11` },</v>
      </c>
      <c r="L118" s="10">
        <f t="shared" si="14"/>
        <v>45758</v>
      </c>
    </row>
    <row r="119" spans="1:12" hidden="1" x14ac:dyDescent="0.25">
      <c r="A119" t="str" cm="1">
        <f t="array" ref="A119">_xlfn.IFS(E119="Adviento","ta", E119="Navidad","tn", E119="Epifania","te", E119="Ordinario","to", E119="Cuaresma","tc", E119="Domingo De Ramos","tc", E119="Semana Santa","ss", E119="Triduo Pascual","tp", E119="Vigilia Pascual","tp", E119="Pascual","tp")</f>
        <v>ta</v>
      </c>
      <c r="B119" s="14" t="str">
        <f t="shared" si="7"/>
        <v>/* ABRIL        */</v>
      </c>
      <c r="C119" s="15">
        <f t="shared" si="10"/>
        <v>45759</v>
      </c>
      <c r="D119" s="9">
        <f t="shared" si="11"/>
        <v>45759</v>
      </c>
      <c r="E119" t="s">
        <v>46</v>
      </c>
      <c r="F119" t="s">
        <v>43</v>
      </c>
      <c r="G119">
        <v>1</v>
      </c>
      <c r="I119" s="11">
        <f t="shared" si="12"/>
        <v>45759</v>
      </c>
      <c r="J119" t="s">
        <v>44</v>
      </c>
      <c r="K119" t="str">
        <f t="shared" si="13"/>
        <v>/* ABRIL        */ { nombre: "Adviento, Semana I, SÁBADO", archivo: "/ev/ta/1/sábado.mp3", fecha: `${year}-04-12` },</v>
      </c>
      <c r="L119" s="10">
        <f t="shared" si="14"/>
        <v>45759</v>
      </c>
    </row>
    <row r="120" spans="1:12" hidden="1" x14ac:dyDescent="0.25">
      <c r="A120" t="str" cm="1">
        <f t="array" ref="A120">_xlfn.IFS(E120="Adviento","ta", E120="Navidad","tn", E120="Epifania","te", E120="Ordinario","to", E120="Cuaresma","tc", E120="Domingo De Ramos","tc", E120="Semana Santa","ss", E120="Triduo Pascual","tp", E120="Vigilia Pascual","tp", E120="Pascual","tp")</f>
        <v>ta</v>
      </c>
      <c r="B120" s="14" t="str">
        <f t="shared" si="7"/>
        <v>/* ABRIL        */</v>
      </c>
      <c r="C120" s="15">
        <f t="shared" si="10"/>
        <v>45760</v>
      </c>
      <c r="D120" s="9">
        <f t="shared" si="11"/>
        <v>45760</v>
      </c>
      <c r="E120" t="s">
        <v>46</v>
      </c>
      <c r="F120" t="s">
        <v>43</v>
      </c>
      <c r="G120">
        <v>1</v>
      </c>
      <c r="I120" s="11">
        <f t="shared" si="12"/>
        <v>45760</v>
      </c>
      <c r="J120" t="s">
        <v>44</v>
      </c>
      <c r="K120" t="str">
        <f t="shared" si="13"/>
        <v>/* ABRIL        */ { nombre: "Adviento, Semana I, DOMINGO", archivo: "/ev/ta/1/domingo.mp3", fecha: `${year}-04-13` },</v>
      </c>
      <c r="L120" s="10">
        <f t="shared" si="14"/>
        <v>45760</v>
      </c>
    </row>
    <row r="121" spans="1:12" hidden="1" x14ac:dyDescent="0.25">
      <c r="A121" t="str" cm="1">
        <f t="array" ref="A121">_xlfn.IFS(E121="Adviento","ta", E121="Navidad","tn", E121="Epifania","te", E121="Ordinario","to", E121="Cuaresma","tc", E121="Domingo De Ramos","tc", E121="Semana Santa","ss", E121="Triduo Pascual","tp", E121="Vigilia Pascual","tp", E121="Pascual","tp")</f>
        <v>ta</v>
      </c>
      <c r="B121" s="14" t="str">
        <f t="shared" si="7"/>
        <v>/* ABRIL        */</v>
      </c>
      <c r="C121" s="15">
        <f t="shared" si="10"/>
        <v>45761</v>
      </c>
      <c r="D121" s="9">
        <f t="shared" si="11"/>
        <v>45761</v>
      </c>
      <c r="E121" t="s">
        <v>46</v>
      </c>
      <c r="F121" t="s">
        <v>43</v>
      </c>
      <c r="G121">
        <v>1</v>
      </c>
      <c r="I121" s="11">
        <f t="shared" si="12"/>
        <v>45761</v>
      </c>
      <c r="J121" t="s">
        <v>44</v>
      </c>
      <c r="K121" t="str">
        <f t="shared" si="13"/>
        <v>/* ABRIL        */ { nombre: "Adviento, Semana I, LUNES", archivo: "/ev/ta/1/lunes.mp3", fecha: `${year}-04-14` },</v>
      </c>
      <c r="L121" s="10">
        <f t="shared" si="14"/>
        <v>45761</v>
      </c>
    </row>
    <row r="122" spans="1:12" hidden="1" x14ac:dyDescent="0.25">
      <c r="A122" t="str" cm="1">
        <f t="array" ref="A122">_xlfn.IFS(E122="Adviento","ta", E122="Navidad","tn", E122="Epifania","te", E122="Ordinario","to", E122="Cuaresma","tc", E122="Domingo De Ramos","tc", E122="Semana Santa","ss", E122="Triduo Pascual","tp", E122="Vigilia Pascual","tp", E122="Pascual","tp")</f>
        <v>ta</v>
      </c>
      <c r="B122" s="14" t="str">
        <f t="shared" si="7"/>
        <v>/* ABRIL        */</v>
      </c>
      <c r="C122" s="15">
        <f t="shared" si="10"/>
        <v>45762</v>
      </c>
      <c r="D122" s="9">
        <f t="shared" si="11"/>
        <v>45762</v>
      </c>
      <c r="E122" t="s">
        <v>46</v>
      </c>
      <c r="F122" t="s">
        <v>43</v>
      </c>
      <c r="G122">
        <v>1</v>
      </c>
      <c r="I122" s="11">
        <f t="shared" si="12"/>
        <v>45762</v>
      </c>
      <c r="J122" t="s">
        <v>44</v>
      </c>
      <c r="K122" t="str">
        <f t="shared" si="13"/>
        <v>/* ABRIL        */ { nombre: "Adviento, Semana I, MARTES", archivo: "/ev/ta/1/martes.mp3", fecha: `${year}-04-15` },</v>
      </c>
      <c r="L122" s="10">
        <f t="shared" si="14"/>
        <v>45762</v>
      </c>
    </row>
    <row r="123" spans="1:12" hidden="1" x14ac:dyDescent="0.25">
      <c r="A123" t="str" cm="1">
        <f t="array" ref="A123">_xlfn.IFS(E123="Adviento","ta", E123="Navidad","tn", E123="Epifania","te", E123="Ordinario","to", E123="Cuaresma","tc", E123="Domingo De Ramos","tc", E123="Semana Santa","ss", E123="Triduo Pascual","tp", E123="Vigilia Pascual","tp", E123="Pascual","tp")</f>
        <v>ta</v>
      </c>
      <c r="B123" s="14" t="str">
        <f t="shared" si="7"/>
        <v>/* ABRIL        */</v>
      </c>
      <c r="C123" s="15">
        <f t="shared" si="10"/>
        <v>45763</v>
      </c>
      <c r="D123" s="9">
        <f t="shared" si="11"/>
        <v>45763</v>
      </c>
      <c r="E123" t="s">
        <v>46</v>
      </c>
      <c r="F123" t="s">
        <v>43</v>
      </c>
      <c r="G123">
        <v>1</v>
      </c>
      <c r="I123" s="11">
        <f t="shared" si="12"/>
        <v>45763</v>
      </c>
      <c r="J123" t="s">
        <v>44</v>
      </c>
      <c r="K123" t="str">
        <f t="shared" si="13"/>
        <v>/* ABRIL        */ { nombre: "Adviento, Semana I, MIÉRCOLES", archivo: "/ev/ta/1/miércoles.mp3", fecha: `${year}-04-16` },</v>
      </c>
      <c r="L123" s="10">
        <f t="shared" si="14"/>
        <v>45763</v>
      </c>
    </row>
    <row r="124" spans="1:12" hidden="1" x14ac:dyDescent="0.25">
      <c r="A124" t="str" cm="1">
        <f t="array" ref="A124">_xlfn.IFS(E124="Adviento","ta", E124="Navidad","tn", E124="Epifania","te", E124="Ordinario","to", E124="Cuaresma","tc", E124="Domingo De Ramos","tc", E124="Semana Santa","ss", E124="Triduo Pascual","tp", E124="Vigilia Pascual","tp", E124="Pascual","tp")</f>
        <v>ta</v>
      </c>
      <c r="B124" s="14" t="str">
        <f t="shared" si="7"/>
        <v>/* ABRIL        */</v>
      </c>
      <c r="C124" s="15">
        <f t="shared" si="10"/>
        <v>45764</v>
      </c>
      <c r="D124" s="9">
        <f t="shared" si="11"/>
        <v>45764</v>
      </c>
      <c r="E124" t="s">
        <v>46</v>
      </c>
      <c r="F124" t="s">
        <v>43</v>
      </c>
      <c r="G124">
        <v>1</v>
      </c>
      <c r="I124" s="11">
        <f t="shared" si="12"/>
        <v>45764</v>
      </c>
      <c r="J124" t="s">
        <v>44</v>
      </c>
      <c r="K124" t="str">
        <f t="shared" si="13"/>
        <v>/* ABRIL        */ { nombre: "Adviento, Semana I, JUEVES", archivo: "/ev/ta/1/jueves.mp3", fecha: `${year}-04-17` },</v>
      </c>
      <c r="L124" s="10">
        <f t="shared" si="14"/>
        <v>45764</v>
      </c>
    </row>
    <row r="125" spans="1:12" hidden="1" x14ac:dyDescent="0.25">
      <c r="A125" t="str" cm="1">
        <f t="array" ref="A125">_xlfn.IFS(E125="Adviento","ta", E125="Navidad","tn", E125="Epifania","te", E125="Ordinario","to", E125="Cuaresma","tc", E125="Domingo De Ramos","tc", E125="Semana Santa","ss", E125="Triduo Pascual","tp", E125="Vigilia Pascual","tp", E125="Pascual","tp")</f>
        <v>ta</v>
      </c>
      <c r="B125" s="14" t="str">
        <f t="shared" si="7"/>
        <v>/* ABRIL        */</v>
      </c>
      <c r="C125" s="15">
        <f t="shared" si="10"/>
        <v>45765</v>
      </c>
      <c r="D125" s="9">
        <f t="shared" si="11"/>
        <v>45765</v>
      </c>
      <c r="E125" t="s">
        <v>46</v>
      </c>
      <c r="F125" t="s">
        <v>43</v>
      </c>
      <c r="G125">
        <v>1</v>
      </c>
      <c r="I125" s="11">
        <f t="shared" si="12"/>
        <v>45765</v>
      </c>
      <c r="J125" t="s">
        <v>44</v>
      </c>
      <c r="K125" t="str">
        <f t="shared" si="13"/>
        <v>/* ABRIL        */ { nombre: "Adviento, Semana I, VIERNES", archivo: "/ev/ta/1/viernes.mp3", fecha: `${year}-04-18` },</v>
      </c>
      <c r="L125" s="10">
        <f t="shared" si="14"/>
        <v>45765</v>
      </c>
    </row>
    <row r="126" spans="1:12" hidden="1" x14ac:dyDescent="0.25">
      <c r="A126" t="str" cm="1">
        <f t="array" ref="A126">_xlfn.IFS(E126="Adviento","ta", E126="Navidad","tn", E126="Epifania","te", E126="Ordinario","to", E126="Cuaresma","tc", E126="Domingo De Ramos","tc", E126="Semana Santa","ss", E126="Triduo Pascual","tp", E126="Vigilia Pascual","tp", E126="Pascual","tp")</f>
        <v>ta</v>
      </c>
      <c r="B126" s="14" t="str">
        <f t="shared" si="7"/>
        <v>/* ABRIL        */</v>
      </c>
      <c r="C126" s="15">
        <f t="shared" si="10"/>
        <v>45766</v>
      </c>
      <c r="D126" s="9">
        <f t="shared" si="11"/>
        <v>45766</v>
      </c>
      <c r="E126" t="s">
        <v>46</v>
      </c>
      <c r="F126" t="s">
        <v>43</v>
      </c>
      <c r="G126">
        <v>1</v>
      </c>
      <c r="I126" s="11">
        <f t="shared" si="12"/>
        <v>45766</v>
      </c>
      <c r="J126" t="s">
        <v>44</v>
      </c>
      <c r="K126" t="str">
        <f t="shared" si="13"/>
        <v>/* ABRIL        */ { nombre: "Adviento, Semana I, SÁBADO", archivo: "/ev/ta/1/sábado.mp3", fecha: `${year}-04-19` },</v>
      </c>
      <c r="L126" s="10">
        <f t="shared" si="14"/>
        <v>45766</v>
      </c>
    </row>
    <row r="127" spans="1:12" hidden="1" x14ac:dyDescent="0.25">
      <c r="A127" t="str" cm="1">
        <f t="array" ref="A127">_xlfn.IFS(E127="Adviento","ta", E127="Navidad","tn", E127="Epifania","te", E127="Ordinario","to", E127="Cuaresma","tc", E127="Domingo De Ramos","tc", E127="Semana Santa","ss", E127="Triduo Pascual","tp", E127="Vigilia Pascual","tp", E127="Pascual","tp")</f>
        <v>ta</v>
      </c>
      <c r="B127" s="14" t="str">
        <f t="shared" si="7"/>
        <v>/* ABRIL        */</v>
      </c>
      <c r="C127" s="15">
        <f t="shared" si="10"/>
        <v>45767</v>
      </c>
      <c r="D127" s="9">
        <f t="shared" si="11"/>
        <v>45767</v>
      </c>
      <c r="E127" t="s">
        <v>46</v>
      </c>
      <c r="F127" t="s">
        <v>43</v>
      </c>
      <c r="G127">
        <v>1</v>
      </c>
      <c r="I127" s="11">
        <f t="shared" si="12"/>
        <v>45767</v>
      </c>
      <c r="J127" t="s">
        <v>44</v>
      </c>
      <c r="K127" t="str">
        <f t="shared" si="13"/>
        <v>/* ABRIL        */ { nombre: "Adviento, Semana I, DOMINGO", archivo: "/ev/ta/1/domingo.mp3", fecha: `${year}-04-20` },</v>
      </c>
      <c r="L127" s="10">
        <f t="shared" si="14"/>
        <v>45767</v>
      </c>
    </row>
    <row r="128" spans="1:12" hidden="1" x14ac:dyDescent="0.25">
      <c r="A128" t="str" cm="1">
        <f t="array" ref="A128">_xlfn.IFS(E128="Adviento","ta", E128="Navidad","tn", E128="Epifania","te", E128="Ordinario","to", E128="Cuaresma","tc", E128="Domingo De Ramos","tc", E128="Semana Santa","ss", E128="Triduo Pascual","tp", E128="Vigilia Pascual","tp", E128="Pascual","tp")</f>
        <v>ta</v>
      </c>
      <c r="B128" s="14" t="str">
        <f t="shared" si="7"/>
        <v>/* ABRIL        */</v>
      </c>
      <c r="C128" s="15">
        <f t="shared" si="10"/>
        <v>45768</v>
      </c>
      <c r="D128" s="9">
        <f t="shared" si="11"/>
        <v>45768</v>
      </c>
      <c r="E128" t="s">
        <v>46</v>
      </c>
      <c r="F128" t="s">
        <v>43</v>
      </c>
      <c r="G128">
        <v>1</v>
      </c>
      <c r="I128" s="11">
        <f t="shared" si="12"/>
        <v>45768</v>
      </c>
      <c r="J128" t="s">
        <v>44</v>
      </c>
      <c r="K128" t="str">
        <f t="shared" si="13"/>
        <v>/* ABRIL        */ { nombre: "Adviento, Semana I, LUNES", archivo: "/ev/ta/1/lunes.mp3", fecha: `${year}-04-21` },</v>
      </c>
      <c r="L128" s="10">
        <f t="shared" si="14"/>
        <v>45768</v>
      </c>
    </row>
    <row r="129" spans="1:12" hidden="1" x14ac:dyDescent="0.25">
      <c r="A129" t="str" cm="1">
        <f t="array" ref="A129">_xlfn.IFS(E129="Adviento","ta", E129="Navidad","tn", E129="Epifania","te", E129="Ordinario","to", E129="Cuaresma","tc", E129="Domingo De Ramos","tc", E129="Semana Santa","ss", E129="Triduo Pascual","tp", E129="Vigilia Pascual","tp", E129="Pascual","tp")</f>
        <v>ta</v>
      </c>
      <c r="B129" s="14" t="str">
        <f t="shared" si="7"/>
        <v>/* ABRIL        */</v>
      </c>
      <c r="C129" s="15">
        <f t="shared" si="10"/>
        <v>45769</v>
      </c>
      <c r="D129" s="9">
        <f t="shared" si="11"/>
        <v>45769</v>
      </c>
      <c r="E129" t="s">
        <v>46</v>
      </c>
      <c r="F129" t="s">
        <v>43</v>
      </c>
      <c r="G129">
        <v>1</v>
      </c>
      <c r="I129" s="11">
        <f t="shared" si="12"/>
        <v>45769</v>
      </c>
      <c r="J129" t="s">
        <v>44</v>
      </c>
      <c r="K129" t="str">
        <f t="shared" si="13"/>
        <v>/* ABRIL        */ { nombre: "Adviento, Semana I, MARTES", archivo: "/ev/ta/1/martes.mp3", fecha: `${year}-04-22` },</v>
      </c>
      <c r="L129" s="10">
        <f t="shared" si="14"/>
        <v>45769</v>
      </c>
    </row>
    <row r="130" spans="1:12" hidden="1" x14ac:dyDescent="0.25">
      <c r="A130" t="str" cm="1">
        <f t="array" ref="A130">_xlfn.IFS(E130="Adviento","ta", E130="Navidad","tn", E130="Epifania","te", E130="Ordinario","to", E130="Cuaresma","tc", E130="Domingo De Ramos","tc", E130="Semana Santa","ss", E130="Triduo Pascual","tp", E130="Vigilia Pascual","tp", E130="Pascual","tp")</f>
        <v>ta</v>
      </c>
      <c r="B130" s="14" t="str">
        <f t="shared" si="7"/>
        <v>/* ABRIL        */</v>
      </c>
      <c r="C130" s="15">
        <f t="shared" si="10"/>
        <v>45770</v>
      </c>
      <c r="D130" s="9">
        <f t="shared" si="11"/>
        <v>45770</v>
      </c>
      <c r="E130" t="s">
        <v>46</v>
      </c>
      <c r="F130" t="s">
        <v>43</v>
      </c>
      <c r="G130">
        <v>1</v>
      </c>
      <c r="I130" s="11">
        <f t="shared" si="12"/>
        <v>45770</v>
      </c>
      <c r="J130" t="s">
        <v>44</v>
      </c>
      <c r="K130" t="str">
        <f t="shared" si="13"/>
        <v>/* ABRIL        */ { nombre: "Adviento, Semana I, MIÉRCOLES", archivo: "/ev/ta/1/miércoles.mp3", fecha: `${year}-04-23` },</v>
      </c>
      <c r="L130" s="10">
        <f t="shared" si="14"/>
        <v>45770</v>
      </c>
    </row>
    <row r="131" spans="1:12" hidden="1" x14ac:dyDescent="0.25">
      <c r="A131" t="str" cm="1">
        <f t="array" ref="A131">_xlfn.IFS(E131="Adviento","ta", E131="Navidad","tn", E131="Epifania","te", E131="Ordinario","to", E131="Cuaresma","tc", E131="Domingo De Ramos","tc", E131="Semana Santa","ss", E131="Triduo Pascual","tp", E131="Vigilia Pascual","tp", E131="Pascual","tp")</f>
        <v>ta</v>
      </c>
      <c r="B131" s="14" t="str">
        <f t="shared" si="7"/>
        <v>/* ABRIL        */</v>
      </c>
      <c r="C131" s="15">
        <f t="shared" si="10"/>
        <v>45771</v>
      </c>
      <c r="D131" s="9">
        <f t="shared" si="11"/>
        <v>45771</v>
      </c>
      <c r="E131" t="s">
        <v>46</v>
      </c>
      <c r="F131" t="s">
        <v>43</v>
      </c>
      <c r="G131">
        <v>1</v>
      </c>
      <c r="I131" s="11">
        <f t="shared" si="12"/>
        <v>45771</v>
      </c>
      <c r="J131" t="s">
        <v>44</v>
      </c>
      <c r="K131" t="str">
        <f t="shared" si="13"/>
        <v>/* ABRIL        */ { nombre: "Adviento, Semana I, JUEVES", archivo: "/ev/ta/1/jueves.mp3", fecha: `${year}-04-24` },</v>
      </c>
      <c r="L131" s="10">
        <f t="shared" si="14"/>
        <v>45771</v>
      </c>
    </row>
    <row r="132" spans="1:12" hidden="1" x14ac:dyDescent="0.25">
      <c r="A132" t="str" cm="1">
        <f t="array" ref="A132">_xlfn.IFS(E132="Adviento","ta", E132="Navidad","tn", E132="Epifania","te", E132="Ordinario","to", E132="Cuaresma","tc", E132="Domingo De Ramos","tc", E132="Semana Santa","ss", E132="Triduo Pascual","tp", E132="Vigilia Pascual","tp", E132="Pascual","tp")</f>
        <v>ta</v>
      </c>
      <c r="B132" s="14" t="str">
        <f t="shared" si="7"/>
        <v>/* ABRIL        */</v>
      </c>
      <c r="C132" s="15">
        <f t="shared" si="10"/>
        <v>45772</v>
      </c>
      <c r="D132" s="9">
        <f t="shared" si="11"/>
        <v>45772</v>
      </c>
      <c r="E132" t="s">
        <v>46</v>
      </c>
      <c r="F132" t="s">
        <v>43</v>
      </c>
      <c r="G132">
        <v>1</v>
      </c>
      <c r="I132" s="11">
        <f t="shared" si="12"/>
        <v>45772</v>
      </c>
      <c r="J132" t="s">
        <v>44</v>
      </c>
      <c r="K132" t="str">
        <f t="shared" si="13"/>
        <v>/* ABRIL        */ { nombre: "Adviento, Semana I, VIERNES", archivo: "/ev/ta/1/viernes.mp3", fecha: `${year}-04-25` },</v>
      </c>
      <c r="L132" s="10">
        <f t="shared" si="14"/>
        <v>45772</v>
      </c>
    </row>
    <row r="133" spans="1:12" hidden="1" x14ac:dyDescent="0.25">
      <c r="A133" t="str" cm="1">
        <f t="array" ref="A133">_xlfn.IFS(E133="Adviento","ta", E133="Navidad","tn", E133="Epifania","te", E133="Ordinario","to", E133="Cuaresma","tc", E133="Domingo De Ramos","tc", E133="Semana Santa","ss", E133="Triduo Pascual","tp", E133="Vigilia Pascual","tp", E133="Pascual","tp")</f>
        <v>ta</v>
      </c>
      <c r="B133" s="14" t="str">
        <f t="shared" si="7"/>
        <v>/* ABRIL        */</v>
      </c>
      <c r="C133" s="15">
        <f t="shared" si="10"/>
        <v>45773</v>
      </c>
      <c r="D133" s="9">
        <f t="shared" si="11"/>
        <v>45773</v>
      </c>
      <c r="E133" t="s">
        <v>46</v>
      </c>
      <c r="F133" t="s">
        <v>43</v>
      </c>
      <c r="G133">
        <v>1</v>
      </c>
      <c r="I133" s="11">
        <f t="shared" si="12"/>
        <v>45773</v>
      </c>
      <c r="J133" t="s">
        <v>44</v>
      </c>
      <c r="K133" t="str">
        <f t="shared" si="13"/>
        <v>/* ABRIL        */ { nombre: "Adviento, Semana I, SÁBADO", archivo: "/ev/ta/1/sábado.mp3", fecha: `${year}-04-26` },</v>
      </c>
      <c r="L133" s="10">
        <f t="shared" si="14"/>
        <v>45773</v>
      </c>
    </row>
    <row r="134" spans="1:12" hidden="1" x14ac:dyDescent="0.25">
      <c r="A134" t="str" cm="1">
        <f t="array" ref="A134">_xlfn.IFS(E134="Adviento","ta", E134="Navidad","tn", E134="Epifania","te", E134="Ordinario","to", E134="Cuaresma","tc", E134="Domingo De Ramos","tc", E134="Semana Santa","ss", E134="Triduo Pascual","tp", E134="Vigilia Pascual","tp", E134="Pascual","tp")</f>
        <v>ta</v>
      </c>
      <c r="B134" s="14" t="str">
        <f t="shared" si="7"/>
        <v>/* ABRIL        */</v>
      </c>
      <c r="C134" s="15">
        <f t="shared" si="10"/>
        <v>45774</v>
      </c>
      <c r="D134" s="9">
        <f t="shared" si="11"/>
        <v>45774</v>
      </c>
      <c r="E134" t="s">
        <v>46</v>
      </c>
      <c r="F134" t="s">
        <v>43</v>
      </c>
      <c r="G134">
        <v>1</v>
      </c>
      <c r="I134" s="11">
        <f t="shared" si="12"/>
        <v>45774</v>
      </c>
      <c r="J134" t="s">
        <v>44</v>
      </c>
      <c r="K134" t="str">
        <f t="shared" si="13"/>
        <v>/* ABRIL        */ { nombre: "Adviento, Semana I, DOMINGO", archivo: "/ev/ta/1/domingo.mp3", fecha: `${year}-04-27` },</v>
      </c>
      <c r="L134" s="10">
        <f t="shared" si="14"/>
        <v>45774</v>
      </c>
    </row>
    <row r="135" spans="1:12" hidden="1" x14ac:dyDescent="0.25">
      <c r="A135" t="str" cm="1">
        <f t="array" ref="A135">_xlfn.IFS(E135="Adviento","ta", E135="Navidad","tn", E135="Epifania","te", E135="Ordinario","to", E135="Cuaresma","tc", E135="Domingo De Ramos","tc", E135="Semana Santa","ss", E135="Triduo Pascual","tp", E135="Vigilia Pascual","tp", E135="Pascual","tp")</f>
        <v>ta</v>
      </c>
      <c r="B135" s="14" t="str">
        <f t="shared" si="7"/>
        <v>/* ABRIL        */</v>
      </c>
      <c r="C135" s="15">
        <f t="shared" si="10"/>
        <v>45775</v>
      </c>
      <c r="D135" s="9">
        <f t="shared" si="11"/>
        <v>45775</v>
      </c>
      <c r="E135" t="s">
        <v>46</v>
      </c>
      <c r="F135" t="s">
        <v>43</v>
      </c>
      <c r="G135">
        <v>1</v>
      </c>
      <c r="I135" s="11">
        <f t="shared" si="12"/>
        <v>45775</v>
      </c>
      <c r="J135" t="s">
        <v>44</v>
      </c>
      <c r="K135" t="str">
        <f t="shared" si="13"/>
        <v>/* ABRIL        */ { nombre: "Adviento, Semana I, LUNES", archivo: "/ev/ta/1/lunes.mp3", fecha: `${year}-04-28` },</v>
      </c>
      <c r="L135" s="10">
        <f t="shared" si="14"/>
        <v>45775</v>
      </c>
    </row>
    <row r="136" spans="1:12" hidden="1" x14ac:dyDescent="0.25">
      <c r="A136" t="str" cm="1">
        <f t="array" ref="A136">_xlfn.IFS(E136="Adviento","ta", E136="Navidad","tn", E136="Epifania","te", E136="Ordinario","to", E136="Cuaresma","tc", E136="Domingo De Ramos","tc", E136="Semana Santa","ss", E136="Triduo Pascual","tp", E136="Vigilia Pascual","tp", E136="Pascual","tp")</f>
        <v>ta</v>
      </c>
      <c r="B136" s="14" t="str">
        <f t="shared" si="7"/>
        <v>/* ABRIL        */</v>
      </c>
      <c r="C136" s="15">
        <f t="shared" si="10"/>
        <v>45776</v>
      </c>
      <c r="D136" s="9">
        <f t="shared" si="11"/>
        <v>45776</v>
      </c>
      <c r="E136" t="s">
        <v>46</v>
      </c>
      <c r="F136" t="s">
        <v>43</v>
      </c>
      <c r="G136">
        <v>1</v>
      </c>
      <c r="I136" s="11">
        <f t="shared" si="12"/>
        <v>45776</v>
      </c>
      <c r="J136" t="s">
        <v>44</v>
      </c>
      <c r="K136" t="str">
        <f t="shared" si="13"/>
        <v>/* ABRIL        */ { nombre: "Adviento, Semana I, MARTES", archivo: "/ev/ta/1/martes.mp3", fecha: `${year}-04-29` },</v>
      </c>
      <c r="L136" s="10">
        <f t="shared" si="14"/>
        <v>45776</v>
      </c>
    </row>
    <row r="137" spans="1:12" hidden="1" x14ac:dyDescent="0.25">
      <c r="A137" t="str" cm="1">
        <f t="array" ref="A137">_xlfn.IFS(E137="Adviento","ta", E137="Navidad","tn", E137="Epifania","te", E137="Ordinario","to", E137="Cuaresma","tc", E137="Domingo De Ramos","tc", E137="Semana Santa","ss", E137="Triduo Pascual","tp", E137="Vigilia Pascual","tp", E137="Pascual","tp")</f>
        <v>ta</v>
      </c>
      <c r="B137" s="14" t="str">
        <f t="shared" si="7"/>
        <v>/* ABRIL        */</v>
      </c>
      <c r="C137" s="15">
        <f t="shared" si="10"/>
        <v>45777</v>
      </c>
      <c r="D137" s="9">
        <f t="shared" si="11"/>
        <v>45777</v>
      </c>
      <c r="E137" t="s">
        <v>46</v>
      </c>
      <c r="F137" t="s">
        <v>43</v>
      </c>
      <c r="G137">
        <v>1</v>
      </c>
      <c r="I137" s="11">
        <f t="shared" si="12"/>
        <v>45777</v>
      </c>
      <c r="J137" t="s">
        <v>44</v>
      </c>
      <c r="K137" t="str">
        <f t="shared" si="13"/>
        <v>/* ABRIL        */ { nombre: "Adviento, Semana I, MIÉRCOLES", archivo: "/ev/ta/1/miércoles.mp3", fecha: `${year}-04-30` },</v>
      </c>
      <c r="L137" s="10">
        <f t="shared" si="14"/>
        <v>45777</v>
      </c>
    </row>
    <row r="138" spans="1:12" hidden="1" x14ac:dyDescent="0.25">
      <c r="A138" t="str" cm="1">
        <f t="array" ref="A138">_xlfn.IFS(E138="Adviento","ta", E138="Navidad","tn", E138="Epifania","te", E138="Ordinario","to", E138="Cuaresma","tc", E138="Domingo De Ramos","tc", E138="Semana Santa","ss", E138="Triduo Pascual","tp", E138="Vigilia Pascual","tp", E138="Pascual","tp")</f>
        <v>ta</v>
      </c>
      <c r="B138" s="14" t="str">
        <f t="shared" si="7"/>
        <v>/* MAYO        */</v>
      </c>
      <c r="C138" s="15">
        <f t="shared" si="10"/>
        <v>45778</v>
      </c>
      <c r="D138" s="9">
        <f t="shared" si="11"/>
        <v>45778</v>
      </c>
      <c r="E138" t="s">
        <v>46</v>
      </c>
      <c r="F138" t="s">
        <v>43</v>
      </c>
      <c r="G138">
        <v>1</v>
      </c>
      <c r="I138" s="11">
        <f t="shared" si="12"/>
        <v>45778</v>
      </c>
      <c r="J138" t="s">
        <v>44</v>
      </c>
      <c r="K138" t="str">
        <f t="shared" si="13"/>
        <v>/* MAYO        */ { nombre: "Adviento, Semana I, JUEVES", archivo: "/ev/ta/1/jueves.mp3", fecha: `${year}-05-01` },</v>
      </c>
      <c r="L138" s="10">
        <f t="shared" si="14"/>
        <v>45778</v>
      </c>
    </row>
    <row r="139" spans="1:12" hidden="1" x14ac:dyDescent="0.25">
      <c r="A139" t="str" cm="1">
        <f t="array" ref="A139">_xlfn.IFS(E139="Adviento","ta", E139="Navidad","tn", E139="Epifania","te", E139="Ordinario","to", E139="Cuaresma","tc", E139="Domingo De Ramos","tc", E139="Semana Santa","ss", E139="Triduo Pascual","tp", E139="Vigilia Pascual","tp", E139="Pascual","tp")</f>
        <v>ta</v>
      </c>
      <c r="B139" s="14" t="str">
        <f t="shared" si="7"/>
        <v>/* MAYO        */</v>
      </c>
      <c r="C139" s="15">
        <f t="shared" si="10"/>
        <v>45779</v>
      </c>
      <c r="D139" s="9">
        <f t="shared" si="11"/>
        <v>45779</v>
      </c>
      <c r="E139" t="s">
        <v>46</v>
      </c>
      <c r="F139" t="s">
        <v>43</v>
      </c>
      <c r="G139">
        <v>1</v>
      </c>
      <c r="I139" s="11">
        <f t="shared" si="12"/>
        <v>45779</v>
      </c>
      <c r="J139" t="s">
        <v>44</v>
      </c>
      <c r="K139" t="str">
        <f t="shared" si="13"/>
        <v>/* MAYO        */ { nombre: "Adviento, Semana I, VIERNES", archivo: "/ev/ta/1/viernes.mp3", fecha: `${year}-05-02` },</v>
      </c>
      <c r="L139" s="10">
        <f t="shared" si="14"/>
        <v>45779</v>
      </c>
    </row>
    <row r="140" spans="1:12" hidden="1" x14ac:dyDescent="0.25">
      <c r="A140" t="str" cm="1">
        <f t="array" ref="A140">_xlfn.IFS(E140="Adviento","ta", E140="Navidad","tn", E140="Epifania","te", E140="Ordinario","to", E140="Cuaresma","tc", E140="Domingo De Ramos","tc", E140="Semana Santa","ss", E140="Triduo Pascual","tp", E140="Vigilia Pascual","tp", E140="Pascual","tp")</f>
        <v>ta</v>
      </c>
      <c r="B140" s="14" t="str">
        <f t="shared" si="7"/>
        <v>/* MAYO        */</v>
      </c>
      <c r="C140" s="15">
        <f t="shared" si="10"/>
        <v>45780</v>
      </c>
      <c r="D140" s="9">
        <f t="shared" si="11"/>
        <v>45780</v>
      </c>
      <c r="E140" t="s">
        <v>46</v>
      </c>
      <c r="F140" t="s">
        <v>43</v>
      </c>
      <c r="G140">
        <v>1</v>
      </c>
      <c r="I140" s="11">
        <f t="shared" si="12"/>
        <v>45780</v>
      </c>
      <c r="J140" t="s">
        <v>44</v>
      </c>
      <c r="K140" t="str">
        <f t="shared" si="13"/>
        <v>/* MAYO        */ { nombre: "Adviento, Semana I, SÁBADO", archivo: "/ev/ta/1/sábado.mp3", fecha: `${year}-05-03` },</v>
      </c>
      <c r="L140" s="10">
        <f t="shared" si="14"/>
        <v>45780</v>
      </c>
    </row>
    <row r="141" spans="1:12" hidden="1" x14ac:dyDescent="0.25">
      <c r="A141" t="str" cm="1">
        <f t="array" ref="A141">_xlfn.IFS(E141="Adviento","ta", E141="Navidad","tn", E141="Epifania","te", E141="Ordinario","to", E141="Cuaresma","tc", E141="Domingo De Ramos","tc", E141="Semana Santa","ss", E141="Triduo Pascual","tp", E141="Vigilia Pascual","tp", E141="Pascual","tp")</f>
        <v>ta</v>
      </c>
      <c r="B141" s="14" t="str">
        <f t="shared" si="7"/>
        <v>/* MAYO        */</v>
      </c>
      <c r="C141" s="15">
        <f t="shared" si="10"/>
        <v>45781</v>
      </c>
      <c r="D141" s="9">
        <f t="shared" si="11"/>
        <v>45781</v>
      </c>
      <c r="E141" t="s">
        <v>46</v>
      </c>
      <c r="F141" t="s">
        <v>43</v>
      </c>
      <c r="G141">
        <v>1</v>
      </c>
      <c r="I141" s="11">
        <f t="shared" si="12"/>
        <v>45781</v>
      </c>
      <c r="J141" t="s">
        <v>44</v>
      </c>
      <c r="K141" t="str">
        <f t="shared" si="13"/>
        <v>/* MAYO        */ { nombre: "Adviento, Semana I, DOMINGO", archivo: "/ev/ta/1/domingo.mp3", fecha: `${year}-05-04` },</v>
      </c>
      <c r="L141" s="10">
        <f t="shared" si="14"/>
        <v>45781</v>
      </c>
    </row>
    <row r="142" spans="1:12" hidden="1" x14ac:dyDescent="0.25">
      <c r="A142" t="str" cm="1">
        <f t="array" ref="A142">_xlfn.IFS(E142="Adviento","ta", E142="Navidad","tn", E142="Epifania","te", E142="Ordinario","to", E142="Cuaresma","tc", E142="Domingo De Ramos","tc", E142="Semana Santa","ss", E142="Triduo Pascual","tp", E142="Vigilia Pascual","tp", E142="Pascual","tp")</f>
        <v>ta</v>
      </c>
      <c r="B142" s="14" t="str">
        <f t="shared" si="7"/>
        <v>/* MAYO        */</v>
      </c>
      <c r="C142" s="15">
        <f t="shared" si="10"/>
        <v>45782</v>
      </c>
      <c r="D142" s="9">
        <f t="shared" si="11"/>
        <v>45782</v>
      </c>
      <c r="E142" t="s">
        <v>46</v>
      </c>
      <c r="F142" t="s">
        <v>43</v>
      </c>
      <c r="G142">
        <v>1</v>
      </c>
      <c r="I142" s="11">
        <f t="shared" si="12"/>
        <v>45782</v>
      </c>
      <c r="J142" t="s">
        <v>44</v>
      </c>
      <c r="K142" t="str">
        <f t="shared" si="13"/>
        <v>/* MAYO        */ { nombre: "Adviento, Semana I, LUNES", archivo: "/ev/ta/1/lunes.mp3", fecha: `${year}-05-05` },</v>
      </c>
      <c r="L142" s="10">
        <f t="shared" si="14"/>
        <v>45782</v>
      </c>
    </row>
    <row r="143" spans="1:12" hidden="1" x14ac:dyDescent="0.25">
      <c r="A143" t="str" cm="1">
        <f t="array" ref="A143">_xlfn.IFS(E143="Adviento","ta", E143="Navidad","tn", E143="Epifania","te", E143="Ordinario","to", E143="Cuaresma","tc", E143="Domingo De Ramos","tc", E143="Semana Santa","ss", E143="Triduo Pascual","tp", E143="Vigilia Pascual","tp", E143="Pascual","tp")</f>
        <v>ta</v>
      </c>
      <c r="B143" s="14" t="str">
        <f t="shared" si="7"/>
        <v>/* MAYO        */</v>
      </c>
      <c r="C143" s="15">
        <f t="shared" si="10"/>
        <v>45783</v>
      </c>
      <c r="D143" s="9">
        <f t="shared" si="11"/>
        <v>45783</v>
      </c>
      <c r="E143" t="s">
        <v>46</v>
      </c>
      <c r="F143" t="s">
        <v>43</v>
      </c>
      <c r="G143">
        <v>1</v>
      </c>
      <c r="I143" s="11">
        <f t="shared" si="12"/>
        <v>45783</v>
      </c>
      <c r="J143" t="s">
        <v>44</v>
      </c>
      <c r="K143" t="str">
        <f t="shared" si="13"/>
        <v>/* MAYO        */ { nombre: "Adviento, Semana I, MARTES", archivo: "/ev/ta/1/martes.mp3", fecha: `${year}-05-06` },</v>
      </c>
      <c r="L143" s="10">
        <f t="shared" si="14"/>
        <v>45783</v>
      </c>
    </row>
    <row r="144" spans="1:12" hidden="1" x14ac:dyDescent="0.25">
      <c r="A144" t="str" cm="1">
        <f t="array" ref="A144">_xlfn.IFS(E144="Adviento","ta", E144="Navidad","tn", E144="Epifania","te", E144="Ordinario","to", E144="Cuaresma","tc", E144="Domingo De Ramos","tc", E144="Semana Santa","ss", E144="Triduo Pascual","tp", E144="Vigilia Pascual","tp", E144="Pascual","tp")</f>
        <v>ta</v>
      </c>
      <c r="B144" s="14" t="str">
        <f t="shared" si="7"/>
        <v>/* MAYO        */</v>
      </c>
      <c r="C144" s="15">
        <f t="shared" si="10"/>
        <v>45784</v>
      </c>
      <c r="D144" s="9">
        <f t="shared" si="11"/>
        <v>45784</v>
      </c>
      <c r="E144" t="s">
        <v>46</v>
      </c>
      <c r="F144" t="s">
        <v>43</v>
      </c>
      <c r="G144">
        <v>1</v>
      </c>
      <c r="I144" s="11">
        <f t="shared" si="12"/>
        <v>45784</v>
      </c>
      <c r="J144" t="s">
        <v>44</v>
      </c>
      <c r="K144" t="str">
        <f t="shared" si="13"/>
        <v>/* MAYO        */ { nombre: "Adviento, Semana I, MIÉRCOLES", archivo: "/ev/ta/1/miércoles.mp3", fecha: `${year}-05-07` },</v>
      </c>
      <c r="L144" s="10">
        <f t="shared" si="14"/>
        <v>45784</v>
      </c>
    </row>
    <row r="145" spans="1:12" hidden="1" x14ac:dyDescent="0.25">
      <c r="A145" t="str" cm="1">
        <f t="array" ref="A145">_xlfn.IFS(E145="Adviento","ta", E145="Navidad","tn", E145="Epifania","te", E145="Ordinario","to", E145="Cuaresma","tc", E145="Domingo De Ramos","tc", E145="Semana Santa","ss", E145="Triduo Pascual","tp", E145="Vigilia Pascual","tp", E145="Pascual","tp")</f>
        <v>ta</v>
      </c>
      <c r="B145" s="14" t="str">
        <f t="shared" si="7"/>
        <v>/* MAYO        */</v>
      </c>
      <c r="C145" s="15">
        <f t="shared" si="10"/>
        <v>45785</v>
      </c>
      <c r="D145" s="9">
        <f t="shared" si="11"/>
        <v>45785</v>
      </c>
      <c r="E145" t="s">
        <v>46</v>
      </c>
      <c r="F145" t="s">
        <v>43</v>
      </c>
      <c r="G145">
        <v>1</v>
      </c>
      <c r="I145" s="11">
        <f t="shared" si="12"/>
        <v>45785</v>
      </c>
      <c r="J145" t="s">
        <v>44</v>
      </c>
      <c r="K145" t="str">
        <f t="shared" si="13"/>
        <v>/* MAYO        */ { nombre: "Adviento, Semana I, JUEVES", archivo: "/ev/ta/1/jueves.mp3", fecha: `${year}-05-08` },</v>
      </c>
      <c r="L145" s="10">
        <f t="shared" si="14"/>
        <v>45785</v>
      </c>
    </row>
    <row r="146" spans="1:12" hidden="1" x14ac:dyDescent="0.25">
      <c r="A146" t="str" cm="1">
        <f t="array" ref="A146">_xlfn.IFS(E146="Adviento","ta", E146="Navidad","tn", E146="Epifania","te", E146="Ordinario","to", E146="Cuaresma","tc", E146="Domingo De Ramos","tc", E146="Semana Santa","ss", E146="Triduo Pascual","tp", E146="Vigilia Pascual","tp", E146="Pascual","tp")</f>
        <v>ta</v>
      </c>
      <c r="B146" s="14" t="str">
        <f t="shared" si="7"/>
        <v>/* MAYO        */</v>
      </c>
      <c r="C146" s="15">
        <f t="shared" si="10"/>
        <v>45786</v>
      </c>
      <c r="D146" s="9">
        <f t="shared" si="11"/>
        <v>45786</v>
      </c>
      <c r="E146" t="s">
        <v>46</v>
      </c>
      <c r="F146" t="s">
        <v>43</v>
      </c>
      <c r="G146">
        <v>1</v>
      </c>
      <c r="I146" s="11">
        <f t="shared" si="12"/>
        <v>45786</v>
      </c>
      <c r="J146" t="s">
        <v>44</v>
      </c>
      <c r="K146" t="str">
        <f t="shared" si="13"/>
        <v>/* MAYO        */ { nombre: "Adviento, Semana I, VIERNES", archivo: "/ev/ta/1/viernes.mp3", fecha: `${year}-05-09` },</v>
      </c>
      <c r="L146" s="10">
        <f t="shared" si="14"/>
        <v>45786</v>
      </c>
    </row>
    <row r="147" spans="1:12" hidden="1" x14ac:dyDescent="0.25">
      <c r="A147" t="str" cm="1">
        <f t="array" ref="A147">_xlfn.IFS(E147="Adviento","ta", E147="Navidad","tn", E147="Epifania","te", E147="Ordinario","to", E147="Cuaresma","tc", E147="Domingo De Ramos","tc", E147="Semana Santa","ss", E147="Triduo Pascual","tp", E147="Vigilia Pascual","tp", E147="Pascual","tp")</f>
        <v>ta</v>
      </c>
      <c r="B147" s="14" t="str">
        <f t="shared" si="7"/>
        <v>/* MAYO        */</v>
      </c>
      <c r="C147" s="15">
        <f t="shared" si="10"/>
        <v>45787</v>
      </c>
      <c r="D147" s="9">
        <f t="shared" si="11"/>
        <v>45787</v>
      </c>
      <c r="E147" t="s">
        <v>46</v>
      </c>
      <c r="F147" t="s">
        <v>43</v>
      </c>
      <c r="G147">
        <v>1</v>
      </c>
      <c r="I147" s="11">
        <f t="shared" si="12"/>
        <v>45787</v>
      </c>
      <c r="J147" t="s">
        <v>44</v>
      </c>
      <c r="K147" t="str">
        <f t="shared" si="13"/>
        <v>/* MAYO        */ { nombre: "Adviento, Semana I, SÁBADO", archivo: "/ev/ta/1/sábado.mp3", fecha: `${year}-05-10` },</v>
      </c>
      <c r="L147" s="10">
        <f t="shared" si="14"/>
        <v>45787</v>
      </c>
    </row>
    <row r="148" spans="1:12" hidden="1" x14ac:dyDescent="0.25">
      <c r="A148" t="str" cm="1">
        <f t="array" ref="A148">_xlfn.IFS(E148="Adviento","ta", E148="Navidad","tn", E148="Epifania","te", E148="Ordinario","to", E148="Cuaresma","tc", E148="Domingo De Ramos","tc", E148="Semana Santa","ss", E148="Triduo Pascual","tp", E148="Vigilia Pascual","tp", E148="Pascual","tp")</f>
        <v>ta</v>
      </c>
      <c r="B148" s="14" t="str">
        <f t="shared" si="7"/>
        <v>/* MAYO        */</v>
      </c>
      <c r="C148" s="15">
        <f t="shared" si="10"/>
        <v>45788</v>
      </c>
      <c r="D148" s="9">
        <f t="shared" si="11"/>
        <v>45788</v>
      </c>
      <c r="E148" t="s">
        <v>46</v>
      </c>
      <c r="F148" t="s">
        <v>43</v>
      </c>
      <c r="G148">
        <v>1</v>
      </c>
      <c r="I148" s="11">
        <f t="shared" si="12"/>
        <v>45788</v>
      </c>
      <c r="J148" t="s">
        <v>44</v>
      </c>
      <c r="K148" t="str">
        <f t="shared" si="13"/>
        <v>/* MAYO        */ { nombre: "Adviento, Semana I, DOMINGO", archivo: "/ev/ta/1/domingo.mp3", fecha: `${year}-05-11` },</v>
      </c>
      <c r="L148" s="10">
        <f t="shared" si="14"/>
        <v>45788</v>
      </c>
    </row>
    <row r="149" spans="1:12" hidden="1" x14ac:dyDescent="0.25">
      <c r="A149" t="str" cm="1">
        <f t="array" ref="A149">_xlfn.IFS(E149="Adviento","ta", E149="Navidad","tn", E149="Epifania","te", E149="Ordinario","to", E149="Cuaresma","tc", E149="Domingo De Ramos","tc", E149="Semana Santa","ss", E149="Triduo Pascual","tp", E149="Vigilia Pascual","tp", E149="Pascual","tp")</f>
        <v>ta</v>
      </c>
      <c r="B149" s="14" t="str">
        <f t="shared" si="7"/>
        <v>/* MAYO        */</v>
      </c>
      <c r="C149" s="15">
        <f t="shared" ref="C149:C212" si="15">+C148+1</f>
        <v>45789</v>
      </c>
      <c r="D149" s="9">
        <f t="shared" ref="D149:D212" si="16">+D148+1</f>
        <v>45789</v>
      </c>
      <c r="E149" t="s">
        <v>46</v>
      </c>
      <c r="F149" t="s">
        <v>43</v>
      </c>
      <c r="G149">
        <v>1</v>
      </c>
      <c r="I149" s="11">
        <f t="shared" ref="I149:I212" si="17">D149</f>
        <v>45789</v>
      </c>
      <c r="J149" t="s">
        <v>44</v>
      </c>
      <c r="K149" t="str">
        <f t="shared" ref="K149:K212" si="18">_xlfn.CONCAT(B149, " ", "{ nombre: ", CHAR(34), E149, ", ", F149, " ", ROMAN(G149),H149, ", ", UPPER(TEXT(D149, "[$-es-ES]dddd")), CHAR(34), ", archivo: ", CHAR(34), "/ev/", _xlfn.IFS(E149="Adviento","ta", E149="Navidad","tn", E149="Epifania","te", E149="Ordinario","to", E149="Cuaresma","tc", E149="Domingo De Ramos","tc", E149="Semana Santa","ss", E149="Triduo Pascual","tp", E149="Vigilia Pascual","tp", E149="Pascual","tp"), "/", G149, "/", TEXT(D149, "[$-es-ES]dddd"), ".mp3", CHAR(34), ", fecha: `${year}-", TEXT(D149, "mm-dd"), "` },")</f>
        <v>/* MAYO        */ { nombre: "Adviento, Semana I, LUNES", archivo: "/ev/ta/1/lunes.mp3", fecha: `${year}-05-12` },</v>
      </c>
      <c r="L149" s="10">
        <f t="shared" ref="L149:L212" si="19">D149</f>
        <v>45789</v>
      </c>
    </row>
    <row r="150" spans="1:12" hidden="1" x14ac:dyDescent="0.25">
      <c r="A150" t="str" cm="1">
        <f t="array" ref="A150">_xlfn.IFS(E150="Adviento","ta", E150="Navidad","tn", E150="Epifania","te", E150="Ordinario","to", E150="Cuaresma","tc", E150="Domingo De Ramos","tc", E150="Semana Santa","ss", E150="Triduo Pascual","tp", E150="Vigilia Pascual","tp", E150="Pascual","tp")</f>
        <v>ta</v>
      </c>
      <c r="B150" s="14" t="str">
        <f t="shared" ref="B150:B213" si="20">_xlfn.CONCAT("/* ",UPPER(TEXT(D150,"[$-es-ES]mmmm")),"        */")</f>
        <v>/* MAYO        */</v>
      </c>
      <c r="C150" s="15">
        <f t="shared" si="15"/>
        <v>45790</v>
      </c>
      <c r="D150" s="9">
        <f t="shared" si="16"/>
        <v>45790</v>
      </c>
      <c r="E150" t="s">
        <v>46</v>
      </c>
      <c r="F150" t="s">
        <v>43</v>
      </c>
      <c r="G150">
        <v>1</v>
      </c>
      <c r="I150" s="11">
        <f t="shared" si="17"/>
        <v>45790</v>
      </c>
      <c r="J150" t="s">
        <v>44</v>
      </c>
      <c r="K150" t="str">
        <f t="shared" si="18"/>
        <v>/* MAYO        */ { nombre: "Adviento, Semana I, MARTES", archivo: "/ev/ta/1/martes.mp3", fecha: `${year}-05-13` },</v>
      </c>
      <c r="L150" s="10">
        <f t="shared" si="19"/>
        <v>45790</v>
      </c>
    </row>
    <row r="151" spans="1:12" hidden="1" x14ac:dyDescent="0.25">
      <c r="A151" t="str" cm="1">
        <f t="array" ref="A151">_xlfn.IFS(E151="Adviento","ta", E151="Navidad","tn", E151="Epifania","te", E151="Ordinario","to", E151="Cuaresma","tc", E151="Domingo De Ramos","tc", E151="Semana Santa","ss", E151="Triduo Pascual","tp", E151="Vigilia Pascual","tp", E151="Pascual","tp")</f>
        <v>ta</v>
      </c>
      <c r="B151" s="14" t="str">
        <f t="shared" si="20"/>
        <v>/* MAYO        */</v>
      </c>
      <c r="C151" s="15">
        <f t="shared" si="15"/>
        <v>45791</v>
      </c>
      <c r="D151" s="9">
        <f t="shared" si="16"/>
        <v>45791</v>
      </c>
      <c r="E151" t="s">
        <v>46</v>
      </c>
      <c r="F151" t="s">
        <v>43</v>
      </c>
      <c r="G151">
        <v>1</v>
      </c>
      <c r="I151" s="11">
        <f t="shared" si="17"/>
        <v>45791</v>
      </c>
      <c r="J151" t="s">
        <v>44</v>
      </c>
      <c r="K151" t="str">
        <f t="shared" si="18"/>
        <v>/* MAYO        */ { nombre: "Adviento, Semana I, MIÉRCOLES", archivo: "/ev/ta/1/miércoles.mp3", fecha: `${year}-05-14` },</v>
      </c>
      <c r="L151" s="10">
        <f t="shared" si="19"/>
        <v>45791</v>
      </c>
    </row>
    <row r="152" spans="1:12" hidden="1" x14ac:dyDescent="0.25">
      <c r="A152" t="str" cm="1">
        <f t="array" ref="A152">_xlfn.IFS(E152="Adviento","ta", E152="Navidad","tn", E152="Epifania","te", E152="Ordinario","to", E152="Cuaresma","tc", E152="Domingo De Ramos","tc", E152="Semana Santa","ss", E152="Triduo Pascual","tp", E152="Vigilia Pascual","tp", E152="Pascual","tp")</f>
        <v>ta</v>
      </c>
      <c r="B152" s="14" t="str">
        <f t="shared" si="20"/>
        <v>/* MAYO        */</v>
      </c>
      <c r="C152" s="15">
        <f t="shared" si="15"/>
        <v>45792</v>
      </c>
      <c r="D152" s="9">
        <f t="shared" si="16"/>
        <v>45792</v>
      </c>
      <c r="E152" t="s">
        <v>46</v>
      </c>
      <c r="F152" t="s">
        <v>43</v>
      </c>
      <c r="G152">
        <v>1</v>
      </c>
      <c r="I152" s="11">
        <f t="shared" si="17"/>
        <v>45792</v>
      </c>
      <c r="J152" t="s">
        <v>44</v>
      </c>
      <c r="K152" t="str">
        <f t="shared" si="18"/>
        <v>/* MAYO        */ { nombre: "Adviento, Semana I, JUEVES", archivo: "/ev/ta/1/jueves.mp3", fecha: `${year}-05-15` },</v>
      </c>
      <c r="L152" s="10">
        <f t="shared" si="19"/>
        <v>45792</v>
      </c>
    </row>
    <row r="153" spans="1:12" hidden="1" x14ac:dyDescent="0.25">
      <c r="A153" t="str" cm="1">
        <f t="array" ref="A153">_xlfn.IFS(E153="Adviento","ta", E153="Navidad","tn", E153="Epifania","te", E153="Ordinario","to", E153="Cuaresma","tc", E153="Domingo De Ramos","tc", E153="Semana Santa","ss", E153="Triduo Pascual","tp", E153="Vigilia Pascual","tp", E153="Pascual","tp")</f>
        <v>ta</v>
      </c>
      <c r="B153" s="14" t="str">
        <f t="shared" si="20"/>
        <v>/* MAYO        */</v>
      </c>
      <c r="C153" s="15">
        <f t="shared" si="15"/>
        <v>45793</v>
      </c>
      <c r="D153" s="9">
        <f t="shared" si="16"/>
        <v>45793</v>
      </c>
      <c r="E153" t="s">
        <v>46</v>
      </c>
      <c r="F153" t="s">
        <v>43</v>
      </c>
      <c r="G153">
        <v>1</v>
      </c>
      <c r="I153" s="11">
        <f t="shared" si="17"/>
        <v>45793</v>
      </c>
      <c r="J153" t="s">
        <v>44</v>
      </c>
      <c r="K153" t="str">
        <f t="shared" si="18"/>
        <v>/* MAYO        */ { nombre: "Adviento, Semana I, VIERNES", archivo: "/ev/ta/1/viernes.mp3", fecha: `${year}-05-16` },</v>
      </c>
      <c r="L153" s="10">
        <f t="shared" si="19"/>
        <v>45793</v>
      </c>
    </row>
    <row r="154" spans="1:12" hidden="1" x14ac:dyDescent="0.25">
      <c r="A154" t="str" cm="1">
        <f t="array" ref="A154">_xlfn.IFS(E154="Adviento","ta", E154="Navidad","tn", E154="Epifania","te", E154="Ordinario","to", E154="Cuaresma","tc", E154="Domingo De Ramos","tc", E154="Semana Santa","ss", E154="Triduo Pascual","tp", E154="Vigilia Pascual","tp", E154="Pascual","tp")</f>
        <v>ta</v>
      </c>
      <c r="B154" s="14" t="str">
        <f t="shared" si="20"/>
        <v>/* MAYO        */</v>
      </c>
      <c r="C154" s="15">
        <f t="shared" si="15"/>
        <v>45794</v>
      </c>
      <c r="D154" s="9">
        <f t="shared" si="16"/>
        <v>45794</v>
      </c>
      <c r="E154" t="s">
        <v>46</v>
      </c>
      <c r="F154" t="s">
        <v>43</v>
      </c>
      <c r="G154">
        <v>1</v>
      </c>
      <c r="I154" s="11">
        <f t="shared" si="17"/>
        <v>45794</v>
      </c>
      <c r="J154" t="s">
        <v>44</v>
      </c>
      <c r="K154" t="str">
        <f t="shared" si="18"/>
        <v>/* MAYO        */ { nombre: "Adviento, Semana I, SÁBADO", archivo: "/ev/ta/1/sábado.mp3", fecha: `${year}-05-17` },</v>
      </c>
      <c r="L154" s="10">
        <f t="shared" si="19"/>
        <v>45794</v>
      </c>
    </row>
    <row r="155" spans="1:12" hidden="1" x14ac:dyDescent="0.25">
      <c r="A155" t="str" cm="1">
        <f t="array" ref="A155">_xlfn.IFS(E155="Adviento","ta", E155="Navidad","tn", E155="Epifania","te", E155="Ordinario","to", E155="Cuaresma","tc", E155="Domingo De Ramos","tc", E155="Semana Santa","ss", E155="Triduo Pascual","tp", E155="Vigilia Pascual","tp", E155="Pascual","tp")</f>
        <v>ta</v>
      </c>
      <c r="B155" s="14" t="str">
        <f t="shared" si="20"/>
        <v>/* MAYO        */</v>
      </c>
      <c r="C155" s="15">
        <f t="shared" si="15"/>
        <v>45795</v>
      </c>
      <c r="D155" s="9">
        <f t="shared" si="16"/>
        <v>45795</v>
      </c>
      <c r="E155" t="s">
        <v>46</v>
      </c>
      <c r="F155" t="s">
        <v>43</v>
      </c>
      <c r="G155">
        <v>1</v>
      </c>
      <c r="I155" s="11">
        <f t="shared" si="17"/>
        <v>45795</v>
      </c>
      <c r="J155" t="s">
        <v>44</v>
      </c>
      <c r="K155" t="str">
        <f t="shared" si="18"/>
        <v>/* MAYO        */ { nombre: "Adviento, Semana I, DOMINGO", archivo: "/ev/ta/1/domingo.mp3", fecha: `${year}-05-18` },</v>
      </c>
      <c r="L155" s="10">
        <f t="shared" si="19"/>
        <v>45795</v>
      </c>
    </row>
    <row r="156" spans="1:12" hidden="1" x14ac:dyDescent="0.25">
      <c r="A156" t="str" cm="1">
        <f t="array" ref="A156">_xlfn.IFS(E156="Adviento","ta", E156="Navidad","tn", E156="Epifania","te", E156="Ordinario","to", E156="Cuaresma","tc", E156="Domingo De Ramos","tc", E156="Semana Santa","ss", E156="Triduo Pascual","tp", E156="Vigilia Pascual","tp", E156="Pascual","tp")</f>
        <v>ta</v>
      </c>
      <c r="B156" s="14" t="str">
        <f t="shared" si="20"/>
        <v>/* MAYO        */</v>
      </c>
      <c r="C156" s="15">
        <f t="shared" si="15"/>
        <v>45796</v>
      </c>
      <c r="D156" s="9">
        <f t="shared" si="16"/>
        <v>45796</v>
      </c>
      <c r="E156" t="s">
        <v>46</v>
      </c>
      <c r="F156" t="s">
        <v>43</v>
      </c>
      <c r="G156">
        <v>1</v>
      </c>
      <c r="I156" s="11">
        <f t="shared" si="17"/>
        <v>45796</v>
      </c>
      <c r="J156" t="s">
        <v>44</v>
      </c>
      <c r="K156" t="str">
        <f t="shared" si="18"/>
        <v>/* MAYO        */ { nombre: "Adviento, Semana I, LUNES", archivo: "/ev/ta/1/lunes.mp3", fecha: `${year}-05-19` },</v>
      </c>
      <c r="L156" s="10">
        <f t="shared" si="19"/>
        <v>45796</v>
      </c>
    </row>
    <row r="157" spans="1:12" hidden="1" x14ac:dyDescent="0.25">
      <c r="A157" t="str" cm="1">
        <f t="array" ref="A157">_xlfn.IFS(E157="Adviento","ta", E157="Navidad","tn", E157="Epifania","te", E157="Ordinario","to", E157="Cuaresma","tc", E157="Domingo De Ramos","tc", E157="Semana Santa","ss", E157="Triduo Pascual","tp", E157="Vigilia Pascual","tp", E157="Pascual","tp")</f>
        <v>ta</v>
      </c>
      <c r="B157" s="14" t="str">
        <f t="shared" si="20"/>
        <v>/* MAYO        */</v>
      </c>
      <c r="C157" s="15">
        <f t="shared" si="15"/>
        <v>45797</v>
      </c>
      <c r="D157" s="9">
        <f t="shared" si="16"/>
        <v>45797</v>
      </c>
      <c r="E157" t="s">
        <v>46</v>
      </c>
      <c r="F157" t="s">
        <v>43</v>
      </c>
      <c r="G157">
        <v>1</v>
      </c>
      <c r="I157" s="11">
        <f t="shared" si="17"/>
        <v>45797</v>
      </c>
      <c r="J157" t="s">
        <v>44</v>
      </c>
      <c r="K157" t="str">
        <f t="shared" si="18"/>
        <v>/* MAYO        */ { nombre: "Adviento, Semana I, MARTES", archivo: "/ev/ta/1/martes.mp3", fecha: `${year}-05-20` },</v>
      </c>
      <c r="L157" s="10">
        <f t="shared" si="19"/>
        <v>45797</v>
      </c>
    </row>
    <row r="158" spans="1:12" hidden="1" x14ac:dyDescent="0.25">
      <c r="A158" t="str" cm="1">
        <f t="array" ref="A158">_xlfn.IFS(E158="Adviento","ta", E158="Navidad","tn", E158="Epifania","te", E158="Ordinario","to", E158="Cuaresma","tc", E158="Domingo De Ramos","tc", E158="Semana Santa","ss", E158="Triduo Pascual","tp", E158="Vigilia Pascual","tp", E158="Pascual","tp")</f>
        <v>ta</v>
      </c>
      <c r="B158" s="14" t="str">
        <f t="shared" si="20"/>
        <v>/* MAYO        */</v>
      </c>
      <c r="C158" s="15">
        <f t="shared" si="15"/>
        <v>45798</v>
      </c>
      <c r="D158" s="9">
        <f t="shared" si="16"/>
        <v>45798</v>
      </c>
      <c r="E158" t="s">
        <v>46</v>
      </c>
      <c r="F158" t="s">
        <v>43</v>
      </c>
      <c r="G158">
        <v>1</v>
      </c>
      <c r="I158" s="11">
        <f t="shared" si="17"/>
        <v>45798</v>
      </c>
      <c r="J158" t="s">
        <v>44</v>
      </c>
      <c r="K158" t="str">
        <f t="shared" si="18"/>
        <v>/* MAYO        */ { nombre: "Adviento, Semana I, MIÉRCOLES", archivo: "/ev/ta/1/miércoles.mp3", fecha: `${year}-05-21` },</v>
      </c>
      <c r="L158" s="10">
        <f t="shared" si="19"/>
        <v>45798</v>
      </c>
    </row>
    <row r="159" spans="1:12" hidden="1" x14ac:dyDescent="0.25">
      <c r="A159" t="str" cm="1">
        <f t="array" ref="A159">_xlfn.IFS(E159="Adviento","ta", E159="Navidad","tn", E159="Epifania","te", E159="Ordinario","to", E159="Cuaresma","tc", E159="Domingo De Ramos","tc", E159="Semana Santa","ss", E159="Triduo Pascual","tp", E159="Vigilia Pascual","tp", E159="Pascual","tp")</f>
        <v>ta</v>
      </c>
      <c r="B159" s="14" t="str">
        <f t="shared" si="20"/>
        <v>/* MAYO        */</v>
      </c>
      <c r="C159" s="15">
        <f t="shared" si="15"/>
        <v>45799</v>
      </c>
      <c r="D159" s="9">
        <f t="shared" si="16"/>
        <v>45799</v>
      </c>
      <c r="E159" t="s">
        <v>46</v>
      </c>
      <c r="F159" t="s">
        <v>43</v>
      </c>
      <c r="G159">
        <v>1</v>
      </c>
      <c r="I159" s="11">
        <f t="shared" si="17"/>
        <v>45799</v>
      </c>
      <c r="J159" t="s">
        <v>44</v>
      </c>
      <c r="K159" t="str">
        <f t="shared" si="18"/>
        <v>/* MAYO        */ { nombre: "Adviento, Semana I, JUEVES", archivo: "/ev/ta/1/jueves.mp3", fecha: `${year}-05-22` },</v>
      </c>
      <c r="L159" s="10">
        <f t="shared" si="19"/>
        <v>45799</v>
      </c>
    </row>
    <row r="160" spans="1:12" hidden="1" x14ac:dyDescent="0.25">
      <c r="A160" t="str" cm="1">
        <f t="array" ref="A160">_xlfn.IFS(E160="Adviento","ta", E160="Navidad","tn", E160="Epifania","te", E160="Ordinario","to", E160="Cuaresma","tc", E160="Domingo De Ramos","tc", E160="Semana Santa","ss", E160="Triduo Pascual","tp", E160="Vigilia Pascual","tp", E160="Pascual","tp")</f>
        <v>ta</v>
      </c>
      <c r="B160" s="14" t="str">
        <f t="shared" si="20"/>
        <v>/* MAYO        */</v>
      </c>
      <c r="C160" s="15">
        <f t="shared" si="15"/>
        <v>45800</v>
      </c>
      <c r="D160" s="9">
        <f t="shared" si="16"/>
        <v>45800</v>
      </c>
      <c r="E160" t="s">
        <v>46</v>
      </c>
      <c r="F160" t="s">
        <v>43</v>
      </c>
      <c r="G160">
        <v>1</v>
      </c>
      <c r="I160" s="11">
        <f t="shared" si="17"/>
        <v>45800</v>
      </c>
      <c r="J160" t="s">
        <v>44</v>
      </c>
      <c r="K160" t="str">
        <f t="shared" si="18"/>
        <v>/* MAYO        */ { nombre: "Adviento, Semana I, VIERNES", archivo: "/ev/ta/1/viernes.mp3", fecha: `${year}-05-23` },</v>
      </c>
      <c r="L160" s="10">
        <f t="shared" si="19"/>
        <v>45800</v>
      </c>
    </row>
    <row r="161" spans="1:12" hidden="1" x14ac:dyDescent="0.25">
      <c r="A161" t="str" cm="1">
        <f t="array" ref="A161">_xlfn.IFS(E161="Adviento","ta", E161="Navidad","tn", E161="Epifania","te", E161="Ordinario","to", E161="Cuaresma","tc", E161="Domingo De Ramos","tc", E161="Semana Santa","ss", E161="Triduo Pascual","tp", E161="Vigilia Pascual","tp", E161="Pascual","tp")</f>
        <v>ta</v>
      </c>
      <c r="B161" s="14" t="str">
        <f t="shared" si="20"/>
        <v>/* MAYO        */</v>
      </c>
      <c r="C161" s="15">
        <f t="shared" si="15"/>
        <v>45801</v>
      </c>
      <c r="D161" s="9">
        <f t="shared" si="16"/>
        <v>45801</v>
      </c>
      <c r="E161" t="s">
        <v>46</v>
      </c>
      <c r="F161" t="s">
        <v>43</v>
      </c>
      <c r="G161">
        <v>1</v>
      </c>
      <c r="I161" s="11">
        <f t="shared" si="17"/>
        <v>45801</v>
      </c>
      <c r="J161" t="s">
        <v>44</v>
      </c>
      <c r="K161" t="str">
        <f t="shared" si="18"/>
        <v>/* MAYO        */ { nombre: "Adviento, Semana I, SÁBADO", archivo: "/ev/ta/1/sábado.mp3", fecha: `${year}-05-24` },</v>
      </c>
      <c r="L161" s="10">
        <f t="shared" si="19"/>
        <v>45801</v>
      </c>
    </row>
    <row r="162" spans="1:12" hidden="1" x14ac:dyDescent="0.25">
      <c r="A162" t="str" cm="1">
        <f t="array" ref="A162">_xlfn.IFS(E162="Adviento","ta", E162="Navidad","tn", E162="Epifania","te", E162="Ordinario","to", E162="Cuaresma","tc", E162="Domingo De Ramos","tc", E162="Semana Santa","ss", E162="Triduo Pascual","tp", E162="Vigilia Pascual","tp", E162="Pascual","tp")</f>
        <v>ta</v>
      </c>
      <c r="B162" s="14" t="str">
        <f t="shared" si="20"/>
        <v>/* MAYO        */</v>
      </c>
      <c r="C162" s="15">
        <f t="shared" si="15"/>
        <v>45802</v>
      </c>
      <c r="D162" s="9">
        <f t="shared" si="16"/>
        <v>45802</v>
      </c>
      <c r="E162" t="s">
        <v>46</v>
      </c>
      <c r="F162" t="s">
        <v>43</v>
      </c>
      <c r="G162">
        <v>1</v>
      </c>
      <c r="I162" s="11">
        <f t="shared" si="17"/>
        <v>45802</v>
      </c>
      <c r="J162" t="s">
        <v>44</v>
      </c>
      <c r="K162" t="str">
        <f t="shared" si="18"/>
        <v>/* MAYO        */ { nombre: "Adviento, Semana I, DOMINGO", archivo: "/ev/ta/1/domingo.mp3", fecha: `${year}-05-25` },</v>
      </c>
      <c r="L162" s="10">
        <f t="shared" si="19"/>
        <v>45802</v>
      </c>
    </row>
    <row r="163" spans="1:12" hidden="1" x14ac:dyDescent="0.25">
      <c r="A163" t="str" cm="1">
        <f t="array" ref="A163">_xlfn.IFS(E163="Adviento","ta", E163="Navidad","tn", E163="Epifania","te", E163="Ordinario","to", E163="Cuaresma","tc", E163="Domingo De Ramos","tc", E163="Semana Santa","ss", E163="Triduo Pascual","tp", E163="Vigilia Pascual","tp", E163="Pascual","tp")</f>
        <v>ta</v>
      </c>
      <c r="B163" s="14" t="str">
        <f t="shared" si="20"/>
        <v>/* MAYO        */</v>
      </c>
      <c r="C163" s="15">
        <f t="shared" si="15"/>
        <v>45803</v>
      </c>
      <c r="D163" s="9">
        <f t="shared" si="16"/>
        <v>45803</v>
      </c>
      <c r="E163" t="s">
        <v>46</v>
      </c>
      <c r="F163" t="s">
        <v>43</v>
      </c>
      <c r="G163">
        <v>1</v>
      </c>
      <c r="I163" s="11">
        <f t="shared" si="17"/>
        <v>45803</v>
      </c>
      <c r="J163" t="s">
        <v>44</v>
      </c>
      <c r="K163" t="str">
        <f t="shared" si="18"/>
        <v>/* MAYO        */ { nombre: "Adviento, Semana I, LUNES", archivo: "/ev/ta/1/lunes.mp3", fecha: `${year}-05-26` },</v>
      </c>
      <c r="L163" s="10">
        <f t="shared" si="19"/>
        <v>45803</v>
      </c>
    </row>
    <row r="164" spans="1:12" hidden="1" x14ac:dyDescent="0.25">
      <c r="A164" t="str" cm="1">
        <f t="array" ref="A164">_xlfn.IFS(E164="Adviento","ta", E164="Navidad","tn", E164="Epifania","te", E164="Ordinario","to", E164="Cuaresma","tc", E164="Domingo De Ramos","tc", E164="Semana Santa","ss", E164="Triduo Pascual","tp", E164="Vigilia Pascual","tp", E164="Pascual","tp")</f>
        <v>ta</v>
      </c>
      <c r="B164" s="14" t="str">
        <f t="shared" si="20"/>
        <v>/* MAYO        */</v>
      </c>
      <c r="C164" s="15">
        <f t="shared" si="15"/>
        <v>45804</v>
      </c>
      <c r="D164" s="9">
        <f t="shared" si="16"/>
        <v>45804</v>
      </c>
      <c r="E164" t="s">
        <v>46</v>
      </c>
      <c r="F164" t="s">
        <v>43</v>
      </c>
      <c r="G164">
        <v>1</v>
      </c>
      <c r="I164" s="11">
        <f t="shared" si="17"/>
        <v>45804</v>
      </c>
      <c r="J164" t="s">
        <v>44</v>
      </c>
      <c r="K164" t="str">
        <f t="shared" si="18"/>
        <v>/* MAYO        */ { nombre: "Adviento, Semana I, MARTES", archivo: "/ev/ta/1/martes.mp3", fecha: `${year}-05-27` },</v>
      </c>
      <c r="L164" s="10">
        <f t="shared" si="19"/>
        <v>45804</v>
      </c>
    </row>
    <row r="165" spans="1:12" hidden="1" x14ac:dyDescent="0.25">
      <c r="A165" t="str" cm="1">
        <f t="array" ref="A165">_xlfn.IFS(E165="Adviento","ta", E165="Navidad","tn", E165="Epifania","te", E165="Ordinario","to", E165="Cuaresma","tc", E165="Domingo De Ramos","tc", E165="Semana Santa","ss", E165="Triduo Pascual","tp", E165="Vigilia Pascual","tp", E165="Pascual","tp")</f>
        <v>ta</v>
      </c>
      <c r="B165" s="14" t="str">
        <f t="shared" si="20"/>
        <v>/* MAYO        */</v>
      </c>
      <c r="C165" s="15">
        <f t="shared" si="15"/>
        <v>45805</v>
      </c>
      <c r="D165" s="9">
        <f t="shared" si="16"/>
        <v>45805</v>
      </c>
      <c r="E165" t="s">
        <v>46</v>
      </c>
      <c r="F165" t="s">
        <v>43</v>
      </c>
      <c r="G165">
        <v>1</v>
      </c>
      <c r="I165" s="11">
        <f t="shared" si="17"/>
        <v>45805</v>
      </c>
      <c r="J165" t="s">
        <v>44</v>
      </c>
      <c r="K165" t="str">
        <f t="shared" si="18"/>
        <v>/* MAYO        */ { nombre: "Adviento, Semana I, MIÉRCOLES", archivo: "/ev/ta/1/miércoles.mp3", fecha: `${year}-05-28` },</v>
      </c>
      <c r="L165" s="10">
        <f t="shared" si="19"/>
        <v>45805</v>
      </c>
    </row>
    <row r="166" spans="1:12" hidden="1" x14ac:dyDescent="0.25">
      <c r="A166" t="str" cm="1">
        <f t="array" ref="A166">_xlfn.IFS(E166="Adviento","ta", E166="Navidad","tn", E166="Epifania","te", E166="Ordinario","to", E166="Cuaresma","tc", E166="Domingo De Ramos","tc", E166="Semana Santa","ss", E166="Triduo Pascual","tp", E166="Vigilia Pascual","tp", E166="Pascual","tp")</f>
        <v>ta</v>
      </c>
      <c r="B166" s="14" t="str">
        <f t="shared" si="20"/>
        <v>/* MAYO        */</v>
      </c>
      <c r="C166" s="15">
        <f t="shared" si="15"/>
        <v>45806</v>
      </c>
      <c r="D166" s="9">
        <f t="shared" si="16"/>
        <v>45806</v>
      </c>
      <c r="E166" t="s">
        <v>46</v>
      </c>
      <c r="F166" t="s">
        <v>43</v>
      </c>
      <c r="G166">
        <v>1</v>
      </c>
      <c r="I166" s="11">
        <f t="shared" si="17"/>
        <v>45806</v>
      </c>
      <c r="J166" t="s">
        <v>44</v>
      </c>
      <c r="K166" t="str">
        <f t="shared" si="18"/>
        <v>/* MAYO        */ { nombre: "Adviento, Semana I, JUEVES", archivo: "/ev/ta/1/jueves.mp3", fecha: `${year}-05-29` },</v>
      </c>
      <c r="L166" s="10">
        <f t="shared" si="19"/>
        <v>45806</v>
      </c>
    </row>
    <row r="167" spans="1:12" hidden="1" x14ac:dyDescent="0.25">
      <c r="A167" t="str" cm="1">
        <f t="array" ref="A167">_xlfn.IFS(E167="Adviento","ta", E167="Navidad","tn", E167="Epifania","te", E167="Ordinario","to", E167="Cuaresma","tc", E167="Domingo De Ramos","tc", E167="Semana Santa","ss", E167="Triduo Pascual","tp", E167="Vigilia Pascual","tp", E167="Pascual","tp")</f>
        <v>ta</v>
      </c>
      <c r="B167" s="14" t="str">
        <f t="shared" si="20"/>
        <v>/* MAYO        */</v>
      </c>
      <c r="C167" s="15">
        <f t="shared" si="15"/>
        <v>45807</v>
      </c>
      <c r="D167" s="9">
        <f t="shared" si="16"/>
        <v>45807</v>
      </c>
      <c r="E167" t="s">
        <v>46</v>
      </c>
      <c r="F167" t="s">
        <v>43</v>
      </c>
      <c r="G167">
        <v>1</v>
      </c>
      <c r="I167" s="11">
        <f t="shared" si="17"/>
        <v>45807</v>
      </c>
      <c r="J167" t="s">
        <v>44</v>
      </c>
      <c r="K167" t="str">
        <f t="shared" si="18"/>
        <v>/* MAYO        */ { nombre: "Adviento, Semana I, VIERNES", archivo: "/ev/ta/1/viernes.mp3", fecha: `${year}-05-30` },</v>
      </c>
      <c r="L167" s="10">
        <f t="shared" si="19"/>
        <v>45807</v>
      </c>
    </row>
    <row r="168" spans="1:12" hidden="1" x14ac:dyDescent="0.25">
      <c r="A168" t="str" cm="1">
        <f t="array" ref="A168">_xlfn.IFS(E168="Adviento","ta", E168="Navidad","tn", E168="Epifania","te", E168="Ordinario","to", E168="Cuaresma","tc", E168="Domingo De Ramos","tc", E168="Semana Santa","ss", E168="Triduo Pascual","tp", E168="Vigilia Pascual","tp", E168="Pascual","tp")</f>
        <v>ta</v>
      </c>
      <c r="B168" s="14" t="str">
        <f t="shared" si="20"/>
        <v>/* MAYO        */</v>
      </c>
      <c r="C168" s="15">
        <f t="shared" si="15"/>
        <v>45808</v>
      </c>
      <c r="D168" s="9">
        <f t="shared" si="16"/>
        <v>45808</v>
      </c>
      <c r="E168" t="s">
        <v>46</v>
      </c>
      <c r="F168" t="s">
        <v>43</v>
      </c>
      <c r="G168">
        <v>1</v>
      </c>
      <c r="I168" s="11">
        <f t="shared" si="17"/>
        <v>45808</v>
      </c>
      <c r="J168" t="s">
        <v>44</v>
      </c>
      <c r="K168" t="str">
        <f t="shared" si="18"/>
        <v>/* MAYO        */ { nombre: "Adviento, Semana I, SÁBADO", archivo: "/ev/ta/1/sábado.mp3", fecha: `${year}-05-31` },</v>
      </c>
      <c r="L168" s="10">
        <f t="shared" si="19"/>
        <v>45808</v>
      </c>
    </row>
    <row r="169" spans="1:12" hidden="1" x14ac:dyDescent="0.25">
      <c r="A169" t="str" cm="1">
        <f t="array" ref="A169">_xlfn.IFS(E169="Adviento","ta", E169="Navidad","tn", E169="Epifania","te", E169="Ordinario","to", E169="Cuaresma","tc", E169="Domingo De Ramos","tc", E169="Semana Santa","ss", E169="Triduo Pascual","tp", E169="Vigilia Pascual","tp", E169="Pascual","tp")</f>
        <v>ta</v>
      </c>
      <c r="B169" s="14" t="str">
        <f t="shared" si="20"/>
        <v>/* JUNIO        */</v>
      </c>
      <c r="C169" s="15">
        <f t="shared" si="15"/>
        <v>45809</v>
      </c>
      <c r="D169" s="9">
        <f t="shared" si="16"/>
        <v>45809</v>
      </c>
      <c r="E169" t="s">
        <v>46</v>
      </c>
      <c r="F169" t="s">
        <v>43</v>
      </c>
      <c r="G169">
        <v>1</v>
      </c>
      <c r="I169" s="11">
        <f t="shared" si="17"/>
        <v>45809</v>
      </c>
      <c r="J169" t="s">
        <v>44</v>
      </c>
      <c r="K169" t="str">
        <f t="shared" si="18"/>
        <v>/* JUNIO        */ { nombre: "Adviento, Semana I, DOMINGO", archivo: "/ev/ta/1/domingo.mp3", fecha: `${year}-06-01` },</v>
      </c>
      <c r="L169" s="10">
        <f t="shared" si="19"/>
        <v>45809</v>
      </c>
    </row>
    <row r="170" spans="1:12" hidden="1" x14ac:dyDescent="0.25">
      <c r="A170" t="str" cm="1">
        <f t="array" ref="A170">_xlfn.IFS(E170="Adviento","ta", E170="Navidad","tn", E170="Epifania","te", E170="Ordinario","to", E170="Cuaresma","tc", E170="Domingo De Ramos","tc", E170="Semana Santa","ss", E170="Triduo Pascual","tp", E170="Vigilia Pascual","tp", E170="Pascual","tp")</f>
        <v>ta</v>
      </c>
      <c r="B170" s="14" t="str">
        <f t="shared" si="20"/>
        <v>/* JUNIO        */</v>
      </c>
      <c r="C170" s="15">
        <f t="shared" si="15"/>
        <v>45810</v>
      </c>
      <c r="D170" s="9">
        <f t="shared" si="16"/>
        <v>45810</v>
      </c>
      <c r="E170" t="s">
        <v>46</v>
      </c>
      <c r="F170" t="s">
        <v>43</v>
      </c>
      <c r="G170">
        <v>1</v>
      </c>
      <c r="I170" s="11">
        <f t="shared" si="17"/>
        <v>45810</v>
      </c>
      <c r="J170" t="s">
        <v>44</v>
      </c>
      <c r="K170" t="str">
        <f t="shared" si="18"/>
        <v>/* JUNIO        */ { nombre: "Adviento, Semana I, LUNES", archivo: "/ev/ta/1/lunes.mp3", fecha: `${year}-06-02` },</v>
      </c>
      <c r="L170" s="10">
        <f t="shared" si="19"/>
        <v>45810</v>
      </c>
    </row>
    <row r="171" spans="1:12" hidden="1" x14ac:dyDescent="0.25">
      <c r="A171" t="str" cm="1">
        <f t="array" ref="A171">_xlfn.IFS(E171="Adviento","ta", E171="Navidad","tn", E171="Epifania","te", E171="Ordinario","to", E171="Cuaresma","tc", E171="Domingo De Ramos","tc", E171="Semana Santa","ss", E171="Triduo Pascual","tp", E171="Vigilia Pascual","tp", E171="Pascual","tp")</f>
        <v>ta</v>
      </c>
      <c r="B171" s="14" t="str">
        <f t="shared" si="20"/>
        <v>/* JUNIO        */</v>
      </c>
      <c r="C171" s="15">
        <f t="shared" si="15"/>
        <v>45811</v>
      </c>
      <c r="D171" s="9">
        <f t="shared" si="16"/>
        <v>45811</v>
      </c>
      <c r="E171" t="s">
        <v>46</v>
      </c>
      <c r="F171" t="s">
        <v>43</v>
      </c>
      <c r="G171">
        <v>1</v>
      </c>
      <c r="I171" s="11">
        <f t="shared" si="17"/>
        <v>45811</v>
      </c>
      <c r="J171" t="s">
        <v>44</v>
      </c>
      <c r="K171" t="str">
        <f t="shared" si="18"/>
        <v>/* JUNIO        */ { nombre: "Adviento, Semana I, MARTES", archivo: "/ev/ta/1/martes.mp3", fecha: `${year}-06-03` },</v>
      </c>
      <c r="L171" s="10">
        <f t="shared" si="19"/>
        <v>45811</v>
      </c>
    </row>
    <row r="172" spans="1:12" hidden="1" x14ac:dyDescent="0.25">
      <c r="A172" t="str" cm="1">
        <f t="array" ref="A172">_xlfn.IFS(E172="Adviento","ta", E172="Navidad","tn", E172="Epifania","te", E172="Ordinario","to", E172="Cuaresma","tc", E172="Domingo De Ramos","tc", E172="Semana Santa","ss", E172="Triduo Pascual","tp", E172="Vigilia Pascual","tp", E172="Pascual","tp")</f>
        <v>ta</v>
      </c>
      <c r="B172" s="14" t="str">
        <f t="shared" si="20"/>
        <v>/* JUNIO        */</v>
      </c>
      <c r="C172" s="15">
        <f t="shared" si="15"/>
        <v>45812</v>
      </c>
      <c r="D172" s="9">
        <f t="shared" si="16"/>
        <v>45812</v>
      </c>
      <c r="E172" t="s">
        <v>46</v>
      </c>
      <c r="F172" t="s">
        <v>43</v>
      </c>
      <c r="G172">
        <v>1</v>
      </c>
      <c r="I172" s="11">
        <f t="shared" si="17"/>
        <v>45812</v>
      </c>
      <c r="J172" t="s">
        <v>44</v>
      </c>
      <c r="K172" t="str">
        <f t="shared" si="18"/>
        <v>/* JUNIO        */ { nombre: "Adviento, Semana I, MIÉRCOLES", archivo: "/ev/ta/1/miércoles.mp3", fecha: `${year}-06-04` },</v>
      </c>
      <c r="L172" s="10">
        <f t="shared" si="19"/>
        <v>45812</v>
      </c>
    </row>
    <row r="173" spans="1:12" hidden="1" x14ac:dyDescent="0.25">
      <c r="A173" t="str" cm="1">
        <f t="array" ref="A173">_xlfn.IFS(E173="Adviento","ta", E173="Navidad","tn", E173="Epifania","te", E173="Ordinario","to", E173="Cuaresma","tc", E173="Domingo De Ramos","tc", E173="Semana Santa","ss", E173="Triduo Pascual","tp", E173="Vigilia Pascual","tp", E173="Pascual","tp")</f>
        <v>ta</v>
      </c>
      <c r="B173" s="14" t="str">
        <f t="shared" si="20"/>
        <v>/* JUNIO        */</v>
      </c>
      <c r="C173" s="15">
        <f t="shared" si="15"/>
        <v>45813</v>
      </c>
      <c r="D173" s="9">
        <f t="shared" si="16"/>
        <v>45813</v>
      </c>
      <c r="E173" t="s">
        <v>46</v>
      </c>
      <c r="F173" t="s">
        <v>43</v>
      </c>
      <c r="G173">
        <v>1</v>
      </c>
      <c r="I173" s="11">
        <f t="shared" si="17"/>
        <v>45813</v>
      </c>
      <c r="J173" t="s">
        <v>44</v>
      </c>
      <c r="K173" t="str">
        <f t="shared" si="18"/>
        <v>/* JUNIO        */ { nombre: "Adviento, Semana I, JUEVES", archivo: "/ev/ta/1/jueves.mp3", fecha: `${year}-06-05` },</v>
      </c>
      <c r="L173" s="10">
        <f t="shared" si="19"/>
        <v>45813</v>
      </c>
    </row>
    <row r="174" spans="1:12" hidden="1" x14ac:dyDescent="0.25">
      <c r="A174" t="str" cm="1">
        <f t="array" ref="A174">_xlfn.IFS(E174="Adviento","ta", E174="Navidad","tn", E174="Epifania","te", E174="Ordinario","to", E174="Cuaresma","tc", E174="Domingo De Ramos","tc", E174="Semana Santa","ss", E174="Triduo Pascual","tp", E174="Vigilia Pascual","tp", E174="Pascual","tp")</f>
        <v>ta</v>
      </c>
      <c r="B174" s="14" t="str">
        <f t="shared" si="20"/>
        <v>/* JUNIO        */</v>
      </c>
      <c r="C174" s="15">
        <f t="shared" si="15"/>
        <v>45814</v>
      </c>
      <c r="D174" s="9">
        <f t="shared" si="16"/>
        <v>45814</v>
      </c>
      <c r="E174" t="s">
        <v>46</v>
      </c>
      <c r="F174" t="s">
        <v>43</v>
      </c>
      <c r="G174">
        <v>1</v>
      </c>
      <c r="I174" s="11">
        <f t="shared" si="17"/>
        <v>45814</v>
      </c>
      <c r="J174" t="s">
        <v>44</v>
      </c>
      <c r="K174" t="str">
        <f t="shared" si="18"/>
        <v>/* JUNIO        */ { nombre: "Adviento, Semana I, VIERNES", archivo: "/ev/ta/1/viernes.mp3", fecha: `${year}-06-06` },</v>
      </c>
      <c r="L174" s="10">
        <f t="shared" si="19"/>
        <v>45814</v>
      </c>
    </row>
    <row r="175" spans="1:12" hidden="1" x14ac:dyDescent="0.25">
      <c r="A175" t="str" cm="1">
        <f t="array" ref="A175">_xlfn.IFS(E175="Adviento","ta", E175="Navidad","tn", E175="Epifania","te", E175="Ordinario","to", E175="Cuaresma","tc", E175="Domingo De Ramos","tc", E175="Semana Santa","ss", E175="Triduo Pascual","tp", E175="Vigilia Pascual","tp", E175="Pascual","tp")</f>
        <v>ta</v>
      </c>
      <c r="B175" s="14" t="str">
        <f t="shared" si="20"/>
        <v>/* JUNIO        */</v>
      </c>
      <c r="C175" s="15">
        <f t="shared" si="15"/>
        <v>45815</v>
      </c>
      <c r="D175" s="9">
        <f t="shared" si="16"/>
        <v>45815</v>
      </c>
      <c r="E175" t="s">
        <v>46</v>
      </c>
      <c r="F175" t="s">
        <v>43</v>
      </c>
      <c r="G175">
        <v>1</v>
      </c>
      <c r="I175" s="11">
        <f t="shared" si="17"/>
        <v>45815</v>
      </c>
      <c r="J175" t="s">
        <v>44</v>
      </c>
      <c r="K175" t="str">
        <f t="shared" si="18"/>
        <v>/* JUNIO        */ { nombre: "Adviento, Semana I, SÁBADO", archivo: "/ev/ta/1/sábado.mp3", fecha: `${year}-06-07` },</v>
      </c>
      <c r="L175" s="10">
        <f t="shared" si="19"/>
        <v>45815</v>
      </c>
    </row>
    <row r="176" spans="1:12" hidden="1" x14ac:dyDescent="0.25">
      <c r="A176" t="str" cm="1">
        <f t="array" ref="A176">_xlfn.IFS(E176="Adviento","ta", E176="Navidad","tn", E176="Epifania","te", E176="Ordinario","to", E176="Cuaresma","tc", E176="Domingo De Ramos","tc", E176="Semana Santa","ss", E176="Triduo Pascual","tp", E176="Vigilia Pascual","tp", E176="Pascual","tp")</f>
        <v>ta</v>
      </c>
      <c r="B176" s="14" t="str">
        <f t="shared" si="20"/>
        <v>/* JUNIO        */</v>
      </c>
      <c r="C176" s="15">
        <f t="shared" si="15"/>
        <v>45816</v>
      </c>
      <c r="D176" s="9">
        <f t="shared" si="16"/>
        <v>45816</v>
      </c>
      <c r="E176" t="s">
        <v>46</v>
      </c>
      <c r="F176" t="s">
        <v>43</v>
      </c>
      <c r="G176">
        <v>1</v>
      </c>
      <c r="I176" s="11">
        <f t="shared" si="17"/>
        <v>45816</v>
      </c>
      <c r="J176" t="s">
        <v>44</v>
      </c>
      <c r="K176" t="str">
        <f t="shared" si="18"/>
        <v>/* JUNIO        */ { nombre: "Adviento, Semana I, DOMINGO", archivo: "/ev/ta/1/domingo.mp3", fecha: `${year}-06-08` },</v>
      </c>
      <c r="L176" s="10">
        <f t="shared" si="19"/>
        <v>45816</v>
      </c>
    </row>
    <row r="177" spans="1:12" hidden="1" x14ac:dyDescent="0.25">
      <c r="A177" t="str" cm="1">
        <f t="array" ref="A177">_xlfn.IFS(E177="Adviento","ta", E177="Navidad","tn", E177="Epifania","te", E177="Ordinario","to", E177="Cuaresma","tc", E177="Domingo De Ramos","tc", E177="Semana Santa","ss", E177="Triduo Pascual","tp", E177="Vigilia Pascual","tp", E177="Pascual","tp")</f>
        <v>ta</v>
      </c>
      <c r="B177" s="14" t="str">
        <f t="shared" si="20"/>
        <v>/* JUNIO        */</v>
      </c>
      <c r="C177" s="15">
        <f t="shared" si="15"/>
        <v>45817</v>
      </c>
      <c r="D177" s="9">
        <f t="shared" si="16"/>
        <v>45817</v>
      </c>
      <c r="E177" t="s">
        <v>46</v>
      </c>
      <c r="F177" t="s">
        <v>43</v>
      </c>
      <c r="G177">
        <v>1</v>
      </c>
      <c r="I177" s="11">
        <f t="shared" si="17"/>
        <v>45817</v>
      </c>
      <c r="J177" t="s">
        <v>44</v>
      </c>
      <c r="K177" t="str">
        <f t="shared" si="18"/>
        <v>/* JUNIO        */ { nombre: "Adviento, Semana I, LUNES", archivo: "/ev/ta/1/lunes.mp3", fecha: `${year}-06-09` },</v>
      </c>
      <c r="L177" s="10">
        <f t="shared" si="19"/>
        <v>45817</v>
      </c>
    </row>
    <row r="178" spans="1:12" hidden="1" x14ac:dyDescent="0.25">
      <c r="A178" t="str" cm="1">
        <f t="array" ref="A178">_xlfn.IFS(E178="Adviento","ta", E178="Navidad","tn", E178="Epifania","te", E178="Ordinario","to", E178="Cuaresma","tc", E178="Domingo De Ramos","tc", E178="Semana Santa","ss", E178="Triduo Pascual","tp", E178="Vigilia Pascual","tp", E178="Pascual","tp")</f>
        <v>ta</v>
      </c>
      <c r="B178" s="14" t="str">
        <f t="shared" si="20"/>
        <v>/* JUNIO        */</v>
      </c>
      <c r="C178" s="15">
        <f t="shared" si="15"/>
        <v>45818</v>
      </c>
      <c r="D178" s="9">
        <f t="shared" si="16"/>
        <v>45818</v>
      </c>
      <c r="E178" t="s">
        <v>46</v>
      </c>
      <c r="F178" t="s">
        <v>43</v>
      </c>
      <c r="G178">
        <v>1</v>
      </c>
      <c r="I178" s="11">
        <f t="shared" si="17"/>
        <v>45818</v>
      </c>
      <c r="J178" t="s">
        <v>44</v>
      </c>
      <c r="K178" t="str">
        <f t="shared" si="18"/>
        <v>/* JUNIO        */ { nombre: "Adviento, Semana I, MARTES", archivo: "/ev/ta/1/martes.mp3", fecha: `${year}-06-10` },</v>
      </c>
      <c r="L178" s="10">
        <f t="shared" si="19"/>
        <v>45818</v>
      </c>
    </row>
    <row r="179" spans="1:12" hidden="1" x14ac:dyDescent="0.25">
      <c r="A179" t="str" cm="1">
        <f t="array" ref="A179">_xlfn.IFS(E179="Adviento","ta", E179="Navidad","tn", E179="Epifania","te", E179="Ordinario","to", E179="Cuaresma","tc", E179="Domingo De Ramos","tc", E179="Semana Santa","ss", E179="Triduo Pascual","tp", E179="Vigilia Pascual","tp", E179="Pascual","tp")</f>
        <v>ta</v>
      </c>
      <c r="B179" s="14" t="str">
        <f t="shared" si="20"/>
        <v>/* JUNIO        */</v>
      </c>
      <c r="C179" s="15">
        <f t="shared" si="15"/>
        <v>45819</v>
      </c>
      <c r="D179" s="9">
        <f t="shared" si="16"/>
        <v>45819</v>
      </c>
      <c r="E179" t="s">
        <v>46</v>
      </c>
      <c r="F179" t="s">
        <v>43</v>
      </c>
      <c r="G179">
        <v>1</v>
      </c>
      <c r="I179" s="11">
        <f t="shared" si="17"/>
        <v>45819</v>
      </c>
      <c r="J179" t="s">
        <v>44</v>
      </c>
      <c r="K179" t="str">
        <f t="shared" si="18"/>
        <v>/* JUNIO        */ { nombre: "Adviento, Semana I, MIÉRCOLES", archivo: "/ev/ta/1/miércoles.mp3", fecha: `${year}-06-11` },</v>
      </c>
      <c r="L179" s="10">
        <f t="shared" si="19"/>
        <v>45819</v>
      </c>
    </row>
    <row r="180" spans="1:12" hidden="1" x14ac:dyDescent="0.25">
      <c r="A180" t="str" cm="1">
        <f t="array" ref="A180">_xlfn.IFS(E180="Adviento","ta", E180="Navidad","tn", E180="Epifania","te", E180="Ordinario","to", E180="Cuaresma","tc", E180="Domingo De Ramos","tc", E180="Semana Santa","ss", E180="Triduo Pascual","tp", E180="Vigilia Pascual","tp", E180="Pascual","tp")</f>
        <v>ta</v>
      </c>
      <c r="B180" s="14" t="str">
        <f t="shared" si="20"/>
        <v>/* JUNIO        */</v>
      </c>
      <c r="C180" s="15">
        <f t="shared" si="15"/>
        <v>45820</v>
      </c>
      <c r="D180" s="9">
        <f t="shared" si="16"/>
        <v>45820</v>
      </c>
      <c r="E180" t="s">
        <v>46</v>
      </c>
      <c r="F180" t="s">
        <v>43</v>
      </c>
      <c r="G180">
        <v>1</v>
      </c>
      <c r="I180" s="11">
        <f t="shared" si="17"/>
        <v>45820</v>
      </c>
      <c r="J180" t="s">
        <v>44</v>
      </c>
      <c r="K180" t="str">
        <f t="shared" si="18"/>
        <v>/* JUNIO        */ { nombre: "Adviento, Semana I, JUEVES", archivo: "/ev/ta/1/jueves.mp3", fecha: `${year}-06-12` },</v>
      </c>
      <c r="L180" s="10">
        <f t="shared" si="19"/>
        <v>45820</v>
      </c>
    </row>
    <row r="181" spans="1:12" hidden="1" x14ac:dyDescent="0.25">
      <c r="A181" t="str" cm="1">
        <f t="array" ref="A181">_xlfn.IFS(E181="Adviento","ta", E181="Navidad","tn", E181="Epifania","te", E181="Ordinario","to", E181="Cuaresma","tc", E181="Domingo De Ramos","tc", E181="Semana Santa","ss", E181="Triduo Pascual","tp", E181="Vigilia Pascual","tp", E181="Pascual","tp")</f>
        <v>ta</v>
      </c>
      <c r="B181" s="14" t="str">
        <f t="shared" si="20"/>
        <v>/* JUNIO        */</v>
      </c>
      <c r="C181" s="15">
        <f t="shared" si="15"/>
        <v>45821</v>
      </c>
      <c r="D181" s="9">
        <f t="shared" si="16"/>
        <v>45821</v>
      </c>
      <c r="E181" t="s">
        <v>46</v>
      </c>
      <c r="F181" t="s">
        <v>43</v>
      </c>
      <c r="G181">
        <v>1</v>
      </c>
      <c r="I181" s="11">
        <f t="shared" si="17"/>
        <v>45821</v>
      </c>
      <c r="J181" t="s">
        <v>44</v>
      </c>
      <c r="K181" t="str">
        <f t="shared" si="18"/>
        <v>/* JUNIO        */ { nombre: "Adviento, Semana I, VIERNES", archivo: "/ev/ta/1/viernes.mp3", fecha: `${year}-06-13` },</v>
      </c>
      <c r="L181" s="10">
        <f t="shared" si="19"/>
        <v>45821</v>
      </c>
    </row>
    <row r="182" spans="1:12" hidden="1" x14ac:dyDescent="0.25">
      <c r="A182" t="str" cm="1">
        <f t="array" ref="A182">_xlfn.IFS(E182="Adviento","ta", E182="Navidad","tn", E182="Epifania","te", E182="Ordinario","to", E182="Cuaresma","tc", E182="Domingo De Ramos","tc", E182="Semana Santa","ss", E182="Triduo Pascual","tp", E182="Vigilia Pascual","tp", E182="Pascual","tp")</f>
        <v>ta</v>
      </c>
      <c r="B182" s="14" t="str">
        <f t="shared" si="20"/>
        <v>/* JUNIO        */</v>
      </c>
      <c r="C182" s="15">
        <f t="shared" si="15"/>
        <v>45822</v>
      </c>
      <c r="D182" s="9">
        <f t="shared" si="16"/>
        <v>45822</v>
      </c>
      <c r="E182" t="s">
        <v>46</v>
      </c>
      <c r="F182" t="s">
        <v>43</v>
      </c>
      <c r="G182">
        <v>1</v>
      </c>
      <c r="I182" s="11">
        <f t="shared" si="17"/>
        <v>45822</v>
      </c>
      <c r="J182" t="s">
        <v>44</v>
      </c>
      <c r="K182" t="str">
        <f t="shared" si="18"/>
        <v>/* JUNIO        */ { nombre: "Adviento, Semana I, SÁBADO", archivo: "/ev/ta/1/sábado.mp3", fecha: `${year}-06-14` },</v>
      </c>
      <c r="L182" s="10">
        <f t="shared" si="19"/>
        <v>45822</v>
      </c>
    </row>
    <row r="183" spans="1:12" hidden="1" x14ac:dyDescent="0.25">
      <c r="A183" t="str" cm="1">
        <f t="array" ref="A183">_xlfn.IFS(E183="Adviento","ta", E183="Navidad","tn", E183="Epifania","te", E183="Ordinario","to", E183="Cuaresma","tc", E183="Domingo De Ramos","tc", E183="Semana Santa","ss", E183="Triduo Pascual","tp", E183="Vigilia Pascual","tp", E183="Pascual","tp")</f>
        <v>ta</v>
      </c>
      <c r="B183" s="14" t="str">
        <f t="shared" si="20"/>
        <v>/* JUNIO        */</v>
      </c>
      <c r="C183" s="15">
        <f t="shared" si="15"/>
        <v>45823</v>
      </c>
      <c r="D183" s="9">
        <f t="shared" si="16"/>
        <v>45823</v>
      </c>
      <c r="E183" t="s">
        <v>46</v>
      </c>
      <c r="F183" t="s">
        <v>43</v>
      </c>
      <c r="G183">
        <v>1</v>
      </c>
      <c r="I183" s="11">
        <f t="shared" si="17"/>
        <v>45823</v>
      </c>
      <c r="J183" t="s">
        <v>44</v>
      </c>
      <c r="K183" t="str">
        <f t="shared" si="18"/>
        <v>/* JUNIO        */ { nombre: "Adviento, Semana I, DOMINGO", archivo: "/ev/ta/1/domingo.mp3", fecha: `${year}-06-15` },</v>
      </c>
      <c r="L183" s="10">
        <f t="shared" si="19"/>
        <v>45823</v>
      </c>
    </row>
    <row r="184" spans="1:12" hidden="1" x14ac:dyDescent="0.25">
      <c r="A184" t="str" cm="1">
        <f t="array" ref="A184">_xlfn.IFS(E184="Adviento","ta", E184="Navidad","tn", E184="Epifania","te", E184="Ordinario","to", E184="Cuaresma","tc", E184="Domingo De Ramos","tc", E184="Semana Santa","ss", E184="Triduo Pascual","tp", E184="Vigilia Pascual","tp", E184="Pascual","tp")</f>
        <v>ta</v>
      </c>
      <c r="B184" s="14" t="str">
        <f t="shared" si="20"/>
        <v>/* JUNIO        */</v>
      </c>
      <c r="C184" s="15">
        <f t="shared" si="15"/>
        <v>45824</v>
      </c>
      <c r="D184" s="9">
        <f t="shared" si="16"/>
        <v>45824</v>
      </c>
      <c r="E184" t="s">
        <v>46</v>
      </c>
      <c r="F184" t="s">
        <v>43</v>
      </c>
      <c r="G184">
        <v>1</v>
      </c>
      <c r="I184" s="11">
        <f t="shared" si="17"/>
        <v>45824</v>
      </c>
      <c r="J184" t="s">
        <v>44</v>
      </c>
      <c r="K184" t="str">
        <f t="shared" si="18"/>
        <v>/* JUNIO        */ { nombre: "Adviento, Semana I, LUNES", archivo: "/ev/ta/1/lunes.mp3", fecha: `${year}-06-16` },</v>
      </c>
      <c r="L184" s="10">
        <f t="shared" si="19"/>
        <v>45824</v>
      </c>
    </row>
    <row r="185" spans="1:12" hidden="1" x14ac:dyDescent="0.25">
      <c r="A185" t="str" cm="1">
        <f t="array" ref="A185">_xlfn.IFS(E185="Adviento","ta", E185="Navidad","tn", E185="Epifania","te", E185="Ordinario","to", E185="Cuaresma","tc", E185="Domingo De Ramos","tc", E185="Semana Santa","ss", E185="Triduo Pascual","tp", E185="Vigilia Pascual","tp", E185="Pascual","tp")</f>
        <v>ta</v>
      </c>
      <c r="B185" s="14" t="str">
        <f t="shared" si="20"/>
        <v>/* JUNIO        */</v>
      </c>
      <c r="C185" s="15">
        <f t="shared" si="15"/>
        <v>45825</v>
      </c>
      <c r="D185" s="9">
        <f t="shared" si="16"/>
        <v>45825</v>
      </c>
      <c r="E185" t="s">
        <v>46</v>
      </c>
      <c r="F185" t="s">
        <v>43</v>
      </c>
      <c r="G185">
        <v>1</v>
      </c>
      <c r="I185" s="11">
        <f t="shared" si="17"/>
        <v>45825</v>
      </c>
      <c r="J185" t="s">
        <v>44</v>
      </c>
      <c r="K185" t="str">
        <f t="shared" si="18"/>
        <v>/* JUNIO        */ { nombre: "Adviento, Semana I, MARTES", archivo: "/ev/ta/1/martes.mp3", fecha: `${year}-06-17` },</v>
      </c>
      <c r="L185" s="10">
        <f t="shared" si="19"/>
        <v>45825</v>
      </c>
    </row>
    <row r="186" spans="1:12" hidden="1" x14ac:dyDescent="0.25">
      <c r="A186" t="str" cm="1">
        <f t="array" ref="A186">_xlfn.IFS(E186="Adviento","ta", E186="Navidad","tn", E186="Epifania","te", E186="Ordinario","to", E186="Cuaresma","tc", E186="Domingo De Ramos","tc", E186="Semana Santa","ss", E186="Triduo Pascual","tp", E186="Vigilia Pascual","tp", E186="Pascual","tp")</f>
        <v>ta</v>
      </c>
      <c r="B186" s="14" t="str">
        <f t="shared" si="20"/>
        <v>/* JUNIO        */</v>
      </c>
      <c r="C186" s="15">
        <f t="shared" si="15"/>
        <v>45826</v>
      </c>
      <c r="D186" s="9">
        <f t="shared" si="16"/>
        <v>45826</v>
      </c>
      <c r="E186" t="s">
        <v>46</v>
      </c>
      <c r="F186" t="s">
        <v>43</v>
      </c>
      <c r="G186">
        <v>1</v>
      </c>
      <c r="I186" s="11">
        <f t="shared" si="17"/>
        <v>45826</v>
      </c>
      <c r="J186" t="s">
        <v>44</v>
      </c>
      <c r="K186" t="str">
        <f t="shared" si="18"/>
        <v>/* JUNIO        */ { nombre: "Adviento, Semana I, MIÉRCOLES", archivo: "/ev/ta/1/miércoles.mp3", fecha: `${year}-06-18` },</v>
      </c>
      <c r="L186" s="10">
        <f t="shared" si="19"/>
        <v>45826</v>
      </c>
    </row>
    <row r="187" spans="1:12" hidden="1" x14ac:dyDescent="0.25">
      <c r="A187" t="str" cm="1">
        <f t="array" ref="A187">_xlfn.IFS(E187="Adviento","ta", E187="Navidad","tn", E187="Epifania","te", E187="Ordinario","to", E187="Cuaresma","tc", E187="Domingo De Ramos","tc", E187="Semana Santa","ss", E187="Triduo Pascual","tp", E187="Vigilia Pascual","tp", E187="Pascual","tp")</f>
        <v>ta</v>
      </c>
      <c r="B187" s="14" t="str">
        <f t="shared" si="20"/>
        <v>/* JUNIO        */</v>
      </c>
      <c r="C187" s="15">
        <f t="shared" si="15"/>
        <v>45827</v>
      </c>
      <c r="D187" s="9">
        <f t="shared" si="16"/>
        <v>45827</v>
      </c>
      <c r="E187" t="s">
        <v>46</v>
      </c>
      <c r="F187" t="s">
        <v>43</v>
      </c>
      <c r="G187">
        <v>1</v>
      </c>
      <c r="I187" s="11">
        <f t="shared" si="17"/>
        <v>45827</v>
      </c>
      <c r="J187" t="s">
        <v>44</v>
      </c>
      <c r="K187" t="str">
        <f t="shared" si="18"/>
        <v>/* JUNIO        */ { nombre: "Adviento, Semana I, JUEVES", archivo: "/ev/ta/1/jueves.mp3", fecha: `${year}-06-19` },</v>
      </c>
      <c r="L187" s="10">
        <f t="shared" si="19"/>
        <v>45827</v>
      </c>
    </row>
    <row r="188" spans="1:12" hidden="1" x14ac:dyDescent="0.25">
      <c r="A188" t="str" cm="1">
        <f t="array" ref="A188">_xlfn.IFS(E188="Adviento","ta", E188="Navidad","tn", E188="Epifania","te", E188="Ordinario","to", E188="Cuaresma","tc", E188="Domingo De Ramos","tc", E188="Semana Santa","ss", E188="Triduo Pascual","tp", E188="Vigilia Pascual","tp", E188="Pascual","tp")</f>
        <v>ta</v>
      </c>
      <c r="B188" s="14" t="str">
        <f t="shared" si="20"/>
        <v>/* JUNIO        */</v>
      </c>
      <c r="C188" s="15">
        <f t="shared" si="15"/>
        <v>45828</v>
      </c>
      <c r="D188" s="9">
        <f t="shared" si="16"/>
        <v>45828</v>
      </c>
      <c r="E188" t="s">
        <v>46</v>
      </c>
      <c r="F188" t="s">
        <v>43</v>
      </c>
      <c r="G188">
        <v>1</v>
      </c>
      <c r="I188" s="11">
        <f t="shared" si="17"/>
        <v>45828</v>
      </c>
      <c r="J188" t="s">
        <v>44</v>
      </c>
      <c r="K188" t="str">
        <f t="shared" si="18"/>
        <v>/* JUNIO        */ { nombre: "Adviento, Semana I, VIERNES", archivo: "/ev/ta/1/viernes.mp3", fecha: `${year}-06-20` },</v>
      </c>
      <c r="L188" s="10">
        <f t="shared" si="19"/>
        <v>45828</v>
      </c>
    </row>
    <row r="189" spans="1:12" hidden="1" x14ac:dyDescent="0.25">
      <c r="A189" t="str" cm="1">
        <f t="array" ref="A189">_xlfn.IFS(E189="Adviento","ta", E189="Navidad","tn", E189="Epifania","te", E189="Ordinario","to", E189="Cuaresma","tc", E189="Domingo De Ramos","tc", E189="Semana Santa","ss", E189="Triduo Pascual","tp", E189="Vigilia Pascual","tp", E189="Pascual","tp")</f>
        <v>ta</v>
      </c>
      <c r="B189" s="14" t="str">
        <f t="shared" si="20"/>
        <v>/* JUNIO        */</v>
      </c>
      <c r="C189" s="15">
        <f t="shared" si="15"/>
        <v>45829</v>
      </c>
      <c r="D189" s="9">
        <f t="shared" si="16"/>
        <v>45829</v>
      </c>
      <c r="E189" t="s">
        <v>46</v>
      </c>
      <c r="F189" t="s">
        <v>43</v>
      </c>
      <c r="G189">
        <v>1</v>
      </c>
      <c r="I189" s="11">
        <f t="shared" si="17"/>
        <v>45829</v>
      </c>
      <c r="J189" t="s">
        <v>44</v>
      </c>
      <c r="K189" t="str">
        <f t="shared" si="18"/>
        <v>/* JUNIO        */ { nombre: "Adviento, Semana I, SÁBADO", archivo: "/ev/ta/1/sábado.mp3", fecha: `${year}-06-21` },</v>
      </c>
      <c r="L189" s="10">
        <f t="shared" si="19"/>
        <v>45829</v>
      </c>
    </row>
    <row r="190" spans="1:12" hidden="1" x14ac:dyDescent="0.25">
      <c r="A190" t="str" cm="1">
        <f t="array" ref="A190">_xlfn.IFS(E190="Adviento","ta", E190="Navidad","tn", E190="Epifania","te", E190="Ordinario","to", E190="Cuaresma","tc", E190="Domingo De Ramos","tc", E190="Semana Santa","ss", E190="Triduo Pascual","tp", E190="Vigilia Pascual","tp", E190="Pascual","tp")</f>
        <v>ta</v>
      </c>
      <c r="B190" s="14" t="str">
        <f t="shared" si="20"/>
        <v>/* JUNIO        */</v>
      </c>
      <c r="C190" s="15">
        <f t="shared" si="15"/>
        <v>45830</v>
      </c>
      <c r="D190" s="9">
        <f t="shared" si="16"/>
        <v>45830</v>
      </c>
      <c r="E190" t="s">
        <v>46</v>
      </c>
      <c r="F190" t="s">
        <v>43</v>
      </c>
      <c r="G190">
        <v>1</v>
      </c>
      <c r="I190" s="11">
        <f t="shared" si="17"/>
        <v>45830</v>
      </c>
      <c r="J190" t="s">
        <v>44</v>
      </c>
      <c r="K190" t="str">
        <f t="shared" si="18"/>
        <v>/* JUNIO        */ { nombre: "Adviento, Semana I, DOMINGO", archivo: "/ev/ta/1/domingo.mp3", fecha: `${year}-06-22` },</v>
      </c>
      <c r="L190" s="10">
        <f t="shared" si="19"/>
        <v>45830</v>
      </c>
    </row>
    <row r="191" spans="1:12" hidden="1" x14ac:dyDescent="0.25">
      <c r="A191" t="str" cm="1">
        <f t="array" ref="A191">_xlfn.IFS(E191="Adviento","ta", E191="Navidad","tn", E191="Epifania","te", E191="Ordinario","to", E191="Cuaresma","tc", E191="Domingo De Ramos","tc", E191="Semana Santa","ss", E191="Triduo Pascual","tp", E191="Vigilia Pascual","tp", E191="Pascual","tp")</f>
        <v>ta</v>
      </c>
      <c r="B191" s="14" t="str">
        <f t="shared" si="20"/>
        <v>/* JUNIO        */</v>
      </c>
      <c r="C191" s="15">
        <f t="shared" si="15"/>
        <v>45831</v>
      </c>
      <c r="D191" s="9">
        <f t="shared" si="16"/>
        <v>45831</v>
      </c>
      <c r="E191" t="s">
        <v>46</v>
      </c>
      <c r="F191" t="s">
        <v>43</v>
      </c>
      <c r="G191">
        <v>1</v>
      </c>
      <c r="I191" s="11">
        <f t="shared" si="17"/>
        <v>45831</v>
      </c>
      <c r="J191" t="s">
        <v>44</v>
      </c>
      <c r="K191" t="str">
        <f t="shared" si="18"/>
        <v>/* JUNIO        */ { nombre: "Adviento, Semana I, LUNES", archivo: "/ev/ta/1/lunes.mp3", fecha: `${year}-06-23` },</v>
      </c>
      <c r="L191" s="10">
        <f t="shared" si="19"/>
        <v>45831</v>
      </c>
    </row>
    <row r="192" spans="1:12" hidden="1" x14ac:dyDescent="0.25">
      <c r="A192" t="str" cm="1">
        <f t="array" ref="A192">_xlfn.IFS(E192="Adviento","ta", E192="Navidad","tn", E192="Epifania","te", E192="Ordinario","to", E192="Cuaresma","tc", E192="Domingo De Ramos","tc", E192="Semana Santa","ss", E192="Triduo Pascual","tp", E192="Vigilia Pascual","tp", E192="Pascual","tp")</f>
        <v>ta</v>
      </c>
      <c r="B192" s="14" t="str">
        <f t="shared" si="20"/>
        <v>/* JUNIO        */</v>
      </c>
      <c r="C192" s="15">
        <f t="shared" si="15"/>
        <v>45832</v>
      </c>
      <c r="D192" s="9">
        <f t="shared" si="16"/>
        <v>45832</v>
      </c>
      <c r="E192" t="s">
        <v>46</v>
      </c>
      <c r="F192" t="s">
        <v>43</v>
      </c>
      <c r="G192">
        <v>1</v>
      </c>
      <c r="I192" s="11">
        <f t="shared" si="17"/>
        <v>45832</v>
      </c>
      <c r="J192" t="s">
        <v>44</v>
      </c>
      <c r="K192" t="str">
        <f t="shared" si="18"/>
        <v>/* JUNIO        */ { nombre: "Adviento, Semana I, MARTES", archivo: "/ev/ta/1/martes.mp3", fecha: `${year}-06-24` },</v>
      </c>
      <c r="L192" s="10">
        <f t="shared" si="19"/>
        <v>45832</v>
      </c>
    </row>
    <row r="193" spans="1:12" hidden="1" x14ac:dyDescent="0.25">
      <c r="A193" t="str" cm="1">
        <f t="array" ref="A193">_xlfn.IFS(E193="Adviento","ta", E193="Navidad","tn", E193="Epifania","te", E193="Ordinario","to", E193="Cuaresma","tc", E193="Domingo De Ramos","tc", E193="Semana Santa","ss", E193="Triduo Pascual","tp", E193="Vigilia Pascual","tp", E193="Pascual","tp")</f>
        <v>ta</v>
      </c>
      <c r="B193" s="14" t="str">
        <f t="shared" si="20"/>
        <v>/* JUNIO        */</v>
      </c>
      <c r="C193" s="15">
        <f t="shared" si="15"/>
        <v>45833</v>
      </c>
      <c r="D193" s="9">
        <f t="shared" si="16"/>
        <v>45833</v>
      </c>
      <c r="E193" t="s">
        <v>46</v>
      </c>
      <c r="F193" t="s">
        <v>43</v>
      </c>
      <c r="G193">
        <v>1</v>
      </c>
      <c r="I193" s="11">
        <f t="shared" si="17"/>
        <v>45833</v>
      </c>
      <c r="J193" t="s">
        <v>44</v>
      </c>
      <c r="K193" t="str">
        <f t="shared" si="18"/>
        <v>/* JUNIO        */ { nombre: "Adviento, Semana I, MIÉRCOLES", archivo: "/ev/ta/1/miércoles.mp3", fecha: `${year}-06-25` },</v>
      </c>
      <c r="L193" s="10">
        <f t="shared" si="19"/>
        <v>45833</v>
      </c>
    </row>
    <row r="194" spans="1:12" hidden="1" x14ac:dyDescent="0.25">
      <c r="A194" t="str" cm="1">
        <f t="array" ref="A194">_xlfn.IFS(E194="Adviento","ta", E194="Navidad","tn", E194="Epifania","te", E194="Ordinario","to", E194="Cuaresma","tc", E194="Domingo De Ramos","tc", E194="Semana Santa","ss", E194="Triduo Pascual","tp", E194="Vigilia Pascual","tp", E194="Pascual","tp")</f>
        <v>ta</v>
      </c>
      <c r="B194" s="14" t="str">
        <f t="shared" si="20"/>
        <v>/* JUNIO        */</v>
      </c>
      <c r="C194" s="15">
        <f t="shared" si="15"/>
        <v>45834</v>
      </c>
      <c r="D194" s="9">
        <f t="shared" si="16"/>
        <v>45834</v>
      </c>
      <c r="E194" t="s">
        <v>46</v>
      </c>
      <c r="F194" t="s">
        <v>43</v>
      </c>
      <c r="G194">
        <v>1</v>
      </c>
      <c r="I194" s="11">
        <f t="shared" si="17"/>
        <v>45834</v>
      </c>
      <c r="J194" t="s">
        <v>44</v>
      </c>
      <c r="K194" t="str">
        <f t="shared" si="18"/>
        <v>/* JUNIO        */ { nombre: "Adviento, Semana I, JUEVES", archivo: "/ev/ta/1/jueves.mp3", fecha: `${year}-06-26` },</v>
      </c>
      <c r="L194" s="10">
        <f t="shared" si="19"/>
        <v>45834</v>
      </c>
    </row>
    <row r="195" spans="1:12" hidden="1" x14ac:dyDescent="0.25">
      <c r="A195" t="str" cm="1">
        <f t="array" ref="A195">_xlfn.IFS(E195="Adviento","ta", E195="Navidad","tn", E195="Epifania","te", E195="Ordinario","to", E195="Cuaresma","tc", E195="Domingo De Ramos","tc", E195="Semana Santa","ss", E195="Triduo Pascual","tp", E195="Vigilia Pascual","tp", E195="Pascual","tp")</f>
        <v>ta</v>
      </c>
      <c r="B195" s="14" t="str">
        <f t="shared" si="20"/>
        <v>/* JUNIO        */</v>
      </c>
      <c r="C195" s="15">
        <f t="shared" si="15"/>
        <v>45835</v>
      </c>
      <c r="D195" s="9">
        <f t="shared" si="16"/>
        <v>45835</v>
      </c>
      <c r="E195" t="s">
        <v>46</v>
      </c>
      <c r="F195" t="s">
        <v>43</v>
      </c>
      <c r="G195">
        <v>1</v>
      </c>
      <c r="I195" s="11">
        <f t="shared" si="17"/>
        <v>45835</v>
      </c>
      <c r="J195" t="s">
        <v>44</v>
      </c>
      <c r="K195" t="str">
        <f t="shared" si="18"/>
        <v>/* JUNIO        */ { nombre: "Adviento, Semana I, VIERNES", archivo: "/ev/ta/1/viernes.mp3", fecha: `${year}-06-27` },</v>
      </c>
      <c r="L195" s="10">
        <f t="shared" si="19"/>
        <v>45835</v>
      </c>
    </row>
    <row r="196" spans="1:12" hidden="1" x14ac:dyDescent="0.25">
      <c r="A196" t="str" cm="1">
        <f t="array" ref="A196">_xlfn.IFS(E196="Adviento","ta", E196="Navidad","tn", E196="Epifania","te", E196="Ordinario","to", E196="Cuaresma","tc", E196="Domingo De Ramos","tc", E196="Semana Santa","ss", E196="Triduo Pascual","tp", E196="Vigilia Pascual","tp", E196="Pascual","tp")</f>
        <v>ta</v>
      </c>
      <c r="B196" s="14" t="str">
        <f t="shared" si="20"/>
        <v>/* JUNIO        */</v>
      </c>
      <c r="C196" s="15">
        <f t="shared" si="15"/>
        <v>45836</v>
      </c>
      <c r="D196" s="9">
        <f t="shared" si="16"/>
        <v>45836</v>
      </c>
      <c r="E196" t="s">
        <v>46</v>
      </c>
      <c r="F196" t="s">
        <v>43</v>
      </c>
      <c r="G196">
        <v>1</v>
      </c>
      <c r="I196" s="11">
        <f t="shared" si="17"/>
        <v>45836</v>
      </c>
      <c r="J196" t="s">
        <v>44</v>
      </c>
      <c r="K196" t="str">
        <f t="shared" si="18"/>
        <v>/* JUNIO        */ { nombre: "Adviento, Semana I, SÁBADO", archivo: "/ev/ta/1/sábado.mp3", fecha: `${year}-06-28` },</v>
      </c>
      <c r="L196" s="10">
        <f t="shared" si="19"/>
        <v>45836</v>
      </c>
    </row>
    <row r="197" spans="1:12" hidden="1" x14ac:dyDescent="0.25">
      <c r="A197" t="str" cm="1">
        <f t="array" ref="A197">_xlfn.IFS(E197="Adviento","ta", E197="Navidad","tn", E197="Epifania","te", E197="Ordinario","to", E197="Cuaresma","tc", E197="Domingo De Ramos","tc", E197="Semana Santa","ss", E197="Triduo Pascual","tp", E197="Vigilia Pascual","tp", E197="Pascual","tp")</f>
        <v>ta</v>
      </c>
      <c r="B197" s="14" t="str">
        <f t="shared" si="20"/>
        <v>/* JUNIO        */</v>
      </c>
      <c r="C197" s="15">
        <f t="shared" si="15"/>
        <v>45837</v>
      </c>
      <c r="D197" s="9">
        <f t="shared" si="16"/>
        <v>45837</v>
      </c>
      <c r="E197" t="s">
        <v>46</v>
      </c>
      <c r="F197" t="s">
        <v>43</v>
      </c>
      <c r="G197">
        <v>1</v>
      </c>
      <c r="I197" s="11">
        <f t="shared" si="17"/>
        <v>45837</v>
      </c>
      <c r="J197" t="s">
        <v>44</v>
      </c>
      <c r="K197" t="str">
        <f t="shared" si="18"/>
        <v>/* JUNIO        */ { nombre: "Adviento, Semana I, DOMINGO", archivo: "/ev/ta/1/domingo.mp3", fecha: `${year}-06-29` },</v>
      </c>
      <c r="L197" s="10">
        <f t="shared" si="19"/>
        <v>45837</v>
      </c>
    </row>
    <row r="198" spans="1:12" hidden="1" x14ac:dyDescent="0.25">
      <c r="A198" t="str" cm="1">
        <f t="array" ref="A198">_xlfn.IFS(E198="Adviento","ta", E198="Navidad","tn", E198="Epifania","te", E198="Ordinario","to", E198="Cuaresma","tc", E198="Domingo De Ramos","tc", E198="Semana Santa","ss", E198="Triduo Pascual","tp", E198="Vigilia Pascual","tp", E198="Pascual","tp")</f>
        <v>ta</v>
      </c>
      <c r="B198" s="14" t="str">
        <f t="shared" si="20"/>
        <v>/* JUNIO        */</v>
      </c>
      <c r="C198" s="15">
        <f t="shared" si="15"/>
        <v>45838</v>
      </c>
      <c r="D198" s="9">
        <f t="shared" si="16"/>
        <v>45838</v>
      </c>
      <c r="E198" t="s">
        <v>46</v>
      </c>
      <c r="F198" t="s">
        <v>43</v>
      </c>
      <c r="G198">
        <v>1</v>
      </c>
      <c r="I198" s="11">
        <f t="shared" si="17"/>
        <v>45838</v>
      </c>
      <c r="J198" t="s">
        <v>44</v>
      </c>
      <c r="K198" t="str">
        <f t="shared" si="18"/>
        <v>/* JUNIO        */ { nombre: "Adviento, Semana I, LUNES", archivo: "/ev/ta/1/lunes.mp3", fecha: `${year}-06-30` },</v>
      </c>
      <c r="L198" s="10">
        <f t="shared" si="19"/>
        <v>45838</v>
      </c>
    </row>
    <row r="199" spans="1:12" hidden="1" x14ac:dyDescent="0.25">
      <c r="A199" t="str" cm="1">
        <f t="array" ref="A199">_xlfn.IFS(E199="Adviento","ta", E199="Navidad","tn", E199="Epifania","te", E199="Ordinario","to", E199="Cuaresma","tc", E199="Domingo De Ramos","tc", E199="Semana Santa","ss", E199="Triduo Pascual","tp", E199="Vigilia Pascual","tp", E199="Pascual","tp")</f>
        <v>ta</v>
      </c>
      <c r="B199" s="14" t="str">
        <f t="shared" si="20"/>
        <v>/* JULIO        */</v>
      </c>
      <c r="C199" s="15">
        <f t="shared" si="15"/>
        <v>45839</v>
      </c>
      <c r="D199" s="9">
        <f t="shared" si="16"/>
        <v>45839</v>
      </c>
      <c r="E199" t="s">
        <v>46</v>
      </c>
      <c r="F199" t="s">
        <v>43</v>
      </c>
      <c r="G199">
        <v>1</v>
      </c>
      <c r="I199" s="11">
        <f t="shared" si="17"/>
        <v>45839</v>
      </c>
      <c r="J199" t="s">
        <v>44</v>
      </c>
      <c r="K199" t="str">
        <f t="shared" si="18"/>
        <v>/* JULIO        */ { nombre: "Adviento, Semana I, MARTES", archivo: "/ev/ta/1/martes.mp3", fecha: `${year}-07-01` },</v>
      </c>
      <c r="L199" s="10">
        <f t="shared" si="19"/>
        <v>45839</v>
      </c>
    </row>
    <row r="200" spans="1:12" hidden="1" x14ac:dyDescent="0.25">
      <c r="A200" t="str" cm="1">
        <f t="array" ref="A200">_xlfn.IFS(E200="Adviento","ta", E200="Navidad","tn", E200="Epifania","te", E200="Ordinario","to", E200="Cuaresma","tc", E200="Domingo De Ramos","tc", E200="Semana Santa","ss", E200="Triduo Pascual","tp", E200="Vigilia Pascual","tp", E200="Pascual","tp")</f>
        <v>ta</v>
      </c>
      <c r="B200" s="14" t="str">
        <f t="shared" si="20"/>
        <v>/* JULIO        */</v>
      </c>
      <c r="C200" s="15">
        <f t="shared" si="15"/>
        <v>45840</v>
      </c>
      <c r="D200" s="9">
        <f t="shared" si="16"/>
        <v>45840</v>
      </c>
      <c r="E200" t="s">
        <v>46</v>
      </c>
      <c r="F200" t="s">
        <v>43</v>
      </c>
      <c r="G200">
        <v>1</v>
      </c>
      <c r="I200" s="11">
        <f t="shared" si="17"/>
        <v>45840</v>
      </c>
      <c r="J200" t="s">
        <v>44</v>
      </c>
      <c r="K200" t="str">
        <f t="shared" si="18"/>
        <v>/* JULIO        */ { nombre: "Adviento, Semana I, MIÉRCOLES", archivo: "/ev/ta/1/miércoles.mp3", fecha: `${year}-07-02` },</v>
      </c>
      <c r="L200" s="10">
        <f t="shared" si="19"/>
        <v>45840</v>
      </c>
    </row>
    <row r="201" spans="1:12" hidden="1" x14ac:dyDescent="0.25">
      <c r="A201" t="str" cm="1">
        <f t="array" ref="A201">_xlfn.IFS(E201="Adviento","ta", E201="Navidad","tn", E201="Epifania","te", E201="Ordinario","to", E201="Cuaresma","tc", E201="Domingo De Ramos","tc", E201="Semana Santa","ss", E201="Triduo Pascual","tp", E201="Vigilia Pascual","tp", E201="Pascual","tp")</f>
        <v>ta</v>
      </c>
      <c r="B201" s="14" t="str">
        <f t="shared" si="20"/>
        <v>/* JULIO        */</v>
      </c>
      <c r="C201" s="15">
        <f t="shared" si="15"/>
        <v>45841</v>
      </c>
      <c r="D201" s="9">
        <f t="shared" si="16"/>
        <v>45841</v>
      </c>
      <c r="E201" t="s">
        <v>46</v>
      </c>
      <c r="F201" t="s">
        <v>43</v>
      </c>
      <c r="G201">
        <v>1</v>
      </c>
      <c r="I201" s="11">
        <f t="shared" si="17"/>
        <v>45841</v>
      </c>
      <c r="J201" t="s">
        <v>44</v>
      </c>
      <c r="K201" t="str">
        <f t="shared" si="18"/>
        <v>/* JULIO        */ { nombre: "Adviento, Semana I, JUEVES", archivo: "/ev/ta/1/jueves.mp3", fecha: `${year}-07-03` },</v>
      </c>
      <c r="L201" s="10">
        <f t="shared" si="19"/>
        <v>45841</v>
      </c>
    </row>
    <row r="202" spans="1:12" hidden="1" x14ac:dyDescent="0.25">
      <c r="A202" t="str" cm="1">
        <f t="array" ref="A202">_xlfn.IFS(E202="Adviento","ta", E202="Navidad","tn", E202="Epifania","te", E202="Ordinario","to", E202="Cuaresma","tc", E202="Domingo De Ramos","tc", E202="Semana Santa","ss", E202="Triduo Pascual","tp", E202="Vigilia Pascual","tp", E202="Pascual","tp")</f>
        <v>ta</v>
      </c>
      <c r="B202" s="14" t="str">
        <f t="shared" si="20"/>
        <v>/* JULIO        */</v>
      </c>
      <c r="C202" s="15">
        <f t="shared" si="15"/>
        <v>45842</v>
      </c>
      <c r="D202" s="9">
        <f t="shared" si="16"/>
        <v>45842</v>
      </c>
      <c r="E202" t="s">
        <v>46</v>
      </c>
      <c r="F202" t="s">
        <v>43</v>
      </c>
      <c r="G202">
        <v>1</v>
      </c>
      <c r="I202" s="11">
        <f t="shared" si="17"/>
        <v>45842</v>
      </c>
      <c r="J202" t="s">
        <v>44</v>
      </c>
      <c r="K202" t="str">
        <f t="shared" si="18"/>
        <v>/* JULIO        */ { nombre: "Adviento, Semana I, VIERNES", archivo: "/ev/ta/1/viernes.mp3", fecha: `${year}-07-04` },</v>
      </c>
      <c r="L202" s="10">
        <f t="shared" si="19"/>
        <v>45842</v>
      </c>
    </row>
    <row r="203" spans="1:12" hidden="1" x14ac:dyDescent="0.25">
      <c r="A203" t="str" cm="1">
        <f t="array" ref="A203">_xlfn.IFS(E203="Adviento","ta", E203="Navidad","tn", E203="Epifania","te", E203="Ordinario","to", E203="Cuaresma","tc", E203="Domingo De Ramos","tc", E203="Semana Santa","ss", E203="Triduo Pascual","tp", E203="Vigilia Pascual","tp", E203="Pascual","tp")</f>
        <v>ta</v>
      </c>
      <c r="B203" s="14" t="str">
        <f t="shared" si="20"/>
        <v>/* JULIO        */</v>
      </c>
      <c r="C203" s="15">
        <f t="shared" si="15"/>
        <v>45843</v>
      </c>
      <c r="D203" s="9">
        <f t="shared" si="16"/>
        <v>45843</v>
      </c>
      <c r="E203" t="s">
        <v>46</v>
      </c>
      <c r="F203" t="s">
        <v>43</v>
      </c>
      <c r="G203">
        <v>1</v>
      </c>
      <c r="I203" s="11">
        <f t="shared" si="17"/>
        <v>45843</v>
      </c>
      <c r="J203" t="s">
        <v>44</v>
      </c>
      <c r="K203" t="str">
        <f t="shared" si="18"/>
        <v>/* JULIO        */ { nombre: "Adviento, Semana I, SÁBADO", archivo: "/ev/ta/1/sábado.mp3", fecha: `${year}-07-05` },</v>
      </c>
      <c r="L203" s="10">
        <f t="shared" si="19"/>
        <v>45843</v>
      </c>
    </row>
    <row r="204" spans="1:12" hidden="1" x14ac:dyDescent="0.25">
      <c r="A204" t="str" cm="1">
        <f t="array" ref="A204">_xlfn.IFS(E204="Adviento","ta", E204="Navidad","tn", E204="Epifania","te", E204="Ordinario","to", E204="Cuaresma","tc", E204="Domingo De Ramos","tc", E204="Semana Santa","ss", E204="Triduo Pascual","tp", E204="Vigilia Pascual","tp", E204="Pascual","tp")</f>
        <v>ta</v>
      </c>
      <c r="B204" s="14" t="str">
        <f t="shared" si="20"/>
        <v>/* JULIO        */</v>
      </c>
      <c r="C204" s="15">
        <f t="shared" si="15"/>
        <v>45844</v>
      </c>
      <c r="D204" s="9">
        <f t="shared" si="16"/>
        <v>45844</v>
      </c>
      <c r="E204" t="s">
        <v>46</v>
      </c>
      <c r="F204" t="s">
        <v>43</v>
      </c>
      <c r="G204">
        <v>1</v>
      </c>
      <c r="I204" s="11">
        <f t="shared" si="17"/>
        <v>45844</v>
      </c>
      <c r="J204" t="s">
        <v>44</v>
      </c>
      <c r="K204" t="str">
        <f t="shared" si="18"/>
        <v>/* JULIO        */ { nombre: "Adviento, Semana I, DOMINGO", archivo: "/ev/ta/1/domingo.mp3", fecha: `${year}-07-06` },</v>
      </c>
      <c r="L204" s="10">
        <f t="shared" si="19"/>
        <v>45844</v>
      </c>
    </row>
    <row r="205" spans="1:12" hidden="1" x14ac:dyDescent="0.25">
      <c r="A205" t="str" cm="1">
        <f t="array" ref="A205">_xlfn.IFS(E205="Adviento","ta", E205="Navidad","tn", E205="Epifania","te", E205="Ordinario","to", E205="Cuaresma","tc", E205="Domingo De Ramos","tc", E205="Semana Santa","ss", E205="Triduo Pascual","tp", E205="Vigilia Pascual","tp", E205="Pascual","tp")</f>
        <v>ta</v>
      </c>
      <c r="B205" s="14" t="str">
        <f t="shared" si="20"/>
        <v>/* JULIO        */</v>
      </c>
      <c r="C205" s="15">
        <f t="shared" si="15"/>
        <v>45845</v>
      </c>
      <c r="D205" s="9">
        <f t="shared" si="16"/>
        <v>45845</v>
      </c>
      <c r="E205" t="s">
        <v>46</v>
      </c>
      <c r="F205" t="s">
        <v>43</v>
      </c>
      <c r="G205">
        <v>1</v>
      </c>
      <c r="I205" s="11">
        <f t="shared" si="17"/>
        <v>45845</v>
      </c>
      <c r="J205" t="s">
        <v>44</v>
      </c>
      <c r="K205" t="str">
        <f t="shared" si="18"/>
        <v>/* JULIO        */ { nombre: "Adviento, Semana I, LUNES", archivo: "/ev/ta/1/lunes.mp3", fecha: `${year}-07-07` },</v>
      </c>
      <c r="L205" s="10">
        <f t="shared" si="19"/>
        <v>45845</v>
      </c>
    </row>
    <row r="206" spans="1:12" hidden="1" x14ac:dyDescent="0.25">
      <c r="A206" t="str" cm="1">
        <f t="array" ref="A206">_xlfn.IFS(E206="Adviento","ta", E206="Navidad","tn", E206="Epifania","te", E206="Ordinario","to", E206="Cuaresma","tc", E206="Domingo De Ramos","tc", E206="Semana Santa","ss", E206="Triduo Pascual","tp", E206="Vigilia Pascual","tp", E206="Pascual","tp")</f>
        <v>ta</v>
      </c>
      <c r="B206" s="14" t="str">
        <f t="shared" si="20"/>
        <v>/* JULIO        */</v>
      </c>
      <c r="C206" s="15">
        <f t="shared" si="15"/>
        <v>45846</v>
      </c>
      <c r="D206" s="9">
        <f t="shared" si="16"/>
        <v>45846</v>
      </c>
      <c r="E206" t="s">
        <v>46</v>
      </c>
      <c r="F206" t="s">
        <v>43</v>
      </c>
      <c r="G206">
        <v>1</v>
      </c>
      <c r="I206" s="11">
        <f t="shared" si="17"/>
        <v>45846</v>
      </c>
      <c r="J206" t="s">
        <v>44</v>
      </c>
      <c r="K206" t="str">
        <f t="shared" si="18"/>
        <v>/* JULIO        */ { nombre: "Adviento, Semana I, MARTES", archivo: "/ev/ta/1/martes.mp3", fecha: `${year}-07-08` },</v>
      </c>
      <c r="L206" s="10">
        <f t="shared" si="19"/>
        <v>45846</v>
      </c>
    </row>
    <row r="207" spans="1:12" hidden="1" x14ac:dyDescent="0.25">
      <c r="A207" t="str" cm="1">
        <f t="array" ref="A207">_xlfn.IFS(E207="Adviento","ta", E207="Navidad","tn", E207="Epifania","te", E207="Ordinario","to", E207="Cuaresma","tc", E207="Domingo De Ramos","tc", E207="Semana Santa","ss", E207="Triduo Pascual","tp", E207="Vigilia Pascual","tp", E207="Pascual","tp")</f>
        <v>ta</v>
      </c>
      <c r="B207" s="14" t="str">
        <f t="shared" si="20"/>
        <v>/* JULIO        */</v>
      </c>
      <c r="C207" s="15">
        <f t="shared" si="15"/>
        <v>45847</v>
      </c>
      <c r="D207" s="9">
        <f t="shared" si="16"/>
        <v>45847</v>
      </c>
      <c r="E207" t="s">
        <v>46</v>
      </c>
      <c r="F207" t="s">
        <v>43</v>
      </c>
      <c r="G207">
        <v>1</v>
      </c>
      <c r="I207" s="11">
        <f t="shared" si="17"/>
        <v>45847</v>
      </c>
      <c r="J207" t="s">
        <v>44</v>
      </c>
      <c r="K207" t="str">
        <f t="shared" si="18"/>
        <v>/* JULIO        */ { nombre: "Adviento, Semana I, MIÉRCOLES", archivo: "/ev/ta/1/miércoles.mp3", fecha: `${year}-07-09` },</v>
      </c>
      <c r="L207" s="10">
        <f t="shared" si="19"/>
        <v>45847</v>
      </c>
    </row>
    <row r="208" spans="1:12" hidden="1" x14ac:dyDescent="0.25">
      <c r="A208" t="str" cm="1">
        <f t="array" ref="A208">_xlfn.IFS(E208="Adviento","ta", E208="Navidad","tn", E208="Epifania","te", E208="Ordinario","to", E208="Cuaresma","tc", E208="Domingo De Ramos","tc", E208="Semana Santa","ss", E208="Triduo Pascual","tp", E208="Vigilia Pascual","tp", E208="Pascual","tp")</f>
        <v>ta</v>
      </c>
      <c r="B208" s="14" t="str">
        <f t="shared" si="20"/>
        <v>/* JULIO        */</v>
      </c>
      <c r="C208" s="15">
        <f t="shared" si="15"/>
        <v>45848</v>
      </c>
      <c r="D208" s="9">
        <f t="shared" si="16"/>
        <v>45848</v>
      </c>
      <c r="E208" t="s">
        <v>46</v>
      </c>
      <c r="F208" t="s">
        <v>43</v>
      </c>
      <c r="G208">
        <v>1</v>
      </c>
      <c r="I208" s="11">
        <f t="shared" si="17"/>
        <v>45848</v>
      </c>
      <c r="J208" t="s">
        <v>44</v>
      </c>
      <c r="K208" t="str">
        <f t="shared" si="18"/>
        <v>/* JULIO        */ { nombre: "Adviento, Semana I, JUEVES", archivo: "/ev/ta/1/jueves.mp3", fecha: `${year}-07-10` },</v>
      </c>
      <c r="L208" s="10">
        <f t="shared" si="19"/>
        <v>45848</v>
      </c>
    </row>
    <row r="209" spans="1:12" hidden="1" x14ac:dyDescent="0.25">
      <c r="A209" t="str" cm="1">
        <f t="array" ref="A209">_xlfn.IFS(E209="Adviento","ta", E209="Navidad","tn", E209="Epifania","te", E209="Ordinario","to", E209="Cuaresma","tc", E209="Domingo De Ramos","tc", E209="Semana Santa","ss", E209="Triduo Pascual","tp", E209="Vigilia Pascual","tp", E209="Pascual","tp")</f>
        <v>ta</v>
      </c>
      <c r="B209" s="14" t="str">
        <f t="shared" si="20"/>
        <v>/* JULIO        */</v>
      </c>
      <c r="C209" s="15">
        <f t="shared" si="15"/>
        <v>45849</v>
      </c>
      <c r="D209" s="9">
        <f t="shared" si="16"/>
        <v>45849</v>
      </c>
      <c r="E209" t="s">
        <v>46</v>
      </c>
      <c r="F209" t="s">
        <v>43</v>
      </c>
      <c r="G209">
        <v>1</v>
      </c>
      <c r="I209" s="11">
        <f t="shared" si="17"/>
        <v>45849</v>
      </c>
      <c r="J209" t="s">
        <v>44</v>
      </c>
      <c r="K209" t="str">
        <f t="shared" si="18"/>
        <v>/* JULIO        */ { nombre: "Adviento, Semana I, VIERNES", archivo: "/ev/ta/1/viernes.mp3", fecha: `${year}-07-11` },</v>
      </c>
      <c r="L209" s="10">
        <f t="shared" si="19"/>
        <v>45849</v>
      </c>
    </row>
    <row r="210" spans="1:12" hidden="1" x14ac:dyDescent="0.25">
      <c r="A210" t="str" cm="1">
        <f t="array" ref="A210">_xlfn.IFS(E210="Adviento","ta", E210="Navidad","tn", E210="Epifania","te", E210="Ordinario","to", E210="Cuaresma","tc", E210="Domingo De Ramos","tc", E210="Semana Santa","ss", E210="Triduo Pascual","tp", E210="Vigilia Pascual","tp", E210="Pascual","tp")</f>
        <v>ta</v>
      </c>
      <c r="B210" s="14" t="str">
        <f t="shared" si="20"/>
        <v>/* JULIO        */</v>
      </c>
      <c r="C210" s="15">
        <f t="shared" si="15"/>
        <v>45850</v>
      </c>
      <c r="D210" s="9">
        <f t="shared" si="16"/>
        <v>45850</v>
      </c>
      <c r="E210" t="s">
        <v>46</v>
      </c>
      <c r="F210" t="s">
        <v>43</v>
      </c>
      <c r="G210">
        <v>1</v>
      </c>
      <c r="I210" s="11">
        <f t="shared" si="17"/>
        <v>45850</v>
      </c>
      <c r="J210" t="s">
        <v>44</v>
      </c>
      <c r="K210" t="str">
        <f t="shared" si="18"/>
        <v>/* JULIO        */ { nombre: "Adviento, Semana I, SÁBADO", archivo: "/ev/ta/1/sábado.mp3", fecha: `${year}-07-12` },</v>
      </c>
      <c r="L210" s="10">
        <f t="shared" si="19"/>
        <v>45850</v>
      </c>
    </row>
    <row r="211" spans="1:12" hidden="1" x14ac:dyDescent="0.25">
      <c r="A211" t="str" cm="1">
        <f t="array" ref="A211">_xlfn.IFS(E211="Adviento","ta", E211="Navidad","tn", E211="Epifania","te", E211="Ordinario","to", E211="Cuaresma","tc", E211="Domingo De Ramos","tc", E211="Semana Santa","ss", E211="Triduo Pascual","tp", E211="Vigilia Pascual","tp", E211="Pascual","tp")</f>
        <v>ta</v>
      </c>
      <c r="B211" s="14" t="str">
        <f t="shared" si="20"/>
        <v>/* JULIO        */</v>
      </c>
      <c r="C211" s="15">
        <f t="shared" si="15"/>
        <v>45851</v>
      </c>
      <c r="D211" s="9">
        <f t="shared" si="16"/>
        <v>45851</v>
      </c>
      <c r="E211" t="s">
        <v>46</v>
      </c>
      <c r="F211" t="s">
        <v>43</v>
      </c>
      <c r="G211">
        <v>1</v>
      </c>
      <c r="I211" s="11">
        <f t="shared" si="17"/>
        <v>45851</v>
      </c>
      <c r="J211" t="s">
        <v>44</v>
      </c>
      <c r="K211" t="str">
        <f t="shared" si="18"/>
        <v>/* JULIO        */ { nombre: "Adviento, Semana I, DOMINGO", archivo: "/ev/ta/1/domingo.mp3", fecha: `${year}-07-13` },</v>
      </c>
      <c r="L211" s="10">
        <f t="shared" si="19"/>
        <v>45851</v>
      </c>
    </row>
    <row r="212" spans="1:12" hidden="1" x14ac:dyDescent="0.25">
      <c r="A212" t="str" cm="1">
        <f t="array" ref="A212">_xlfn.IFS(E212="Adviento","ta", E212="Navidad","tn", E212="Epifania","te", E212="Ordinario","to", E212="Cuaresma","tc", E212="Domingo De Ramos","tc", E212="Semana Santa","ss", E212="Triduo Pascual","tp", E212="Vigilia Pascual","tp", E212="Pascual","tp")</f>
        <v>ta</v>
      </c>
      <c r="B212" s="14" t="str">
        <f t="shared" si="20"/>
        <v>/* JULIO        */</v>
      </c>
      <c r="C212" s="15">
        <f t="shared" si="15"/>
        <v>45852</v>
      </c>
      <c r="D212" s="9">
        <f t="shared" si="16"/>
        <v>45852</v>
      </c>
      <c r="E212" t="s">
        <v>46</v>
      </c>
      <c r="F212" t="s">
        <v>43</v>
      </c>
      <c r="G212">
        <v>1</v>
      </c>
      <c r="I212" s="11">
        <f t="shared" si="17"/>
        <v>45852</v>
      </c>
      <c r="J212" t="s">
        <v>44</v>
      </c>
      <c r="K212" t="str">
        <f t="shared" si="18"/>
        <v>/* JULIO        */ { nombre: "Adviento, Semana I, LUNES", archivo: "/ev/ta/1/lunes.mp3", fecha: `${year}-07-14` },</v>
      </c>
      <c r="L212" s="10">
        <f t="shared" si="19"/>
        <v>45852</v>
      </c>
    </row>
    <row r="213" spans="1:12" hidden="1" x14ac:dyDescent="0.25">
      <c r="A213" t="str" cm="1">
        <f t="array" ref="A213">_xlfn.IFS(E213="Adviento","ta", E213="Navidad","tn", E213="Epifania","te", E213="Ordinario","to", E213="Cuaresma","tc", E213="Domingo De Ramos","tc", E213="Semana Santa","ss", E213="Triduo Pascual","tp", E213="Vigilia Pascual","tp", E213="Pascual","tp")</f>
        <v>ta</v>
      </c>
      <c r="B213" s="14" t="str">
        <f t="shared" si="20"/>
        <v>/* JULIO        */</v>
      </c>
      <c r="C213" s="15">
        <f t="shared" ref="C213:C244" si="21">+C212+1</f>
        <v>45853</v>
      </c>
      <c r="D213" s="9">
        <f t="shared" ref="D213:D244" si="22">+D212+1</f>
        <v>45853</v>
      </c>
      <c r="E213" t="s">
        <v>46</v>
      </c>
      <c r="F213" t="s">
        <v>43</v>
      </c>
      <c r="G213">
        <v>1</v>
      </c>
      <c r="I213" s="11">
        <f t="shared" ref="I213:I244" si="23">D213</f>
        <v>45853</v>
      </c>
      <c r="J213" t="s">
        <v>44</v>
      </c>
      <c r="K213" t="str">
        <f t="shared" ref="K213:K244" si="24">_xlfn.CONCAT(B213, " ", "{ nombre: ", CHAR(34), E213, ", ", F213, " ", ROMAN(G213),H213, ", ", UPPER(TEXT(D213, "[$-es-ES]dddd")), CHAR(34), ", archivo: ", CHAR(34), "/ev/", _xlfn.IFS(E213="Adviento","ta", E213="Navidad","tn", E213="Epifania","te", E213="Ordinario","to", E213="Cuaresma","tc", E213="Domingo De Ramos","tc", E213="Semana Santa","ss", E213="Triduo Pascual","tp", E213="Vigilia Pascual","tp", E213="Pascual","tp"), "/", G213, "/", TEXT(D213, "[$-es-ES]dddd"), ".mp3", CHAR(34), ", fecha: `${year}-", TEXT(D213, "mm-dd"), "` },")</f>
        <v>/* JULIO        */ { nombre: "Adviento, Semana I, MARTES", archivo: "/ev/ta/1/martes.mp3", fecha: `${year}-07-15` },</v>
      </c>
      <c r="L213" s="10">
        <f t="shared" ref="L213:L244" si="25">D213</f>
        <v>45853</v>
      </c>
    </row>
    <row r="214" spans="1:12" hidden="1" x14ac:dyDescent="0.25">
      <c r="A214" t="str" cm="1">
        <f t="array" ref="A214">_xlfn.IFS(E214="Adviento","ta", E214="Navidad","tn", E214="Epifania","te", E214="Ordinario","to", E214="Cuaresma","tc", E214="Domingo De Ramos","tc", E214="Semana Santa","ss", E214="Triduo Pascual","tp", E214="Vigilia Pascual","tp", E214="Pascual","tp")</f>
        <v>ta</v>
      </c>
      <c r="B214" s="14" t="str">
        <f t="shared" ref="B214:B277" si="26">_xlfn.CONCAT("/* ",UPPER(TEXT(D214,"[$-es-ES]mmmm")),"        */")</f>
        <v>/* JULIO        */</v>
      </c>
      <c r="C214" s="15">
        <f t="shared" si="21"/>
        <v>45854</v>
      </c>
      <c r="D214" s="9">
        <f t="shared" si="22"/>
        <v>45854</v>
      </c>
      <c r="E214" t="s">
        <v>46</v>
      </c>
      <c r="F214" t="s">
        <v>43</v>
      </c>
      <c r="G214">
        <v>1</v>
      </c>
      <c r="I214" s="11">
        <f t="shared" si="23"/>
        <v>45854</v>
      </c>
      <c r="J214" t="s">
        <v>44</v>
      </c>
      <c r="K214" t="str">
        <f t="shared" si="24"/>
        <v>/* JULIO        */ { nombre: "Adviento, Semana I, MIÉRCOLES", archivo: "/ev/ta/1/miércoles.mp3", fecha: `${year}-07-16` },</v>
      </c>
      <c r="L214" s="10">
        <f t="shared" si="25"/>
        <v>45854</v>
      </c>
    </row>
    <row r="215" spans="1:12" hidden="1" x14ac:dyDescent="0.25">
      <c r="A215" t="str" cm="1">
        <f t="array" ref="A215">_xlfn.IFS(E215="Adviento","ta", E215="Navidad","tn", E215="Epifania","te", E215="Ordinario","to", E215="Cuaresma","tc", E215="Domingo De Ramos","tc", E215="Semana Santa","ss", E215="Triduo Pascual","tp", E215="Vigilia Pascual","tp", E215="Pascual","tp")</f>
        <v>ta</v>
      </c>
      <c r="B215" s="14" t="str">
        <f t="shared" si="26"/>
        <v>/* JULIO        */</v>
      </c>
      <c r="C215" s="15">
        <f t="shared" si="21"/>
        <v>45855</v>
      </c>
      <c r="D215" s="9">
        <f t="shared" si="22"/>
        <v>45855</v>
      </c>
      <c r="E215" t="s">
        <v>46</v>
      </c>
      <c r="F215" t="s">
        <v>43</v>
      </c>
      <c r="G215">
        <v>1</v>
      </c>
      <c r="I215" s="11">
        <f t="shared" si="23"/>
        <v>45855</v>
      </c>
      <c r="J215" t="s">
        <v>44</v>
      </c>
      <c r="K215" t="str">
        <f t="shared" si="24"/>
        <v>/* JULIO        */ { nombre: "Adviento, Semana I, JUEVES", archivo: "/ev/ta/1/jueves.mp3", fecha: `${year}-07-17` },</v>
      </c>
      <c r="L215" s="10">
        <f t="shared" si="25"/>
        <v>45855</v>
      </c>
    </row>
    <row r="216" spans="1:12" hidden="1" x14ac:dyDescent="0.25">
      <c r="A216" t="str" cm="1">
        <f t="array" ref="A216">_xlfn.IFS(E216="Adviento","ta", E216="Navidad","tn", E216="Epifania","te", E216="Ordinario","to", E216="Cuaresma","tc", E216="Domingo De Ramos","tc", E216="Semana Santa","ss", E216="Triduo Pascual","tp", E216="Vigilia Pascual","tp", E216="Pascual","tp")</f>
        <v>ta</v>
      </c>
      <c r="B216" s="14" t="str">
        <f t="shared" si="26"/>
        <v>/* JULIO        */</v>
      </c>
      <c r="C216" s="15">
        <f t="shared" si="21"/>
        <v>45856</v>
      </c>
      <c r="D216" s="9">
        <f t="shared" si="22"/>
        <v>45856</v>
      </c>
      <c r="E216" t="s">
        <v>46</v>
      </c>
      <c r="F216" t="s">
        <v>43</v>
      </c>
      <c r="G216">
        <v>1</v>
      </c>
      <c r="I216" s="11">
        <f t="shared" si="23"/>
        <v>45856</v>
      </c>
      <c r="J216" t="s">
        <v>44</v>
      </c>
      <c r="K216" t="str">
        <f t="shared" si="24"/>
        <v>/* JULIO        */ { nombre: "Adviento, Semana I, VIERNES", archivo: "/ev/ta/1/viernes.mp3", fecha: `${year}-07-18` },</v>
      </c>
      <c r="L216" s="10">
        <f t="shared" si="25"/>
        <v>45856</v>
      </c>
    </row>
    <row r="217" spans="1:12" hidden="1" x14ac:dyDescent="0.25">
      <c r="A217" t="str" cm="1">
        <f t="array" ref="A217">_xlfn.IFS(E217="Adviento","ta", E217="Navidad","tn", E217="Epifania","te", E217="Ordinario","to", E217="Cuaresma","tc", E217="Domingo De Ramos","tc", E217="Semana Santa","ss", E217="Triduo Pascual","tp", E217="Vigilia Pascual","tp", E217="Pascual","tp")</f>
        <v>ta</v>
      </c>
      <c r="B217" s="14" t="str">
        <f t="shared" si="26"/>
        <v>/* JULIO        */</v>
      </c>
      <c r="C217" s="15">
        <f t="shared" si="21"/>
        <v>45857</v>
      </c>
      <c r="D217" s="9">
        <f t="shared" si="22"/>
        <v>45857</v>
      </c>
      <c r="E217" t="s">
        <v>46</v>
      </c>
      <c r="F217" t="s">
        <v>43</v>
      </c>
      <c r="G217">
        <v>1</v>
      </c>
      <c r="I217" s="11">
        <f t="shared" si="23"/>
        <v>45857</v>
      </c>
      <c r="J217" t="s">
        <v>44</v>
      </c>
      <c r="K217" t="str">
        <f t="shared" si="24"/>
        <v>/* JULIO        */ { nombre: "Adviento, Semana I, SÁBADO", archivo: "/ev/ta/1/sábado.mp3", fecha: `${year}-07-19` },</v>
      </c>
      <c r="L217" s="10">
        <f t="shared" si="25"/>
        <v>45857</v>
      </c>
    </row>
    <row r="218" spans="1:12" hidden="1" x14ac:dyDescent="0.25">
      <c r="A218" t="str" cm="1">
        <f t="array" ref="A218">_xlfn.IFS(E218="Adviento","ta", E218="Navidad","tn", E218="Epifania","te", E218="Ordinario","to", E218="Cuaresma","tc", E218="Domingo De Ramos","tc", E218="Semana Santa","ss", E218="Triduo Pascual","tp", E218="Vigilia Pascual","tp", E218="Pascual","tp")</f>
        <v>ta</v>
      </c>
      <c r="B218" s="14" t="str">
        <f t="shared" si="26"/>
        <v>/* JULIO        */</v>
      </c>
      <c r="C218" s="15">
        <f t="shared" si="21"/>
        <v>45858</v>
      </c>
      <c r="D218" s="9">
        <f t="shared" si="22"/>
        <v>45858</v>
      </c>
      <c r="E218" t="s">
        <v>46</v>
      </c>
      <c r="F218" t="s">
        <v>43</v>
      </c>
      <c r="G218">
        <v>1</v>
      </c>
      <c r="I218" s="11">
        <f t="shared" si="23"/>
        <v>45858</v>
      </c>
      <c r="J218" t="s">
        <v>44</v>
      </c>
      <c r="K218" t="str">
        <f t="shared" si="24"/>
        <v>/* JULIO        */ { nombre: "Adviento, Semana I, DOMINGO", archivo: "/ev/ta/1/domingo.mp3", fecha: `${year}-07-20` },</v>
      </c>
      <c r="L218" s="10">
        <f t="shared" si="25"/>
        <v>45858</v>
      </c>
    </row>
    <row r="219" spans="1:12" hidden="1" x14ac:dyDescent="0.25">
      <c r="A219" t="str" cm="1">
        <f t="array" ref="A219">_xlfn.IFS(E219="Adviento","ta", E219="Navidad","tn", E219="Epifania","te", E219="Ordinario","to", E219="Cuaresma","tc", E219="Domingo De Ramos","tc", E219="Semana Santa","ss", E219="Triduo Pascual","tp", E219="Vigilia Pascual","tp", E219="Pascual","tp")</f>
        <v>ta</v>
      </c>
      <c r="B219" s="14" t="str">
        <f t="shared" si="26"/>
        <v>/* JULIO        */</v>
      </c>
      <c r="C219" s="15">
        <f t="shared" si="21"/>
        <v>45859</v>
      </c>
      <c r="D219" s="9">
        <f t="shared" si="22"/>
        <v>45859</v>
      </c>
      <c r="E219" t="s">
        <v>46</v>
      </c>
      <c r="F219" t="s">
        <v>43</v>
      </c>
      <c r="G219">
        <v>1</v>
      </c>
      <c r="I219" s="11">
        <f t="shared" si="23"/>
        <v>45859</v>
      </c>
      <c r="J219" t="s">
        <v>44</v>
      </c>
      <c r="K219" t="str">
        <f t="shared" si="24"/>
        <v>/* JULIO        */ { nombre: "Adviento, Semana I, LUNES", archivo: "/ev/ta/1/lunes.mp3", fecha: `${year}-07-21` },</v>
      </c>
      <c r="L219" s="10">
        <f t="shared" si="25"/>
        <v>45859</v>
      </c>
    </row>
    <row r="220" spans="1:12" hidden="1" x14ac:dyDescent="0.25">
      <c r="A220" t="str" cm="1">
        <f t="array" ref="A220">_xlfn.IFS(E220="Adviento","ta", E220="Navidad","tn", E220="Epifania","te", E220="Ordinario","to", E220="Cuaresma","tc", E220="Domingo De Ramos","tc", E220="Semana Santa","ss", E220="Triduo Pascual","tp", E220="Vigilia Pascual","tp", E220="Pascual","tp")</f>
        <v>ta</v>
      </c>
      <c r="B220" s="14" t="str">
        <f t="shared" si="26"/>
        <v>/* JULIO        */</v>
      </c>
      <c r="C220" s="15">
        <f t="shared" si="21"/>
        <v>45860</v>
      </c>
      <c r="D220" s="9">
        <f t="shared" si="22"/>
        <v>45860</v>
      </c>
      <c r="E220" t="s">
        <v>46</v>
      </c>
      <c r="F220" t="s">
        <v>43</v>
      </c>
      <c r="G220">
        <v>1</v>
      </c>
      <c r="I220" s="11">
        <f t="shared" si="23"/>
        <v>45860</v>
      </c>
      <c r="J220" t="s">
        <v>44</v>
      </c>
      <c r="K220" t="str">
        <f t="shared" si="24"/>
        <v>/* JULIO        */ { nombre: "Adviento, Semana I, MARTES", archivo: "/ev/ta/1/martes.mp3", fecha: `${year}-07-22` },</v>
      </c>
      <c r="L220" s="10">
        <f t="shared" si="25"/>
        <v>45860</v>
      </c>
    </row>
    <row r="221" spans="1:12" hidden="1" x14ac:dyDescent="0.25">
      <c r="A221" t="str" cm="1">
        <f t="array" ref="A221">_xlfn.IFS(E221="Adviento","ta", E221="Navidad","tn", E221="Epifania","te", E221="Ordinario","to", E221="Cuaresma","tc", E221="Domingo De Ramos","tc", E221="Semana Santa","ss", E221="Triduo Pascual","tp", E221="Vigilia Pascual","tp", E221="Pascual","tp")</f>
        <v>ta</v>
      </c>
      <c r="B221" s="14" t="str">
        <f t="shared" si="26"/>
        <v>/* JULIO        */</v>
      </c>
      <c r="C221" s="15">
        <f t="shared" si="21"/>
        <v>45861</v>
      </c>
      <c r="D221" s="9">
        <f t="shared" si="22"/>
        <v>45861</v>
      </c>
      <c r="E221" t="s">
        <v>46</v>
      </c>
      <c r="F221" t="s">
        <v>43</v>
      </c>
      <c r="G221">
        <v>1</v>
      </c>
      <c r="I221" s="11">
        <f t="shared" si="23"/>
        <v>45861</v>
      </c>
      <c r="J221" t="s">
        <v>44</v>
      </c>
      <c r="K221" t="str">
        <f t="shared" si="24"/>
        <v>/* JULIO        */ { nombre: "Adviento, Semana I, MIÉRCOLES", archivo: "/ev/ta/1/miércoles.mp3", fecha: `${year}-07-23` },</v>
      </c>
      <c r="L221" s="10">
        <f t="shared" si="25"/>
        <v>45861</v>
      </c>
    </row>
    <row r="222" spans="1:12" hidden="1" x14ac:dyDescent="0.25">
      <c r="A222" t="str" cm="1">
        <f t="array" ref="A222">_xlfn.IFS(E222="Adviento","ta", E222="Navidad","tn", E222="Epifania","te", E222="Ordinario","to", E222="Cuaresma","tc", E222="Domingo De Ramos","tc", E222="Semana Santa","ss", E222="Triduo Pascual","tp", E222="Vigilia Pascual","tp", E222="Pascual","tp")</f>
        <v>ta</v>
      </c>
      <c r="B222" s="14" t="str">
        <f t="shared" si="26"/>
        <v>/* JULIO        */</v>
      </c>
      <c r="C222" s="15">
        <f t="shared" si="21"/>
        <v>45862</v>
      </c>
      <c r="D222" s="9">
        <f t="shared" si="22"/>
        <v>45862</v>
      </c>
      <c r="E222" t="s">
        <v>46</v>
      </c>
      <c r="F222" t="s">
        <v>43</v>
      </c>
      <c r="G222">
        <v>1</v>
      </c>
      <c r="I222" s="11">
        <f t="shared" si="23"/>
        <v>45862</v>
      </c>
      <c r="J222" t="s">
        <v>44</v>
      </c>
      <c r="K222" t="str">
        <f t="shared" si="24"/>
        <v>/* JULIO        */ { nombre: "Adviento, Semana I, JUEVES", archivo: "/ev/ta/1/jueves.mp3", fecha: `${year}-07-24` },</v>
      </c>
      <c r="L222" s="10">
        <f t="shared" si="25"/>
        <v>45862</v>
      </c>
    </row>
    <row r="223" spans="1:12" hidden="1" x14ac:dyDescent="0.25">
      <c r="A223" t="str" cm="1">
        <f t="array" ref="A223">_xlfn.IFS(E223="Adviento","ta", E223="Navidad","tn", E223="Epifania","te", E223="Ordinario","to", E223="Cuaresma","tc", E223="Domingo De Ramos","tc", E223="Semana Santa","ss", E223="Triduo Pascual","tp", E223="Vigilia Pascual","tp", E223="Pascual","tp")</f>
        <v>ta</v>
      </c>
      <c r="B223" s="14" t="str">
        <f t="shared" si="26"/>
        <v>/* JULIO        */</v>
      </c>
      <c r="C223" s="15">
        <f t="shared" si="21"/>
        <v>45863</v>
      </c>
      <c r="D223" s="9">
        <f t="shared" si="22"/>
        <v>45863</v>
      </c>
      <c r="E223" t="s">
        <v>46</v>
      </c>
      <c r="F223" t="s">
        <v>43</v>
      </c>
      <c r="G223">
        <v>1</v>
      </c>
      <c r="I223" s="11">
        <f t="shared" si="23"/>
        <v>45863</v>
      </c>
      <c r="J223" t="s">
        <v>44</v>
      </c>
      <c r="K223" t="str">
        <f t="shared" si="24"/>
        <v>/* JULIO        */ { nombre: "Adviento, Semana I, VIERNES", archivo: "/ev/ta/1/viernes.mp3", fecha: `${year}-07-25` },</v>
      </c>
      <c r="L223" s="10">
        <f t="shared" si="25"/>
        <v>45863</v>
      </c>
    </row>
    <row r="224" spans="1:12" hidden="1" x14ac:dyDescent="0.25">
      <c r="A224" t="str" cm="1">
        <f t="array" ref="A224">_xlfn.IFS(E224="Adviento","ta", E224="Navidad","tn", E224="Epifania","te", E224="Ordinario","to", E224="Cuaresma","tc", E224="Domingo De Ramos","tc", E224="Semana Santa","ss", E224="Triduo Pascual","tp", E224="Vigilia Pascual","tp", E224="Pascual","tp")</f>
        <v>ta</v>
      </c>
      <c r="B224" s="14" t="str">
        <f t="shared" si="26"/>
        <v>/* JULIO        */</v>
      </c>
      <c r="C224" s="15">
        <f t="shared" si="21"/>
        <v>45864</v>
      </c>
      <c r="D224" s="9">
        <f t="shared" si="22"/>
        <v>45864</v>
      </c>
      <c r="E224" t="s">
        <v>46</v>
      </c>
      <c r="F224" t="s">
        <v>43</v>
      </c>
      <c r="G224">
        <v>1</v>
      </c>
      <c r="I224" s="11">
        <f t="shared" si="23"/>
        <v>45864</v>
      </c>
      <c r="J224" t="s">
        <v>44</v>
      </c>
      <c r="K224" t="str">
        <f t="shared" si="24"/>
        <v>/* JULIO        */ { nombre: "Adviento, Semana I, SÁBADO", archivo: "/ev/ta/1/sábado.mp3", fecha: `${year}-07-26` },</v>
      </c>
      <c r="L224" s="10">
        <f t="shared" si="25"/>
        <v>45864</v>
      </c>
    </row>
    <row r="225" spans="1:12" hidden="1" x14ac:dyDescent="0.25">
      <c r="A225" t="str" cm="1">
        <f t="array" ref="A225">_xlfn.IFS(E225="Adviento","ta", E225="Navidad","tn", E225="Epifania","te", E225="Ordinario","to", E225="Cuaresma","tc", E225="Domingo De Ramos","tc", E225="Semana Santa","ss", E225="Triduo Pascual","tp", E225="Vigilia Pascual","tp", E225="Pascual","tp")</f>
        <v>ta</v>
      </c>
      <c r="B225" s="14" t="str">
        <f t="shared" si="26"/>
        <v>/* JULIO        */</v>
      </c>
      <c r="C225" s="15">
        <f t="shared" si="21"/>
        <v>45865</v>
      </c>
      <c r="D225" s="9">
        <f t="shared" si="22"/>
        <v>45865</v>
      </c>
      <c r="E225" t="s">
        <v>46</v>
      </c>
      <c r="F225" t="s">
        <v>43</v>
      </c>
      <c r="G225">
        <v>1</v>
      </c>
      <c r="I225" s="11">
        <f t="shared" si="23"/>
        <v>45865</v>
      </c>
      <c r="J225" t="s">
        <v>44</v>
      </c>
      <c r="K225" t="str">
        <f t="shared" si="24"/>
        <v>/* JULIO        */ { nombre: "Adviento, Semana I, DOMINGO", archivo: "/ev/ta/1/domingo.mp3", fecha: `${year}-07-27` },</v>
      </c>
      <c r="L225" s="10">
        <f t="shared" si="25"/>
        <v>45865</v>
      </c>
    </row>
    <row r="226" spans="1:12" hidden="1" x14ac:dyDescent="0.25">
      <c r="A226" t="str" cm="1">
        <f t="array" ref="A226">_xlfn.IFS(E226="Adviento","ta", E226="Navidad","tn", E226="Epifania","te", E226="Ordinario","to", E226="Cuaresma","tc", E226="Domingo De Ramos","tc", E226="Semana Santa","ss", E226="Triduo Pascual","tp", E226="Vigilia Pascual","tp", E226="Pascual","tp")</f>
        <v>ta</v>
      </c>
      <c r="B226" s="14" t="str">
        <f t="shared" si="26"/>
        <v>/* JULIO        */</v>
      </c>
      <c r="C226" s="15">
        <f t="shared" si="21"/>
        <v>45866</v>
      </c>
      <c r="D226" s="9">
        <f t="shared" si="22"/>
        <v>45866</v>
      </c>
      <c r="E226" t="s">
        <v>46</v>
      </c>
      <c r="F226" t="s">
        <v>43</v>
      </c>
      <c r="G226">
        <v>1</v>
      </c>
      <c r="I226" s="11">
        <f t="shared" si="23"/>
        <v>45866</v>
      </c>
      <c r="J226" t="s">
        <v>44</v>
      </c>
      <c r="K226" t="str">
        <f t="shared" si="24"/>
        <v>/* JULIO        */ { nombre: "Adviento, Semana I, LUNES", archivo: "/ev/ta/1/lunes.mp3", fecha: `${year}-07-28` },</v>
      </c>
      <c r="L226" s="10">
        <f t="shared" si="25"/>
        <v>45866</v>
      </c>
    </row>
    <row r="227" spans="1:12" hidden="1" x14ac:dyDescent="0.25">
      <c r="A227" t="str" cm="1">
        <f t="array" ref="A227">_xlfn.IFS(E227="Adviento","ta", E227="Navidad","tn", E227="Epifania","te", E227="Ordinario","to", E227="Cuaresma","tc", E227="Domingo De Ramos","tc", E227="Semana Santa","ss", E227="Triduo Pascual","tp", E227="Vigilia Pascual","tp", E227="Pascual","tp")</f>
        <v>ta</v>
      </c>
      <c r="B227" s="14" t="str">
        <f t="shared" si="26"/>
        <v>/* JULIO        */</v>
      </c>
      <c r="C227" s="15">
        <f t="shared" si="21"/>
        <v>45867</v>
      </c>
      <c r="D227" s="9">
        <f t="shared" si="22"/>
        <v>45867</v>
      </c>
      <c r="E227" t="s">
        <v>46</v>
      </c>
      <c r="F227" t="s">
        <v>43</v>
      </c>
      <c r="G227">
        <v>1</v>
      </c>
      <c r="I227" s="11">
        <f t="shared" si="23"/>
        <v>45867</v>
      </c>
      <c r="J227" t="s">
        <v>44</v>
      </c>
      <c r="K227" t="str">
        <f t="shared" si="24"/>
        <v>/* JULIO        */ { nombre: "Adviento, Semana I, MARTES", archivo: "/ev/ta/1/martes.mp3", fecha: `${year}-07-29` },</v>
      </c>
      <c r="L227" s="10">
        <f t="shared" si="25"/>
        <v>45867</v>
      </c>
    </row>
    <row r="228" spans="1:12" hidden="1" x14ac:dyDescent="0.25">
      <c r="A228" t="str" cm="1">
        <f t="array" ref="A228">_xlfn.IFS(E228="Adviento","ta", E228="Navidad","tn", E228="Epifania","te", E228="Ordinario","to", E228="Cuaresma","tc", E228="Domingo De Ramos","tc", E228="Semana Santa","ss", E228="Triduo Pascual","tp", E228="Vigilia Pascual","tp", E228="Pascual","tp")</f>
        <v>ta</v>
      </c>
      <c r="B228" s="14" t="str">
        <f t="shared" si="26"/>
        <v>/* JULIO        */</v>
      </c>
      <c r="C228" s="15">
        <f t="shared" si="21"/>
        <v>45868</v>
      </c>
      <c r="D228" s="9">
        <f t="shared" si="22"/>
        <v>45868</v>
      </c>
      <c r="E228" t="s">
        <v>46</v>
      </c>
      <c r="F228" t="s">
        <v>43</v>
      </c>
      <c r="G228">
        <v>1</v>
      </c>
      <c r="I228" s="11">
        <f t="shared" si="23"/>
        <v>45868</v>
      </c>
      <c r="J228" t="s">
        <v>44</v>
      </c>
      <c r="K228" t="str">
        <f t="shared" si="24"/>
        <v>/* JULIO        */ { nombre: "Adviento, Semana I, MIÉRCOLES", archivo: "/ev/ta/1/miércoles.mp3", fecha: `${year}-07-30` },</v>
      </c>
      <c r="L228" s="10">
        <f t="shared" si="25"/>
        <v>45868</v>
      </c>
    </row>
    <row r="229" spans="1:12" hidden="1" x14ac:dyDescent="0.25">
      <c r="A229" t="str" cm="1">
        <f t="array" ref="A229">_xlfn.IFS(E229="Adviento","ta", E229="Navidad","tn", E229="Epifania","te", E229="Ordinario","to", E229="Cuaresma","tc", E229="Domingo De Ramos","tc", E229="Semana Santa","ss", E229="Triduo Pascual","tp", E229="Vigilia Pascual","tp", E229="Pascual","tp")</f>
        <v>ta</v>
      </c>
      <c r="B229" s="14" t="str">
        <f t="shared" si="26"/>
        <v>/* JULIO        */</v>
      </c>
      <c r="C229" s="15">
        <f t="shared" si="21"/>
        <v>45869</v>
      </c>
      <c r="D229" s="9">
        <f t="shared" si="22"/>
        <v>45869</v>
      </c>
      <c r="E229" t="s">
        <v>46</v>
      </c>
      <c r="F229" t="s">
        <v>43</v>
      </c>
      <c r="G229">
        <v>1</v>
      </c>
      <c r="I229" s="11">
        <f t="shared" si="23"/>
        <v>45869</v>
      </c>
      <c r="J229" t="s">
        <v>44</v>
      </c>
      <c r="K229" t="str">
        <f t="shared" si="24"/>
        <v>/* JULIO        */ { nombre: "Adviento, Semana I, JUEVES", archivo: "/ev/ta/1/jueves.mp3", fecha: `${year}-07-31` },</v>
      </c>
      <c r="L229" s="10">
        <f t="shared" si="25"/>
        <v>45869</v>
      </c>
    </row>
    <row r="230" spans="1:12" hidden="1" x14ac:dyDescent="0.25">
      <c r="A230" t="str" cm="1">
        <f t="array" ref="A230">_xlfn.IFS(E230="Adviento","ta", E230="Navidad","tn", E230="Epifania","te", E230="Ordinario","to", E230="Cuaresma","tc", E230="Domingo De Ramos","tc", E230="Semana Santa","ss", E230="Triduo Pascual","tp", E230="Vigilia Pascual","tp", E230="Pascual","tp")</f>
        <v>ta</v>
      </c>
      <c r="B230" s="14" t="str">
        <f t="shared" si="26"/>
        <v>/* AGOSTO        */</v>
      </c>
      <c r="C230" s="15">
        <f t="shared" si="21"/>
        <v>45870</v>
      </c>
      <c r="D230" s="9">
        <f t="shared" si="22"/>
        <v>45870</v>
      </c>
      <c r="E230" t="s">
        <v>46</v>
      </c>
      <c r="F230" t="s">
        <v>43</v>
      </c>
      <c r="G230">
        <v>1</v>
      </c>
      <c r="I230" s="11">
        <f t="shared" si="23"/>
        <v>45870</v>
      </c>
      <c r="J230" t="s">
        <v>44</v>
      </c>
      <c r="K230" t="str">
        <f t="shared" si="24"/>
        <v>/* AGOSTO        */ { nombre: "Adviento, Semana I, VIERNES", archivo: "/ev/ta/1/viernes.mp3", fecha: `${year}-08-01` },</v>
      </c>
      <c r="L230" s="10">
        <f t="shared" si="25"/>
        <v>45870</v>
      </c>
    </row>
    <row r="231" spans="1:12" hidden="1" x14ac:dyDescent="0.25">
      <c r="A231" t="str" cm="1">
        <f t="array" ref="A231">_xlfn.IFS(E231="Adviento","ta", E231="Navidad","tn", E231="Epifania","te", E231="Ordinario","to", E231="Cuaresma","tc", E231="Domingo De Ramos","tc", E231="Semana Santa","ss", E231="Triduo Pascual","tp", E231="Vigilia Pascual","tp", E231="Pascual","tp")</f>
        <v>ta</v>
      </c>
      <c r="B231" s="14" t="str">
        <f t="shared" si="26"/>
        <v>/* AGOSTO        */</v>
      </c>
      <c r="C231" s="15">
        <f t="shared" si="21"/>
        <v>45871</v>
      </c>
      <c r="D231" s="9">
        <f t="shared" si="22"/>
        <v>45871</v>
      </c>
      <c r="E231" t="s">
        <v>46</v>
      </c>
      <c r="F231" t="s">
        <v>43</v>
      </c>
      <c r="G231">
        <v>1</v>
      </c>
      <c r="I231" s="11">
        <f t="shared" si="23"/>
        <v>45871</v>
      </c>
      <c r="J231" t="s">
        <v>44</v>
      </c>
      <c r="K231" t="str">
        <f t="shared" si="24"/>
        <v>/* AGOSTO        */ { nombre: "Adviento, Semana I, SÁBADO", archivo: "/ev/ta/1/sábado.mp3", fecha: `${year}-08-02` },</v>
      </c>
      <c r="L231" s="10">
        <f t="shared" si="25"/>
        <v>45871</v>
      </c>
    </row>
    <row r="232" spans="1:12" hidden="1" x14ac:dyDescent="0.25">
      <c r="A232" t="str" cm="1">
        <f t="array" ref="A232">_xlfn.IFS(E232="Adviento","ta", E232="Navidad","tn", E232="Epifania","te", E232="Ordinario","to", E232="Cuaresma","tc", E232="Domingo De Ramos","tc", E232="Semana Santa","ss", E232="Triduo Pascual","tp", E232="Vigilia Pascual","tp", E232="Pascual","tp")</f>
        <v>ta</v>
      </c>
      <c r="B232" s="14" t="str">
        <f t="shared" si="26"/>
        <v>/* AGOSTO        */</v>
      </c>
      <c r="C232" s="15">
        <f t="shared" si="21"/>
        <v>45872</v>
      </c>
      <c r="D232" s="9">
        <f t="shared" si="22"/>
        <v>45872</v>
      </c>
      <c r="E232" t="s">
        <v>46</v>
      </c>
      <c r="F232" t="s">
        <v>43</v>
      </c>
      <c r="G232">
        <v>1</v>
      </c>
      <c r="I232" s="11">
        <f t="shared" si="23"/>
        <v>45872</v>
      </c>
      <c r="J232" t="s">
        <v>44</v>
      </c>
      <c r="K232" t="str">
        <f t="shared" si="24"/>
        <v>/* AGOSTO        */ { nombre: "Adviento, Semana I, DOMINGO", archivo: "/ev/ta/1/domingo.mp3", fecha: `${year}-08-03` },</v>
      </c>
      <c r="L232" s="10">
        <f t="shared" si="25"/>
        <v>45872</v>
      </c>
    </row>
    <row r="233" spans="1:12" hidden="1" x14ac:dyDescent="0.25">
      <c r="A233" t="str" cm="1">
        <f t="array" ref="A233">_xlfn.IFS(E233="Adviento","ta", E233="Navidad","tn", E233="Epifania","te", E233="Ordinario","to", E233="Cuaresma","tc", E233="Domingo De Ramos","tc", E233="Semana Santa","ss", E233="Triduo Pascual","tp", E233="Vigilia Pascual","tp", E233="Pascual","tp")</f>
        <v>ta</v>
      </c>
      <c r="B233" s="14" t="str">
        <f t="shared" si="26"/>
        <v>/* AGOSTO        */</v>
      </c>
      <c r="C233" s="15">
        <f t="shared" si="21"/>
        <v>45873</v>
      </c>
      <c r="D233" s="9">
        <f t="shared" si="22"/>
        <v>45873</v>
      </c>
      <c r="E233" t="s">
        <v>46</v>
      </c>
      <c r="F233" t="s">
        <v>43</v>
      </c>
      <c r="G233">
        <v>1</v>
      </c>
      <c r="I233" s="11">
        <f t="shared" si="23"/>
        <v>45873</v>
      </c>
      <c r="J233" t="s">
        <v>44</v>
      </c>
      <c r="K233" t="str">
        <f t="shared" si="24"/>
        <v>/* AGOSTO        */ { nombre: "Adviento, Semana I, LUNES", archivo: "/ev/ta/1/lunes.mp3", fecha: `${year}-08-04` },</v>
      </c>
      <c r="L233" s="10">
        <f t="shared" si="25"/>
        <v>45873</v>
      </c>
    </row>
    <row r="234" spans="1:12" hidden="1" x14ac:dyDescent="0.25">
      <c r="A234" t="str" cm="1">
        <f t="array" ref="A234">_xlfn.IFS(E234="Adviento","ta", E234="Navidad","tn", E234="Epifania","te", E234="Ordinario","to", E234="Cuaresma","tc", E234="Domingo De Ramos","tc", E234="Semana Santa","ss", E234="Triduo Pascual","tp", E234="Vigilia Pascual","tp", E234="Pascual","tp")</f>
        <v>ta</v>
      </c>
      <c r="B234" s="14" t="str">
        <f t="shared" si="26"/>
        <v>/* AGOSTO        */</v>
      </c>
      <c r="C234" s="15">
        <f t="shared" si="21"/>
        <v>45874</v>
      </c>
      <c r="D234" s="9">
        <f t="shared" si="22"/>
        <v>45874</v>
      </c>
      <c r="E234" t="s">
        <v>46</v>
      </c>
      <c r="F234" t="s">
        <v>43</v>
      </c>
      <c r="G234">
        <v>1</v>
      </c>
      <c r="I234" s="11">
        <f t="shared" si="23"/>
        <v>45874</v>
      </c>
      <c r="J234" t="s">
        <v>44</v>
      </c>
      <c r="K234" t="str">
        <f t="shared" si="24"/>
        <v>/* AGOSTO        */ { nombre: "Adviento, Semana I, MARTES", archivo: "/ev/ta/1/martes.mp3", fecha: `${year}-08-05` },</v>
      </c>
      <c r="L234" s="10">
        <f t="shared" si="25"/>
        <v>45874</v>
      </c>
    </row>
    <row r="235" spans="1:12" hidden="1" x14ac:dyDescent="0.25">
      <c r="A235" t="str" cm="1">
        <f t="array" ref="A235">_xlfn.IFS(E235="Adviento","ta", E235="Navidad","tn", E235="Epifania","te", E235="Ordinario","to", E235="Cuaresma","tc", E235="Domingo De Ramos","tc", E235="Semana Santa","ss", E235="Triduo Pascual","tp", E235="Vigilia Pascual","tp", E235="Pascual","tp")</f>
        <v>ta</v>
      </c>
      <c r="B235" s="14" t="str">
        <f t="shared" si="26"/>
        <v>/* AGOSTO        */</v>
      </c>
      <c r="C235" s="15">
        <f t="shared" si="21"/>
        <v>45875</v>
      </c>
      <c r="D235" s="9">
        <f t="shared" si="22"/>
        <v>45875</v>
      </c>
      <c r="E235" t="s">
        <v>46</v>
      </c>
      <c r="F235" t="s">
        <v>43</v>
      </c>
      <c r="G235">
        <v>1</v>
      </c>
      <c r="I235" s="11">
        <f t="shared" si="23"/>
        <v>45875</v>
      </c>
      <c r="J235" t="s">
        <v>44</v>
      </c>
      <c r="K235" t="str">
        <f t="shared" si="24"/>
        <v>/* AGOSTO        */ { nombre: "Adviento, Semana I, MIÉRCOLES", archivo: "/ev/ta/1/miércoles.mp3", fecha: `${year}-08-06` },</v>
      </c>
      <c r="L235" s="10">
        <f t="shared" si="25"/>
        <v>45875</v>
      </c>
    </row>
    <row r="236" spans="1:12" hidden="1" x14ac:dyDescent="0.25">
      <c r="A236" t="str" cm="1">
        <f t="array" ref="A236">_xlfn.IFS(E236="Adviento","ta", E236="Navidad","tn", E236="Epifania","te", E236="Ordinario","to", E236="Cuaresma","tc", E236="Domingo De Ramos","tc", E236="Semana Santa","ss", E236="Triduo Pascual","tp", E236="Vigilia Pascual","tp", E236="Pascual","tp")</f>
        <v>ta</v>
      </c>
      <c r="B236" s="14" t="str">
        <f t="shared" si="26"/>
        <v>/* AGOSTO        */</v>
      </c>
      <c r="C236" s="15">
        <f t="shared" si="21"/>
        <v>45876</v>
      </c>
      <c r="D236" s="9">
        <f t="shared" si="22"/>
        <v>45876</v>
      </c>
      <c r="E236" t="s">
        <v>46</v>
      </c>
      <c r="F236" t="s">
        <v>43</v>
      </c>
      <c r="G236">
        <v>1</v>
      </c>
      <c r="I236" s="11">
        <f t="shared" si="23"/>
        <v>45876</v>
      </c>
      <c r="J236" t="s">
        <v>44</v>
      </c>
      <c r="K236" t="str">
        <f t="shared" si="24"/>
        <v>/* AGOSTO        */ { nombre: "Adviento, Semana I, JUEVES", archivo: "/ev/ta/1/jueves.mp3", fecha: `${year}-08-07` },</v>
      </c>
      <c r="L236" s="10">
        <f t="shared" si="25"/>
        <v>45876</v>
      </c>
    </row>
    <row r="237" spans="1:12" hidden="1" x14ac:dyDescent="0.25">
      <c r="A237" t="str" cm="1">
        <f t="array" ref="A237">_xlfn.IFS(E237="Adviento","ta", E237="Navidad","tn", E237="Epifania","te", E237="Ordinario","to", E237="Cuaresma","tc", E237="Domingo De Ramos","tc", E237="Semana Santa","ss", E237="Triduo Pascual","tp", E237="Vigilia Pascual","tp", E237="Pascual","tp")</f>
        <v>ta</v>
      </c>
      <c r="B237" s="14" t="str">
        <f t="shared" si="26"/>
        <v>/* AGOSTO        */</v>
      </c>
      <c r="C237" s="15">
        <f t="shared" si="21"/>
        <v>45877</v>
      </c>
      <c r="D237" s="9">
        <f t="shared" si="22"/>
        <v>45877</v>
      </c>
      <c r="E237" t="s">
        <v>46</v>
      </c>
      <c r="F237" t="s">
        <v>43</v>
      </c>
      <c r="G237">
        <v>1</v>
      </c>
      <c r="I237" s="11">
        <f t="shared" si="23"/>
        <v>45877</v>
      </c>
      <c r="J237" t="s">
        <v>44</v>
      </c>
      <c r="K237" t="str">
        <f t="shared" si="24"/>
        <v>/* AGOSTO        */ { nombre: "Adviento, Semana I, VIERNES", archivo: "/ev/ta/1/viernes.mp3", fecha: `${year}-08-08` },</v>
      </c>
      <c r="L237" s="10">
        <f t="shared" si="25"/>
        <v>45877</v>
      </c>
    </row>
    <row r="238" spans="1:12" hidden="1" x14ac:dyDescent="0.25">
      <c r="A238" t="str" cm="1">
        <f t="array" ref="A238">_xlfn.IFS(E238="Adviento","ta", E238="Navidad","tn", E238="Epifania","te", E238="Ordinario","to", E238="Cuaresma","tc", E238="Domingo De Ramos","tc", E238="Semana Santa","ss", E238="Triduo Pascual","tp", E238="Vigilia Pascual","tp", E238="Pascual","tp")</f>
        <v>ta</v>
      </c>
      <c r="B238" s="14" t="str">
        <f t="shared" si="26"/>
        <v>/* AGOSTO        */</v>
      </c>
      <c r="C238" s="15">
        <f t="shared" si="21"/>
        <v>45878</v>
      </c>
      <c r="D238" s="9">
        <f t="shared" si="22"/>
        <v>45878</v>
      </c>
      <c r="E238" t="s">
        <v>46</v>
      </c>
      <c r="F238" t="s">
        <v>43</v>
      </c>
      <c r="G238">
        <v>1</v>
      </c>
      <c r="I238" s="11">
        <f t="shared" si="23"/>
        <v>45878</v>
      </c>
      <c r="J238" t="s">
        <v>44</v>
      </c>
      <c r="K238" t="str">
        <f t="shared" si="24"/>
        <v>/* AGOSTO        */ { nombre: "Adviento, Semana I, SÁBADO", archivo: "/ev/ta/1/sábado.mp3", fecha: `${year}-08-09` },</v>
      </c>
      <c r="L238" s="10">
        <f t="shared" si="25"/>
        <v>45878</v>
      </c>
    </row>
    <row r="239" spans="1:12" hidden="1" x14ac:dyDescent="0.25">
      <c r="A239" t="str" cm="1">
        <f t="array" ref="A239">_xlfn.IFS(E239="Adviento","ta", E239="Navidad","tn", E239="Epifania","te", E239="Ordinario","to", E239="Cuaresma","tc", E239="Domingo De Ramos","tc", E239="Semana Santa","ss", E239="Triduo Pascual","tp", E239="Vigilia Pascual","tp", E239="Pascual","tp")</f>
        <v>ta</v>
      </c>
      <c r="B239" s="14" t="str">
        <f t="shared" si="26"/>
        <v>/* AGOSTO        */</v>
      </c>
      <c r="C239" s="15">
        <f t="shared" si="21"/>
        <v>45879</v>
      </c>
      <c r="D239" s="9">
        <f t="shared" si="22"/>
        <v>45879</v>
      </c>
      <c r="E239" t="s">
        <v>46</v>
      </c>
      <c r="F239" t="s">
        <v>43</v>
      </c>
      <c r="G239">
        <v>1</v>
      </c>
      <c r="I239" s="11">
        <f t="shared" si="23"/>
        <v>45879</v>
      </c>
      <c r="J239" t="s">
        <v>44</v>
      </c>
      <c r="K239" t="str">
        <f t="shared" si="24"/>
        <v>/* AGOSTO        */ { nombre: "Adviento, Semana I, DOMINGO", archivo: "/ev/ta/1/domingo.mp3", fecha: `${year}-08-10` },</v>
      </c>
      <c r="L239" s="10">
        <f t="shared" si="25"/>
        <v>45879</v>
      </c>
    </row>
    <row r="240" spans="1:12" hidden="1" x14ac:dyDescent="0.25">
      <c r="A240" t="str" cm="1">
        <f t="array" ref="A240">_xlfn.IFS(E240="Adviento","ta", E240="Navidad","tn", E240="Epifania","te", E240="Ordinario","to", E240="Cuaresma","tc", E240="Domingo De Ramos","tc", E240="Semana Santa","ss", E240="Triduo Pascual","tp", E240="Vigilia Pascual","tp", E240="Pascual","tp")</f>
        <v>ta</v>
      </c>
      <c r="B240" s="14" t="str">
        <f t="shared" si="26"/>
        <v>/* AGOSTO        */</v>
      </c>
      <c r="C240" s="15">
        <f t="shared" si="21"/>
        <v>45880</v>
      </c>
      <c r="D240" s="9">
        <f t="shared" si="22"/>
        <v>45880</v>
      </c>
      <c r="E240" t="s">
        <v>46</v>
      </c>
      <c r="F240" t="s">
        <v>43</v>
      </c>
      <c r="G240">
        <v>1</v>
      </c>
      <c r="I240" s="11">
        <f t="shared" si="23"/>
        <v>45880</v>
      </c>
      <c r="J240" t="s">
        <v>44</v>
      </c>
      <c r="K240" t="str">
        <f t="shared" si="24"/>
        <v>/* AGOSTO        */ { nombre: "Adviento, Semana I, LUNES", archivo: "/ev/ta/1/lunes.mp3", fecha: `${year}-08-11` },</v>
      </c>
      <c r="L240" s="10">
        <f t="shared" si="25"/>
        <v>45880</v>
      </c>
    </row>
    <row r="241" spans="1:12" hidden="1" x14ac:dyDescent="0.25">
      <c r="A241" t="str" cm="1">
        <f t="array" ref="A241">_xlfn.IFS(E241="Adviento","ta", E241="Navidad","tn", E241="Epifania","te", E241="Ordinario","to", E241="Cuaresma","tc", E241="Domingo De Ramos","tc", E241="Semana Santa","ss", E241="Triduo Pascual","tp", E241="Vigilia Pascual","tp", E241="Pascual","tp")</f>
        <v>ta</v>
      </c>
      <c r="B241" s="14" t="str">
        <f t="shared" si="26"/>
        <v>/* AGOSTO        */</v>
      </c>
      <c r="C241" s="15">
        <f t="shared" si="21"/>
        <v>45881</v>
      </c>
      <c r="D241" s="9">
        <f t="shared" si="22"/>
        <v>45881</v>
      </c>
      <c r="E241" t="s">
        <v>46</v>
      </c>
      <c r="F241" t="s">
        <v>43</v>
      </c>
      <c r="G241">
        <v>1</v>
      </c>
      <c r="I241" s="11">
        <f t="shared" si="23"/>
        <v>45881</v>
      </c>
      <c r="J241" t="s">
        <v>44</v>
      </c>
      <c r="K241" t="str">
        <f t="shared" si="24"/>
        <v>/* AGOSTO        */ { nombre: "Adviento, Semana I, MARTES", archivo: "/ev/ta/1/martes.mp3", fecha: `${year}-08-12` },</v>
      </c>
      <c r="L241" s="10">
        <f t="shared" si="25"/>
        <v>45881</v>
      </c>
    </row>
    <row r="242" spans="1:12" hidden="1" x14ac:dyDescent="0.25">
      <c r="A242" t="str" cm="1">
        <f t="array" ref="A242">_xlfn.IFS(E242="Adviento","ta", E242="Navidad","tn", E242="Epifania","te", E242="Ordinario","to", E242="Cuaresma","tc", E242="Domingo De Ramos","tc", E242="Semana Santa","ss", E242="Triduo Pascual","tp", E242="Vigilia Pascual","tp", E242="Pascual","tp")</f>
        <v>ta</v>
      </c>
      <c r="B242" s="14" t="str">
        <f t="shared" si="26"/>
        <v>/* AGOSTO        */</v>
      </c>
      <c r="C242" s="15">
        <f t="shared" si="21"/>
        <v>45882</v>
      </c>
      <c r="D242" s="9">
        <f t="shared" si="22"/>
        <v>45882</v>
      </c>
      <c r="E242" t="s">
        <v>46</v>
      </c>
      <c r="F242" t="s">
        <v>43</v>
      </c>
      <c r="G242">
        <v>1</v>
      </c>
      <c r="I242" s="11">
        <f t="shared" si="23"/>
        <v>45882</v>
      </c>
      <c r="J242" t="s">
        <v>44</v>
      </c>
      <c r="K242" t="str">
        <f t="shared" si="24"/>
        <v>/* AGOSTO        */ { nombre: "Adviento, Semana I, MIÉRCOLES", archivo: "/ev/ta/1/miércoles.mp3", fecha: `${year}-08-13` },</v>
      </c>
      <c r="L242" s="10">
        <f t="shared" si="25"/>
        <v>45882</v>
      </c>
    </row>
    <row r="243" spans="1:12" hidden="1" x14ac:dyDescent="0.25">
      <c r="A243" t="str" cm="1">
        <f t="array" ref="A243">_xlfn.IFS(E243="Adviento","ta", E243="Navidad","tn", E243="Epifania","te", E243="Ordinario","to", E243="Cuaresma","tc", E243="Domingo De Ramos","tc", E243="Semana Santa","ss", E243="Triduo Pascual","tp", E243="Vigilia Pascual","tp", E243="Pascual","tp")</f>
        <v>ta</v>
      </c>
      <c r="B243" s="14" t="str">
        <f t="shared" si="26"/>
        <v>/* AGOSTO        */</v>
      </c>
      <c r="C243" s="15">
        <f t="shared" si="21"/>
        <v>45883</v>
      </c>
      <c r="D243" s="9">
        <f t="shared" si="22"/>
        <v>45883</v>
      </c>
      <c r="E243" t="s">
        <v>46</v>
      </c>
      <c r="F243" t="s">
        <v>43</v>
      </c>
      <c r="G243">
        <v>1</v>
      </c>
      <c r="I243" s="11">
        <f t="shared" si="23"/>
        <v>45883</v>
      </c>
      <c r="J243" t="s">
        <v>44</v>
      </c>
      <c r="K243" t="str">
        <f t="shared" si="24"/>
        <v>/* AGOSTO        */ { nombre: "Adviento, Semana I, JUEVES", archivo: "/ev/ta/1/jueves.mp3", fecha: `${year}-08-14` },</v>
      </c>
      <c r="L243" s="10">
        <f t="shared" si="25"/>
        <v>45883</v>
      </c>
    </row>
    <row r="244" spans="1:12" hidden="1" x14ac:dyDescent="0.25">
      <c r="A244" t="str" cm="1">
        <f t="array" ref="A244">_xlfn.IFS(E244="Adviento","ta", E244="Navidad","tn", E244="Epifania","te", E244="Ordinario","to", E244="Cuaresma","tc", E244="Domingo De Ramos","tc", E244="Semana Santa","ss", E244="Triduo Pascual","tp", E244="Vigilia Pascual","tp", E244="Pascual","tp")</f>
        <v>ta</v>
      </c>
      <c r="B244" s="14" t="str">
        <f t="shared" si="26"/>
        <v>/* AGOSTO        */</v>
      </c>
      <c r="C244" s="15">
        <f t="shared" si="21"/>
        <v>45884</v>
      </c>
      <c r="D244" s="9">
        <f t="shared" si="22"/>
        <v>45884</v>
      </c>
      <c r="E244" t="s">
        <v>46</v>
      </c>
      <c r="F244" t="s">
        <v>43</v>
      </c>
      <c r="G244">
        <v>1</v>
      </c>
      <c r="I244" s="11">
        <f t="shared" si="23"/>
        <v>45884</v>
      </c>
      <c r="J244" t="s">
        <v>44</v>
      </c>
      <c r="K244" t="str">
        <f t="shared" si="24"/>
        <v>/* AGOSTO        */ { nombre: "Adviento, Semana I, VIERNES", archivo: "/ev/ta/1/viernes.mp3", fecha: `${year}-08-15` },</v>
      </c>
      <c r="L244" s="10">
        <f t="shared" si="25"/>
        <v>45884</v>
      </c>
    </row>
    <row r="245" spans="1:12" hidden="1" x14ac:dyDescent="0.25">
      <c r="A245" t="str" cm="1">
        <f t="array" ref="A245">_xlfn.IFS(E245="Adviento","ta", E245="Navidad","tn", E245="Epifania","te", E245="Ordinario","to", E245="Cuaresma","tc", E245="Domingo De Ramos","tc", E245="Semana Santa","ss", E245="Triduo Pascual","tp", E245="Vigilia Pascual","tp", E245="Pascual","tp")</f>
        <v>ta</v>
      </c>
      <c r="B245" s="14" t="str">
        <f t="shared" si="26"/>
        <v>/* AGOSTO        */</v>
      </c>
      <c r="C245" s="15">
        <f t="shared" ref="C245:C308" si="27">+C244+1</f>
        <v>45885</v>
      </c>
      <c r="D245" s="9">
        <f t="shared" ref="D245:D308" si="28">+D244+1</f>
        <v>45885</v>
      </c>
      <c r="E245" t="s">
        <v>46</v>
      </c>
      <c r="F245" t="s">
        <v>43</v>
      </c>
      <c r="G245">
        <v>1</v>
      </c>
      <c r="I245" s="11">
        <f t="shared" ref="I245:I308" si="29">D245</f>
        <v>45885</v>
      </c>
      <c r="J245" t="s">
        <v>44</v>
      </c>
      <c r="K245" t="str">
        <f t="shared" ref="K245:K308" si="30">_xlfn.CONCAT(B245, " ", "{ nombre: ", CHAR(34), E245, ", ", F245, " ", ROMAN(G245),H245, ", ", UPPER(TEXT(D245, "[$-es-ES]dddd")), CHAR(34), ", archivo: ", CHAR(34), "/ev/", _xlfn.IFS(E245="Adviento","ta", E245="Navidad","tn", E245="Epifania","te", E245="Ordinario","to", E245="Cuaresma","tc", E245="Domingo De Ramos","tc", E245="Semana Santa","ss", E245="Triduo Pascual","tp", E245="Vigilia Pascual","tp", E245="Pascual","tp"), "/", G245, "/", TEXT(D245, "[$-es-ES]dddd"), ".mp3", CHAR(34), ", fecha: `${year}-", TEXT(D245, "mm-dd"), "` },")</f>
        <v>/* AGOSTO        */ { nombre: "Adviento, Semana I, SÁBADO", archivo: "/ev/ta/1/sábado.mp3", fecha: `${year}-08-16` },</v>
      </c>
      <c r="L245" s="10">
        <f t="shared" ref="L245:L308" si="31">D245</f>
        <v>45885</v>
      </c>
    </row>
    <row r="246" spans="1:12" hidden="1" x14ac:dyDescent="0.25">
      <c r="A246" t="str" cm="1">
        <f t="array" ref="A246">_xlfn.IFS(E246="Adviento","ta", E246="Navidad","tn", E246="Epifania","te", E246="Ordinario","to", E246="Cuaresma","tc", E246="Domingo De Ramos","tc", E246="Semana Santa","ss", E246="Triduo Pascual","tp", E246="Vigilia Pascual","tp", E246="Pascual","tp")</f>
        <v>ta</v>
      </c>
      <c r="B246" s="14" t="str">
        <f t="shared" si="26"/>
        <v>/* AGOSTO        */</v>
      </c>
      <c r="C246" s="15">
        <f t="shared" si="27"/>
        <v>45886</v>
      </c>
      <c r="D246" s="9">
        <f t="shared" si="28"/>
        <v>45886</v>
      </c>
      <c r="E246" t="s">
        <v>46</v>
      </c>
      <c r="F246" t="s">
        <v>43</v>
      </c>
      <c r="G246">
        <v>1</v>
      </c>
      <c r="I246" s="11">
        <f t="shared" si="29"/>
        <v>45886</v>
      </c>
      <c r="J246" t="s">
        <v>44</v>
      </c>
      <c r="K246" t="str">
        <f t="shared" si="30"/>
        <v>/* AGOSTO        */ { nombre: "Adviento, Semana I, DOMINGO", archivo: "/ev/ta/1/domingo.mp3", fecha: `${year}-08-17` },</v>
      </c>
      <c r="L246" s="10">
        <f t="shared" si="31"/>
        <v>45886</v>
      </c>
    </row>
    <row r="247" spans="1:12" hidden="1" x14ac:dyDescent="0.25">
      <c r="A247" t="str" cm="1">
        <f t="array" ref="A247">_xlfn.IFS(E247="Adviento","ta", E247="Navidad","tn", E247="Epifania","te", E247="Ordinario","to", E247="Cuaresma","tc", E247="Domingo De Ramos","tc", E247="Semana Santa","ss", E247="Triduo Pascual","tp", E247="Vigilia Pascual","tp", E247="Pascual","tp")</f>
        <v>ta</v>
      </c>
      <c r="B247" s="14" t="str">
        <f t="shared" si="26"/>
        <v>/* AGOSTO        */</v>
      </c>
      <c r="C247" s="15">
        <f t="shared" si="27"/>
        <v>45887</v>
      </c>
      <c r="D247" s="9">
        <f t="shared" si="28"/>
        <v>45887</v>
      </c>
      <c r="E247" t="s">
        <v>46</v>
      </c>
      <c r="F247" t="s">
        <v>43</v>
      </c>
      <c r="G247">
        <v>1</v>
      </c>
      <c r="I247" s="11">
        <f t="shared" si="29"/>
        <v>45887</v>
      </c>
      <c r="J247" t="s">
        <v>44</v>
      </c>
      <c r="K247" t="str">
        <f t="shared" si="30"/>
        <v>/* AGOSTO        */ { nombre: "Adviento, Semana I, LUNES", archivo: "/ev/ta/1/lunes.mp3", fecha: `${year}-08-18` },</v>
      </c>
      <c r="L247" s="10">
        <f t="shared" si="31"/>
        <v>45887</v>
      </c>
    </row>
    <row r="248" spans="1:12" hidden="1" x14ac:dyDescent="0.25">
      <c r="A248" t="str" cm="1">
        <f t="array" ref="A248">_xlfn.IFS(E248="Adviento","ta", E248="Navidad","tn", E248="Epifania","te", E248="Ordinario","to", E248="Cuaresma","tc", E248="Domingo De Ramos","tc", E248="Semana Santa","ss", E248="Triduo Pascual","tp", E248="Vigilia Pascual","tp", E248="Pascual","tp")</f>
        <v>ta</v>
      </c>
      <c r="B248" s="14" t="str">
        <f t="shared" si="26"/>
        <v>/* AGOSTO        */</v>
      </c>
      <c r="C248" s="15">
        <f t="shared" si="27"/>
        <v>45888</v>
      </c>
      <c r="D248" s="9">
        <f t="shared" si="28"/>
        <v>45888</v>
      </c>
      <c r="E248" t="s">
        <v>46</v>
      </c>
      <c r="F248" t="s">
        <v>43</v>
      </c>
      <c r="G248">
        <v>1</v>
      </c>
      <c r="I248" s="11">
        <f t="shared" si="29"/>
        <v>45888</v>
      </c>
      <c r="J248" t="s">
        <v>44</v>
      </c>
      <c r="K248" t="str">
        <f t="shared" si="30"/>
        <v>/* AGOSTO        */ { nombre: "Adviento, Semana I, MARTES", archivo: "/ev/ta/1/martes.mp3", fecha: `${year}-08-19` },</v>
      </c>
      <c r="L248" s="10">
        <f t="shared" si="31"/>
        <v>45888</v>
      </c>
    </row>
    <row r="249" spans="1:12" hidden="1" x14ac:dyDescent="0.25">
      <c r="A249" t="str" cm="1">
        <f t="array" ref="A249">_xlfn.IFS(E249="Adviento","ta", E249="Navidad","tn", E249="Epifania","te", E249="Ordinario","to", E249="Cuaresma","tc", E249="Domingo De Ramos","tc", E249="Semana Santa","ss", E249="Triduo Pascual","tp", E249="Vigilia Pascual","tp", E249="Pascual","tp")</f>
        <v>ta</v>
      </c>
      <c r="B249" s="14" t="str">
        <f t="shared" si="26"/>
        <v>/* AGOSTO        */</v>
      </c>
      <c r="C249" s="15">
        <f t="shared" si="27"/>
        <v>45889</v>
      </c>
      <c r="D249" s="9">
        <f t="shared" si="28"/>
        <v>45889</v>
      </c>
      <c r="E249" t="s">
        <v>46</v>
      </c>
      <c r="F249" t="s">
        <v>43</v>
      </c>
      <c r="G249">
        <v>1</v>
      </c>
      <c r="I249" s="11">
        <f t="shared" si="29"/>
        <v>45889</v>
      </c>
      <c r="J249" t="s">
        <v>44</v>
      </c>
      <c r="K249" t="str">
        <f t="shared" si="30"/>
        <v>/* AGOSTO        */ { nombre: "Adviento, Semana I, MIÉRCOLES", archivo: "/ev/ta/1/miércoles.mp3", fecha: `${year}-08-20` },</v>
      </c>
      <c r="L249" s="10">
        <f t="shared" si="31"/>
        <v>45889</v>
      </c>
    </row>
    <row r="250" spans="1:12" hidden="1" x14ac:dyDescent="0.25">
      <c r="A250" t="str" cm="1">
        <f t="array" ref="A250">_xlfn.IFS(E250="Adviento","ta", E250="Navidad","tn", E250="Epifania","te", E250="Ordinario","to", E250="Cuaresma","tc", E250="Domingo De Ramos","tc", E250="Semana Santa","ss", E250="Triduo Pascual","tp", E250="Vigilia Pascual","tp", E250="Pascual","tp")</f>
        <v>ta</v>
      </c>
      <c r="B250" s="14" t="str">
        <f t="shared" si="26"/>
        <v>/* AGOSTO        */</v>
      </c>
      <c r="C250" s="15">
        <f t="shared" si="27"/>
        <v>45890</v>
      </c>
      <c r="D250" s="9">
        <f t="shared" si="28"/>
        <v>45890</v>
      </c>
      <c r="E250" t="s">
        <v>46</v>
      </c>
      <c r="F250" t="s">
        <v>43</v>
      </c>
      <c r="G250">
        <v>1</v>
      </c>
      <c r="I250" s="11">
        <f t="shared" si="29"/>
        <v>45890</v>
      </c>
      <c r="J250" t="s">
        <v>44</v>
      </c>
      <c r="K250" t="str">
        <f t="shared" si="30"/>
        <v>/* AGOSTO        */ { nombre: "Adviento, Semana I, JUEVES", archivo: "/ev/ta/1/jueves.mp3", fecha: `${year}-08-21` },</v>
      </c>
      <c r="L250" s="10">
        <f t="shared" si="31"/>
        <v>45890</v>
      </c>
    </row>
    <row r="251" spans="1:12" hidden="1" x14ac:dyDescent="0.25">
      <c r="A251" t="str" cm="1">
        <f t="array" ref="A251">_xlfn.IFS(E251="Adviento","ta", E251="Navidad","tn", E251="Epifania","te", E251="Ordinario","to", E251="Cuaresma","tc", E251="Domingo De Ramos","tc", E251="Semana Santa","ss", E251="Triduo Pascual","tp", E251="Vigilia Pascual","tp", E251="Pascual","tp")</f>
        <v>ta</v>
      </c>
      <c r="B251" s="14" t="str">
        <f t="shared" si="26"/>
        <v>/* AGOSTO        */</v>
      </c>
      <c r="C251" s="15">
        <f t="shared" si="27"/>
        <v>45891</v>
      </c>
      <c r="D251" s="9">
        <f t="shared" si="28"/>
        <v>45891</v>
      </c>
      <c r="E251" t="s">
        <v>46</v>
      </c>
      <c r="F251" t="s">
        <v>43</v>
      </c>
      <c r="G251">
        <v>1</v>
      </c>
      <c r="I251" s="11">
        <f t="shared" si="29"/>
        <v>45891</v>
      </c>
      <c r="J251" t="s">
        <v>44</v>
      </c>
      <c r="K251" t="str">
        <f t="shared" si="30"/>
        <v>/* AGOSTO        */ { nombre: "Adviento, Semana I, VIERNES", archivo: "/ev/ta/1/viernes.mp3", fecha: `${year}-08-22` },</v>
      </c>
      <c r="L251" s="10">
        <f t="shared" si="31"/>
        <v>45891</v>
      </c>
    </row>
    <row r="252" spans="1:12" hidden="1" x14ac:dyDescent="0.25">
      <c r="A252" t="str" cm="1">
        <f t="array" ref="A252">_xlfn.IFS(E252="Adviento","ta", E252="Navidad","tn", E252="Epifania","te", E252="Ordinario","to", E252="Cuaresma","tc", E252="Domingo De Ramos","tc", E252="Semana Santa","ss", E252="Triduo Pascual","tp", E252="Vigilia Pascual","tp", E252="Pascual","tp")</f>
        <v>ta</v>
      </c>
      <c r="B252" s="14" t="str">
        <f t="shared" si="26"/>
        <v>/* AGOSTO        */</v>
      </c>
      <c r="C252" s="15">
        <f t="shared" si="27"/>
        <v>45892</v>
      </c>
      <c r="D252" s="9">
        <f t="shared" si="28"/>
        <v>45892</v>
      </c>
      <c r="E252" t="s">
        <v>46</v>
      </c>
      <c r="F252" t="s">
        <v>43</v>
      </c>
      <c r="G252">
        <v>1</v>
      </c>
      <c r="I252" s="11">
        <f t="shared" si="29"/>
        <v>45892</v>
      </c>
      <c r="J252" t="s">
        <v>44</v>
      </c>
      <c r="K252" t="str">
        <f t="shared" si="30"/>
        <v>/* AGOSTO        */ { nombre: "Adviento, Semana I, SÁBADO", archivo: "/ev/ta/1/sábado.mp3", fecha: `${year}-08-23` },</v>
      </c>
      <c r="L252" s="10">
        <f t="shared" si="31"/>
        <v>45892</v>
      </c>
    </row>
    <row r="253" spans="1:12" hidden="1" x14ac:dyDescent="0.25">
      <c r="A253" t="str" cm="1">
        <f t="array" ref="A253">_xlfn.IFS(E253="Adviento","ta", E253="Navidad","tn", E253="Epifania","te", E253="Ordinario","to", E253="Cuaresma","tc", E253="Domingo De Ramos","tc", E253="Semana Santa","ss", E253="Triduo Pascual","tp", E253="Vigilia Pascual","tp", E253="Pascual","tp")</f>
        <v>ta</v>
      </c>
      <c r="B253" s="14" t="str">
        <f t="shared" si="26"/>
        <v>/* AGOSTO        */</v>
      </c>
      <c r="C253" s="15">
        <f t="shared" si="27"/>
        <v>45893</v>
      </c>
      <c r="D253" s="9">
        <f t="shared" si="28"/>
        <v>45893</v>
      </c>
      <c r="E253" t="s">
        <v>46</v>
      </c>
      <c r="F253" t="s">
        <v>43</v>
      </c>
      <c r="G253">
        <v>1</v>
      </c>
      <c r="I253" s="11">
        <f t="shared" si="29"/>
        <v>45893</v>
      </c>
      <c r="J253" t="s">
        <v>44</v>
      </c>
      <c r="K253" t="str">
        <f t="shared" si="30"/>
        <v>/* AGOSTO        */ { nombre: "Adviento, Semana I, DOMINGO", archivo: "/ev/ta/1/domingo.mp3", fecha: `${year}-08-24` },</v>
      </c>
      <c r="L253" s="10">
        <f t="shared" si="31"/>
        <v>45893</v>
      </c>
    </row>
    <row r="254" spans="1:12" hidden="1" x14ac:dyDescent="0.25">
      <c r="A254" t="str" cm="1">
        <f t="array" ref="A254">_xlfn.IFS(E254="Adviento","ta", E254="Navidad","tn", E254="Epifania","te", E254="Ordinario","to", E254="Cuaresma","tc", E254="Domingo De Ramos","tc", E254="Semana Santa","ss", E254="Triduo Pascual","tp", E254="Vigilia Pascual","tp", E254="Pascual","tp")</f>
        <v>ta</v>
      </c>
      <c r="B254" s="14" t="str">
        <f t="shared" si="26"/>
        <v>/* AGOSTO        */</v>
      </c>
      <c r="C254" s="15">
        <f t="shared" si="27"/>
        <v>45894</v>
      </c>
      <c r="D254" s="9">
        <f t="shared" si="28"/>
        <v>45894</v>
      </c>
      <c r="E254" t="s">
        <v>46</v>
      </c>
      <c r="F254" t="s">
        <v>43</v>
      </c>
      <c r="G254">
        <v>1</v>
      </c>
      <c r="I254" s="11">
        <f t="shared" si="29"/>
        <v>45894</v>
      </c>
      <c r="J254" t="s">
        <v>44</v>
      </c>
      <c r="K254" t="str">
        <f t="shared" si="30"/>
        <v>/* AGOSTO        */ { nombre: "Adviento, Semana I, LUNES", archivo: "/ev/ta/1/lunes.mp3", fecha: `${year}-08-25` },</v>
      </c>
      <c r="L254" s="10">
        <f t="shared" si="31"/>
        <v>45894</v>
      </c>
    </row>
    <row r="255" spans="1:12" hidden="1" x14ac:dyDescent="0.25">
      <c r="A255" t="str" cm="1">
        <f t="array" ref="A255">_xlfn.IFS(E255="Adviento","ta", E255="Navidad","tn", E255="Epifania","te", E255="Ordinario","to", E255="Cuaresma","tc", E255="Domingo De Ramos","tc", E255="Semana Santa","ss", E255="Triduo Pascual","tp", E255="Vigilia Pascual","tp", E255="Pascual","tp")</f>
        <v>ta</v>
      </c>
      <c r="B255" s="14" t="str">
        <f t="shared" si="26"/>
        <v>/* AGOSTO        */</v>
      </c>
      <c r="C255" s="15">
        <f t="shared" si="27"/>
        <v>45895</v>
      </c>
      <c r="D255" s="9">
        <f t="shared" si="28"/>
        <v>45895</v>
      </c>
      <c r="E255" t="s">
        <v>46</v>
      </c>
      <c r="F255" t="s">
        <v>43</v>
      </c>
      <c r="G255">
        <v>1</v>
      </c>
      <c r="I255" s="11">
        <f t="shared" si="29"/>
        <v>45895</v>
      </c>
      <c r="J255" t="s">
        <v>44</v>
      </c>
      <c r="K255" t="str">
        <f t="shared" si="30"/>
        <v>/* AGOSTO        */ { nombre: "Adviento, Semana I, MARTES", archivo: "/ev/ta/1/martes.mp3", fecha: `${year}-08-26` },</v>
      </c>
      <c r="L255" s="10">
        <f t="shared" si="31"/>
        <v>45895</v>
      </c>
    </row>
    <row r="256" spans="1:12" hidden="1" x14ac:dyDescent="0.25">
      <c r="A256" t="str" cm="1">
        <f t="array" ref="A256">_xlfn.IFS(E256="Adviento","ta", E256="Navidad","tn", E256="Epifania","te", E256="Ordinario","to", E256="Cuaresma","tc", E256="Domingo De Ramos","tc", E256="Semana Santa","ss", E256="Triduo Pascual","tp", E256="Vigilia Pascual","tp", E256="Pascual","tp")</f>
        <v>ta</v>
      </c>
      <c r="B256" s="14" t="str">
        <f t="shared" si="26"/>
        <v>/* AGOSTO        */</v>
      </c>
      <c r="C256" s="15">
        <f t="shared" si="27"/>
        <v>45896</v>
      </c>
      <c r="D256" s="9">
        <f t="shared" si="28"/>
        <v>45896</v>
      </c>
      <c r="E256" t="s">
        <v>46</v>
      </c>
      <c r="F256" t="s">
        <v>43</v>
      </c>
      <c r="G256">
        <v>1</v>
      </c>
      <c r="I256" s="11">
        <f t="shared" si="29"/>
        <v>45896</v>
      </c>
      <c r="J256" t="s">
        <v>44</v>
      </c>
      <c r="K256" t="str">
        <f t="shared" si="30"/>
        <v>/* AGOSTO        */ { nombre: "Adviento, Semana I, MIÉRCOLES", archivo: "/ev/ta/1/miércoles.mp3", fecha: `${year}-08-27` },</v>
      </c>
      <c r="L256" s="10">
        <f t="shared" si="31"/>
        <v>45896</v>
      </c>
    </row>
    <row r="257" spans="1:12" hidden="1" x14ac:dyDescent="0.25">
      <c r="A257" t="str" cm="1">
        <f t="array" ref="A257">_xlfn.IFS(E257="Adviento","ta", E257="Navidad","tn", E257="Epifania","te", E257="Ordinario","to", E257="Cuaresma","tc", E257="Domingo De Ramos","tc", E257="Semana Santa","ss", E257="Triduo Pascual","tp", E257="Vigilia Pascual","tp", E257="Pascual","tp")</f>
        <v>ta</v>
      </c>
      <c r="B257" s="14" t="str">
        <f t="shared" si="26"/>
        <v>/* AGOSTO        */</v>
      </c>
      <c r="C257" s="15">
        <f t="shared" si="27"/>
        <v>45897</v>
      </c>
      <c r="D257" s="9">
        <f t="shared" si="28"/>
        <v>45897</v>
      </c>
      <c r="E257" t="s">
        <v>46</v>
      </c>
      <c r="F257" t="s">
        <v>43</v>
      </c>
      <c r="G257">
        <v>1</v>
      </c>
      <c r="I257" s="11">
        <f t="shared" si="29"/>
        <v>45897</v>
      </c>
      <c r="J257" t="s">
        <v>44</v>
      </c>
      <c r="K257" t="str">
        <f t="shared" si="30"/>
        <v>/* AGOSTO        */ { nombre: "Adviento, Semana I, JUEVES", archivo: "/ev/ta/1/jueves.mp3", fecha: `${year}-08-28` },</v>
      </c>
      <c r="L257" s="10">
        <f t="shared" si="31"/>
        <v>45897</v>
      </c>
    </row>
    <row r="258" spans="1:12" hidden="1" x14ac:dyDescent="0.25">
      <c r="A258" t="str" cm="1">
        <f t="array" ref="A258">_xlfn.IFS(E258="Adviento","ta", E258="Navidad","tn", E258="Epifania","te", E258="Ordinario","to", E258="Cuaresma","tc", E258="Domingo De Ramos","tc", E258="Semana Santa","ss", E258="Triduo Pascual","tp", E258="Vigilia Pascual","tp", E258="Pascual","tp")</f>
        <v>ta</v>
      </c>
      <c r="B258" s="14" t="str">
        <f t="shared" si="26"/>
        <v>/* AGOSTO        */</v>
      </c>
      <c r="C258" s="15">
        <f t="shared" si="27"/>
        <v>45898</v>
      </c>
      <c r="D258" s="9">
        <f t="shared" si="28"/>
        <v>45898</v>
      </c>
      <c r="E258" t="s">
        <v>46</v>
      </c>
      <c r="F258" t="s">
        <v>43</v>
      </c>
      <c r="G258">
        <v>1</v>
      </c>
      <c r="I258" s="11">
        <f t="shared" si="29"/>
        <v>45898</v>
      </c>
      <c r="J258" t="s">
        <v>44</v>
      </c>
      <c r="K258" t="str">
        <f t="shared" si="30"/>
        <v>/* AGOSTO        */ { nombre: "Adviento, Semana I, VIERNES", archivo: "/ev/ta/1/viernes.mp3", fecha: `${year}-08-29` },</v>
      </c>
      <c r="L258" s="10">
        <f t="shared" si="31"/>
        <v>45898</v>
      </c>
    </row>
    <row r="259" spans="1:12" hidden="1" x14ac:dyDescent="0.25">
      <c r="A259" t="str" cm="1">
        <f t="array" ref="A259">_xlfn.IFS(E259="Adviento","ta", E259="Navidad","tn", E259="Epifania","te", E259="Ordinario","to", E259="Cuaresma","tc", E259="Domingo De Ramos","tc", E259="Semana Santa","ss", E259="Triduo Pascual","tp", E259="Vigilia Pascual","tp", E259="Pascual","tp")</f>
        <v>ta</v>
      </c>
      <c r="B259" s="14" t="str">
        <f t="shared" si="26"/>
        <v>/* AGOSTO        */</v>
      </c>
      <c r="C259" s="15">
        <f t="shared" si="27"/>
        <v>45899</v>
      </c>
      <c r="D259" s="9">
        <f t="shared" si="28"/>
        <v>45899</v>
      </c>
      <c r="E259" t="s">
        <v>46</v>
      </c>
      <c r="F259" t="s">
        <v>43</v>
      </c>
      <c r="G259">
        <v>1</v>
      </c>
      <c r="I259" s="11">
        <f t="shared" si="29"/>
        <v>45899</v>
      </c>
      <c r="J259" t="s">
        <v>44</v>
      </c>
      <c r="K259" t="str">
        <f t="shared" si="30"/>
        <v>/* AGOSTO        */ { nombre: "Adviento, Semana I, SÁBADO", archivo: "/ev/ta/1/sábado.mp3", fecha: `${year}-08-30` },</v>
      </c>
      <c r="L259" s="10">
        <f t="shared" si="31"/>
        <v>45899</v>
      </c>
    </row>
    <row r="260" spans="1:12" hidden="1" x14ac:dyDescent="0.25">
      <c r="A260" t="str" cm="1">
        <f t="array" ref="A260">_xlfn.IFS(E260="Adviento","ta", E260="Navidad","tn", E260="Epifania","te", E260="Ordinario","to", E260="Cuaresma","tc", E260="Domingo De Ramos","tc", E260="Semana Santa","ss", E260="Triduo Pascual","tp", E260="Vigilia Pascual","tp", E260="Pascual","tp")</f>
        <v>ta</v>
      </c>
      <c r="B260" s="14" t="str">
        <f t="shared" si="26"/>
        <v>/* AGOSTO        */</v>
      </c>
      <c r="C260" s="15">
        <f t="shared" si="27"/>
        <v>45900</v>
      </c>
      <c r="D260" s="9">
        <f t="shared" si="28"/>
        <v>45900</v>
      </c>
      <c r="E260" t="s">
        <v>46</v>
      </c>
      <c r="F260" t="s">
        <v>43</v>
      </c>
      <c r="G260">
        <v>1</v>
      </c>
      <c r="I260" s="11">
        <f t="shared" si="29"/>
        <v>45900</v>
      </c>
      <c r="J260" t="s">
        <v>44</v>
      </c>
      <c r="K260" t="str">
        <f t="shared" si="30"/>
        <v>/* AGOSTO        */ { nombre: "Adviento, Semana I, DOMINGO", archivo: "/ev/ta/1/domingo.mp3", fecha: `${year}-08-31` },</v>
      </c>
      <c r="L260" s="10">
        <f t="shared" si="31"/>
        <v>45900</v>
      </c>
    </row>
    <row r="261" spans="1:12" hidden="1" x14ac:dyDescent="0.25">
      <c r="A261" t="str" cm="1">
        <f t="array" ref="A261">_xlfn.IFS(E261="Adviento","ta", E261="Navidad","tn", E261="Epifania","te", E261="Ordinario","to", E261="Cuaresma","tc", E261="Domingo De Ramos","tc", E261="Semana Santa","ss", E261="Triduo Pascual","tp", E261="Vigilia Pascual","tp", E261="Pascual","tp")</f>
        <v>ta</v>
      </c>
      <c r="B261" s="14" t="str">
        <f t="shared" si="26"/>
        <v>/* SEPTIEMBRE        */</v>
      </c>
      <c r="C261" s="15">
        <f t="shared" si="27"/>
        <v>45901</v>
      </c>
      <c r="D261" s="9">
        <f t="shared" si="28"/>
        <v>45901</v>
      </c>
      <c r="E261" t="s">
        <v>46</v>
      </c>
      <c r="F261" t="s">
        <v>43</v>
      </c>
      <c r="G261">
        <v>1</v>
      </c>
      <c r="I261" s="11">
        <f t="shared" si="29"/>
        <v>45901</v>
      </c>
      <c r="J261" t="s">
        <v>44</v>
      </c>
      <c r="K261" t="str">
        <f t="shared" si="30"/>
        <v>/* SEPTIEMBRE        */ { nombre: "Adviento, Semana I, LUNES", archivo: "/ev/ta/1/lunes.mp3", fecha: `${year}-09-01` },</v>
      </c>
      <c r="L261" s="10">
        <f t="shared" si="31"/>
        <v>45901</v>
      </c>
    </row>
    <row r="262" spans="1:12" hidden="1" x14ac:dyDescent="0.25">
      <c r="A262" t="str" cm="1">
        <f t="array" ref="A262">_xlfn.IFS(E262="Adviento","ta", E262="Navidad","tn", E262="Epifania","te", E262="Ordinario","to", E262="Cuaresma","tc", E262="Domingo De Ramos","tc", E262="Semana Santa","ss", E262="Triduo Pascual","tp", E262="Vigilia Pascual","tp", E262="Pascual","tp")</f>
        <v>ta</v>
      </c>
      <c r="B262" s="14" t="str">
        <f t="shared" si="26"/>
        <v>/* SEPTIEMBRE        */</v>
      </c>
      <c r="C262" s="15">
        <f t="shared" si="27"/>
        <v>45902</v>
      </c>
      <c r="D262" s="9">
        <f t="shared" si="28"/>
        <v>45902</v>
      </c>
      <c r="E262" t="s">
        <v>46</v>
      </c>
      <c r="F262" t="s">
        <v>43</v>
      </c>
      <c r="G262">
        <v>1</v>
      </c>
      <c r="I262" s="11">
        <f t="shared" si="29"/>
        <v>45902</v>
      </c>
      <c r="J262" t="s">
        <v>44</v>
      </c>
      <c r="K262" t="str">
        <f t="shared" si="30"/>
        <v>/* SEPTIEMBRE        */ { nombre: "Adviento, Semana I, MARTES", archivo: "/ev/ta/1/martes.mp3", fecha: `${year}-09-02` },</v>
      </c>
      <c r="L262" s="10">
        <f t="shared" si="31"/>
        <v>45902</v>
      </c>
    </row>
    <row r="263" spans="1:12" hidden="1" x14ac:dyDescent="0.25">
      <c r="A263" t="str" cm="1">
        <f t="array" ref="A263">_xlfn.IFS(E263="Adviento","ta", E263="Navidad","tn", E263="Epifania","te", E263="Ordinario","to", E263="Cuaresma","tc", E263="Domingo De Ramos","tc", E263="Semana Santa","ss", E263="Triduo Pascual","tp", E263="Vigilia Pascual","tp", E263="Pascual","tp")</f>
        <v>ta</v>
      </c>
      <c r="B263" s="14" t="str">
        <f t="shared" si="26"/>
        <v>/* SEPTIEMBRE        */</v>
      </c>
      <c r="C263" s="15">
        <f t="shared" si="27"/>
        <v>45903</v>
      </c>
      <c r="D263" s="9">
        <f t="shared" si="28"/>
        <v>45903</v>
      </c>
      <c r="E263" t="s">
        <v>46</v>
      </c>
      <c r="F263" t="s">
        <v>43</v>
      </c>
      <c r="G263">
        <v>1</v>
      </c>
      <c r="I263" s="11">
        <f t="shared" si="29"/>
        <v>45903</v>
      </c>
      <c r="J263" t="s">
        <v>44</v>
      </c>
      <c r="K263" t="str">
        <f t="shared" si="30"/>
        <v>/* SEPTIEMBRE        */ { nombre: "Adviento, Semana I, MIÉRCOLES", archivo: "/ev/ta/1/miércoles.mp3", fecha: `${year}-09-03` },</v>
      </c>
      <c r="L263" s="10">
        <f t="shared" si="31"/>
        <v>45903</v>
      </c>
    </row>
    <row r="264" spans="1:12" hidden="1" x14ac:dyDescent="0.25">
      <c r="A264" t="str" cm="1">
        <f t="array" ref="A264">_xlfn.IFS(E264="Adviento","ta", E264="Navidad","tn", E264="Epifania","te", E264="Ordinario","to", E264="Cuaresma","tc", E264="Domingo De Ramos","tc", E264="Semana Santa","ss", E264="Triduo Pascual","tp", E264="Vigilia Pascual","tp", E264="Pascual","tp")</f>
        <v>ta</v>
      </c>
      <c r="B264" s="14" t="str">
        <f t="shared" si="26"/>
        <v>/* SEPTIEMBRE        */</v>
      </c>
      <c r="C264" s="15">
        <f t="shared" si="27"/>
        <v>45904</v>
      </c>
      <c r="D264" s="9">
        <f t="shared" si="28"/>
        <v>45904</v>
      </c>
      <c r="E264" t="s">
        <v>46</v>
      </c>
      <c r="F264" t="s">
        <v>43</v>
      </c>
      <c r="G264">
        <v>1</v>
      </c>
      <c r="I264" s="11">
        <f t="shared" si="29"/>
        <v>45904</v>
      </c>
      <c r="J264" t="s">
        <v>44</v>
      </c>
      <c r="K264" t="str">
        <f t="shared" si="30"/>
        <v>/* SEPTIEMBRE        */ { nombre: "Adviento, Semana I, JUEVES", archivo: "/ev/ta/1/jueves.mp3", fecha: `${year}-09-04` },</v>
      </c>
      <c r="L264" s="10">
        <f t="shared" si="31"/>
        <v>45904</v>
      </c>
    </row>
    <row r="265" spans="1:12" hidden="1" x14ac:dyDescent="0.25">
      <c r="A265" t="str" cm="1">
        <f t="array" ref="A265">_xlfn.IFS(E265="Adviento","ta", E265="Navidad","tn", E265="Epifania","te", E265="Ordinario","to", E265="Cuaresma","tc", E265="Domingo De Ramos","tc", E265="Semana Santa","ss", E265="Triduo Pascual","tp", E265="Vigilia Pascual","tp", E265="Pascual","tp")</f>
        <v>ta</v>
      </c>
      <c r="B265" s="14" t="str">
        <f t="shared" si="26"/>
        <v>/* SEPTIEMBRE        */</v>
      </c>
      <c r="C265" s="15">
        <f t="shared" si="27"/>
        <v>45905</v>
      </c>
      <c r="D265" s="9">
        <f t="shared" si="28"/>
        <v>45905</v>
      </c>
      <c r="E265" t="s">
        <v>46</v>
      </c>
      <c r="F265" t="s">
        <v>43</v>
      </c>
      <c r="G265">
        <v>1</v>
      </c>
      <c r="I265" s="11">
        <f t="shared" si="29"/>
        <v>45905</v>
      </c>
      <c r="J265" t="s">
        <v>44</v>
      </c>
      <c r="K265" t="str">
        <f t="shared" si="30"/>
        <v>/* SEPTIEMBRE        */ { nombre: "Adviento, Semana I, VIERNES", archivo: "/ev/ta/1/viernes.mp3", fecha: `${year}-09-05` },</v>
      </c>
      <c r="L265" s="10">
        <f t="shared" si="31"/>
        <v>45905</v>
      </c>
    </row>
    <row r="266" spans="1:12" hidden="1" x14ac:dyDescent="0.25">
      <c r="A266" t="str" cm="1">
        <f t="array" ref="A266">_xlfn.IFS(E266="Adviento","ta", E266="Navidad","tn", E266="Epifania","te", E266="Ordinario","to", E266="Cuaresma","tc", E266="Domingo De Ramos","tc", E266="Semana Santa","ss", E266="Triduo Pascual","tp", E266="Vigilia Pascual","tp", E266="Pascual","tp")</f>
        <v>ta</v>
      </c>
      <c r="B266" s="14" t="str">
        <f t="shared" si="26"/>
        <v>/* SEPTIEMBRE        */</v>
      </c>
      <c r="C266" s="15">
        <f t="shared" si="27"/>
        <v>45906</v>
      </c>
      <c r="D266" s="9">
        <f t="shared" si="28"/>
        <v>45906</v>
      </c>
      <c r="E266" t="s">
        <v>46</v>
      </c>
      <c r="F266" t="s">
        <v>43</v>
      </c>
      <c r="G266">
        <v>1</v>
      </c>
      <c r="I266" s="11">
        <f t="shared" si="29"/>
        <v>45906</v>
      </c>
      <c r="J266" t="s">
        <v>44</v>
      </c>
      <c r="K266" t="str">
        <f t="shared" si="30"/>
        <v>/* SEPTIEMBRE        */ { nombre: "Adviento, Semana I, SÁBADO", archivo: "/ev/ta/1/sábado.mp3", fecha: `${year}-09-06` },</v>
      </c>
      <c r="L266" s="10">
        <f t="shared" si="31"/>
        <v>45906</v>
      </c>
    </row>
    <row r="267" spans="1:12" hidden="1" x14ac:dyDescent="0.25">
      <c r="A267" t="str" cm="1">
        <f t="array" ref="A267">_xlfn.IFS(E267="Adviento","ta", E267="Navidad","tn", E267="Epifania","te", E267="Ordinario","to", E267="Cuaresma","tc", E267="Domingo De Ramos","tc", E267="Semana Santa","ss", E267="Triduo Pascual","tp", E267="Vigilia Pascual","tp", E267="Pascual","tp")</f>
        <v>ta</v>
      </c>
      <c r="B267" s="14" t="str">
        <f t="shared" si="26"/>
        <v>/* SEPTIEMBRE        */</v>
      </c>
      <c r="C267" s="15">
        <f t="shared" si="27"/>
        <v>45907</v>
      </c>
      <c r="D267" s="9">
        <f t="shared" si="28"/>
        <v>45907</v>
      </c>
      <c r="E267" t="s">
        <v>46</v>
      </c>
      <c r="F267" t="s">
        <v>43</v>
      </c>
      <c r="G267">
        <v>1</v>
      </c>
      <c r="I267" s="11">
        <f t="shared" si="29"/>
        <v>45907</v>
      </c>
      <c r="J267" t="s">
        <v>44</v>
      </c>
      <c r="K267" t="str">
        <f t="shared" si="30"/>
        <v>/* SEPTIEMBRE        */ { nombre: "Adviento, Semana I, DOMINGO", archivo: "/ev/ta/1/domingo.mp3", fecha: `${year}-09-07` },</v>
      </c>
      <c r="L267" s="10">
        <f t="shared" si="31"/>
        <v>45907</v>
      </c>
    </row>
    <row r="268" spans="1:12" hidden="1" x14ac:dyDescent="0.25">
      <c r="A268" t="str" cm="1">
        <f t="array" ref="A268">_xlfn.IFS(E268="Adviento","ta", E268="Navidad","tn", E268="Epifania","te", E268="Ordinario","to", E268="Cuaresma","tc", E268="Domingo De Ramos","tc", E268="Semana Santa","ss", E268="Triduo Pascual","tp", E268="Vigilia Pascual","tp", E268="Pascual","tp")</f>
        <v>ta</v>
      </c>
      <c r="B268" s="14" t="str">
        <f t="shared" si="26"/>
        <v>/* SEPTIEMBRE        */</v>
      </c>
      <c r="C268" s="15">
        <f t="shared" si="27"/>
        <v>45908</v>
      </c>
      <c r="D268" s="9">
        <f t="shared" si="28"/>
        <v>45908</v>
      </c>
      <c r="E268" t="s">
        <v>46</v>
      </c>
      <c r="F268" t="s">
        <v>43</v>
      </c>
      <c r="G268">
        <v>1</v>
      </c>
      <c r="I268" s="11">
        <f t="shared" si="29"/>
        <v>45908</v>
      </c>
      <c r="J268" t="s">
        <v>44</v>
      </c>
      <c r="K268" t="str">
        <f t="shared" si="30"/>
        <v>/* SEPTIEMBRE        */ { nombre: "Adviento, Semana I, LUNES", archivo: "/ev/ta/1/lunes.mp3", fecha: `${year}-09-08` },</v>
      </c>
      <c r="L268" s="10">
        <f t="shared" si="31"/>
        <v>45908</v>
      </c>
    </row>
    <row r="269" spans="1:12" hidden="1" x14ac:dyDescent="0.25">
      <c r="A269" t="str" cm="1">
        <f t="array" ref="A269">_xlfn.IFS(E269="Adviento","ta", E269="Navidad","tn", E269="Epifania","te", E269="Ordinario","to", E269="Cuaresma","tc", E269="Domingo De Ramos","tc", E269="Semana Santa","ss", E269="Triduo Pascual","tp", E269="Vigilia Pascual","tp", E269="Pascual","tp")</f>
        <v>ta</v>
      </c>
      <c r="B269" s="14" t="str">
        <f t="shared" si="26"/>
        <v>/* SEPTIEMBRE        */</v>
      </c>
      <c r="C269" s="15">
        <f t="shared" si="27"/>
        <v>45909</v>
      </c>
      <c r="D269" s="9">
        <f t="shared" si="28"/>
        <v>45909</v>
      </c>
      <c r="E269" t="s">
        <v>46</v>
      </c>
      <c r="F269" t="s">
        <v>43</v>
      </c>
      <c r="G269">
        <v>1</v>
      </c>
      <c r="I269" s="11">
        <f t="shared" si="29"/>
        <v>45909</v>
      </c>
      <c r="J269" t="s">
        <v>44</v>
      </c>
      <c r="K269" t="str">
        <f t="shared" si="30"/>
        <v>/* SEPTIEMBRE        */ { nombre: "Adviento, Semana I, MARTES", archivo: "/ev/ta/1/martes.mp3", fecha: `${year}-09-09` },</v>
      </c>
      <c r="L269" s="10">
        <f t="shared" si="31"/>
        <v>45909</v>
      </c>
    </row>
    <row r="270" spans="1:12" hidden="1" x14ac:dyDescent="0.25">
      <c r="A270" t="str" cm="1">
        <f t="array" ref="A270">_xlfn.IFS(E270="Adviento","ta", E270="Navidad","tn", E270="Epifania","te", E270="Ordinario","to", E270="Cuaresma","tc", E270="Domingo De Ramos","tc", E270="Semana Santa","ss", E270="Triduo Pascual","tp", E270="Vigilia Pascual","tp", E270="Pascual","tp")</f>
        <v>ta</v>
      </c>
      <c r="B270" s="14" t="str">
        <f t="shared" si="26"/>
        <v>/* SEPTIEMBRE        */</v>
      </c>
      <c r="C270" s="15">
        <f t="shared" si="27"/>
        <v>45910</v>
      </c>
      <c r="D270" s="9">
        <f t="shared" si="28"/>
        <v>45910</v>
      </c>
      <c r="E270" t="s">
        <v>46</v>
      </c>
      <c r="F270" t="s">
        <v>43</v>
      </c>
      <c r="G270">
        <v>1</v>
      </c>
      <c r="I270" s="11">
        <f t="shared" si="29"/>
        <v>45910</v>
      </c>
      <c r="J270" t="s">
        <v>44</v>
      </c>
      <c r="K270" t="str">
        <f t="shared" si="30"/>
        <v>/* SEPTIEMBRE        */ { nombre: "Adviento, Semana I, MIÉRCOLES", archivo: "/ev/ta/1/miércoles.mp3", fecha: `${year}-09-10` },</v>
      </c>
      <c r="L270" s="10">
        <f t="shared" si="31"/>
        <v>45910</v>
      </c>
    </row>
    <row r="271" spans="1:12" hidden="1" x14ac:dyDescent="0.25">
      <c r="A271" t="str" cm="1">
        <f t="array" ref="A271">_xlfn.IFS(E271="Adviento","ta", E271="Navidad","tn", E271="Epifania","te", E271="Ordinario","to", E271="Cuaresma","tc", E271="Domingo De Ramos","tc", E271="Semana Santa","ss", E271="Triduo Pascual","tp", E271="Vigilia Pascual","tp", E271="Pascual","tp")</f>
        <v>ta</v>
      </c>
      <c r="B271" s="14" t="str">
        <f t="shared" si="26"/>
        <v>/* SEPTIEMBRE        */</v>
      </c>
      <c r="C271" s="15">
        <f t="shared" si="27"/>
        <v>45911</v>
      </c>
      <c r="D271" s="9">
        <f t="shared" si="28"/>
        <v>45911</v>
      </c>
      <c r="E271" t="s">
        <v>46</v>
      </c>
      <c r="F271" t="s">
        <v>43</v>
      </c>
      <c r="G271">
        <v>1</v>
      </c>
      <c r="I271" s="11">
        <f t="shared" si="29"/>
        <v>45911</v>
      </c>
      <c r="J271" t="s">
        <v>44</v>
      </c>
      <c r="K271" t="str">
        <f t="shared" si="30"/>
        <v>/* SEPTIEMBRE        */ { nombre: "Adviento, Semana I, JUEVES", archivo: "/ev/ta/1/jueves.mp3", fecha: `${year}-09-11` },</v>
      </c>
      <c r="L271" s="10">
        <f t="shared" si="31"/>
        <v>45911</v>
      </c>
    </row>
    <row r="272" spans="1:12" hidden="1" x14ac:dyDescent="0.25">
      <c r="A272" t="str" cm="1">
        <f t="array" ref="A272">_xlfn.IFS(E272="Adviento","ta", E272="Navidad","tn", E272="Epifania","te", E272="Ordinario","to", E272="Cuaresma","tc", E272="Domingo De Ramos","tc", E272="Semana Santa","ss", E272="Triduo Pascual","tp", E272="Vigilia Pascual","tp", E272="Pascual","tp")</f>
        <v>ta</v>
      </c>
      <c r="B272" s="14" t="str">
        <f t="shared" si="26"/>
        <v>/* SEPTIEMBRE        */</v>
      </c>
      <c r="C272" s="15">
        <f t="shared" si="27"/>
        <v>45912</v>
      </c>
      <c r="D272" s="9">
        <f t="shared" si="28"/>
        <v>45912</v>
      </c>
      <c r="E272" t="s">
        <v>46</v>
      </c>
      <c r="F272" t="s">
        <v>43</v>
      </c>
      <c r="G272">
        <v>1</v>
      </c>
      <c r="I272" s="11">
        <f t="shared" si="29"/>
        <v>45912</v>
      </c>
      <c r="J272" t="s">
        <v>44</v>
      </c>
      <c r="K272" t="str">
        <f t="shared" si="30"/>
        <v>/* SEPTIEMBRE        */ { nombre: "Adviento, Semana I, VIERNES", archivo: "/ev/ta/1/viernes.mp3", fecha: `${year}-09-12` },</v>
      </c>
      <c r="L272" s="10">
        <f t="shared" si="31"/>
        <v>45912</v>
      </c>
    </row>
    <row r="273" spans="1:12" hidden="1" x14ac:dyDescent="0.25">
      <c r="A273" t="str" cm="1">
        <f t="array" ref="A273">_xlfn.IFS(E273="Adviento","ta", E273="Navidad","tn", E273="Epifania","te", E273="Ordinario","to", E273="Cuaresma","tc", E273="Domingo De Ramos","tc", E273="Semana Santa","ss", E273="Triduo Pascual","tp", E273="Vigilia Pascual","tp", E273="Pascual","tp")</f>
        <v>ta</v>
      </c>
      <c r="B273" s="14" t="str">
        <f t="shared" si="26"/>
        <v>/* SEPTIEMBRE        */</v>
      </c>
      <c r="C273" s="15">
        <f t="shared" si="27"/>
        <v>45913</v>
      </c>
      <c r="D273" s="9">
        <f t="shared" si="28"/>
        <v>45913</v>
      </c>
      <c r="E273" t="s">
        <v>46</v>
      </c>
      <c r="F273" t="s">
        <v>43</v>
      </c>
      <c r="G273">
        <v>1</v>
      </c>
      <c r="I273" s="11">
        <f t="shared" si="29"/>
        <v>45913</v>
      </c>
      <c r="J273" t="s">
        <v>44</v>
      </c>
      <c r="K273" t="str">
        <f t="shared" si="30"/>
        <v>/* SEPTIEMBRE        */ { nombre: "Adviento, Semana I, SÁBADO", archivo: "/ev/ta/1/sábado.mp3", fecha: `${year}-09-13` },</v>
      </c>
      <c r="L273" s="10">
        <f t="shared" si="31"/>
        <v>45913</v>
      </c>
    </row>
    <row r="274" spans="1:12" hidden="1" x14ac:dyDescent="0.25">
      <c r="A274" t="str" cm="1">
        <f t="array" ref="A274">_xlfn.IFS(E274="Adviento","ta", E274="Navidad","tn", E274="Epifania","te", E274="Ordinario","to", E274="Cuaresma","tc", E274="Domingo De Ramos","tc", E274="Semana Santa","ss", E274="Triduo Pascual","tp", E274="Vigilia Pascual","tp", E274="Pascual","tp")</f>
        <v>ta</v>
      </c>
      <c r="B274" s="14" t="str">
        <f t="shared" si="26"/>
        <v>/* SEPTIEMBRE        */</v>
      </c>
      <c r="C274" s="15">
        <f t="shared" si="27"/>
        <v>45914</v>
      </c>
      <c r="D274" s="9">
        <f t="shared" si="28"/>
        <v>45914</v>
      </c>
      <c r="E274" t="s">
        <v>46</v>
      </c>
      <c r="F274" t="s">
        <v>43</v>
      </c>
      <c r="G274">
        <v>1</v>
      </c>
      <c r="I274" s="11">
        <f t="shared" si="29"/>
        <v>45914</v>
      </c>
      <c r="J274" t="s">
        <v>44</v>
      </c>
      <c r="K274" t="str">
        <f t="shared" si="30"/>
        <v>/* SEPTIEMBRE        */ { nombre: "Adviento, Semana I, DOMINGO", archivo: "/ev/ta/1/domingo.mp3", fecha: `${year}-09-14` },</v>
      </c>
      <c r="L274" s="10">
        <f t="shared" si="31"/>
        <v>45914</v>
      </c>
    </row>
    <row r="275" spans="1:12" hidden="1" x14ac:dyDescent="0.25">
      <c r="A275" t="str" cm="1">
        <f t="array" ref="A275">_xlfn.IFS(E275="Adviento","ta", E275="Navidad","tn", E275="Epifania","te", E275="Ordinario","to", E275="Cuaresma","tc", E275="Domingo De Ramos","tc", E275="Semana Santa","ss", E275="Triduo Pascual","tp", E275="Vigilia Pascual","tp", E275="Pascual","tp")</f>
        <v>ta</v>
      </c>
      <c r="B275" s="14" t="str">
        <f t="shared" si="26"/>
        <v>/* SEPTIEMBRE        */</v>
      </c>
      <c r="C275" s="15">
        <f t="shared" si="27"/>
        <v>45915</v>
      </c>
      <c r="D275" s="9">
        <f t="shared" si="28"/>
        <v>45915</v>
      </c>
      <c r="E275" t="s">
        <v>46</v>
      </c>
      <c r="F275" t="s">
        <v>43</v>
      </c>
      <c r="G275">
        <v>1</v>
      </c>
      <c r="I275" s="11">
        <f t="shared" si="29"/>
        <v>45915</v>
      </c>
      <c r="J275" t="s">
        <v>44</v>
      </c>
      <c r="K275" t="str">
        <f t="shared" si="30"/>
        <v>/* SEPTIEMBRE        */ { nombre: "Adviento, Semana I, LUNES", archivo: "/ev/ta/1/lunes.mp3", fecha: `${year}-09-15` },</v>
      </c>
      <c r="L275" s="10">
        <f t="shared" si="31"/>
        <v>45915</v>
      </c>
    </row>
    <row r="276" spans="1:12" hidden="1" x14ac:dyDescent="0.25">
      <c r="A276" t="str" cm="1">
        <f t="array" ref="A276">_xlfn.IFS(E276="Adviento","ta", E276="Navidad","tn", E276="Epifania","te", E276="Ordinario","to", E276="Cuaresma","tc", E276="Domingo De Ramos","tc", E276="Semana Santa","ss", E276="Triduo Pascual","tp", E276="Vigilia Pascual","tp", E276="Pascual","tp")</f>
        <v>ta</v>
      </c>
      <c r="B276" s="14" t="str">
        <f t="shared" si="26"/>
        <v>/* SEPTIEMBRE        */</v>
      </c>
      <c r="C276" s="15">
        <f t="shared" si="27"/>
        <v>45916</v>
      </c>
      <c r="D276" s="9">
        <f t="shared" si="28"/>
        <v>45916</v>
      </c>
      <c r="E276" t="s">
        <v>46</v>
      </c>
      <c r="F276" t="s">
        <v>43</v>
      </c>
      <c r="G276">
        <v>1</v>
      </c>
      <c r="I276" s="11">
        <f t="shared" si="29"/>
        <v>45916</v>
      </c>
      <c r="J276" t="s">
        <v>44</v>
      </c>
      <c r="K276" t="str">
        <f t="shared" si="30"/>
        <v>/* SEPTIEMBRE        */ { nombre: "Adviento, Semana I, MARTES", archivo: "/ev/ta/1/martes.mp3", fecha: `${year}-09-16` },</v>
      </c>
      <c r="L276" s="10">
        <f t="shared" si="31"/>
        <v>45916</v>
      </c>
    </row>
    <row r="277" spans="1:12" hidden="1" x14ac:dyDescent="0.25">
      <c r="A277" t="str" cm="1">
        <f t="array" ref="A277">_xlfn.IFS(E277="Adviento","ta", E277="Navidad","tn", E277="Epifania","te", E277="Ordinario","to", E277="Cuaresma","tc", E277="Domingo De Ramos","tc", E277="Semana Santa","ss", E277="Triduo Pascual","tp", E277="Vigilia Pascual","tp", E277="Pascual","tp")</f>
        <v>ta</v>
      </c>
      <c r="B277" s="14" t="str">
        <f t="shared" si="26"/>
        <v>/* SEPTIEMBRE        */</v>
      </c>
      <c r="C277" s="15">
        <f t="shared" si="27"/>
        <v>45917</v>
      </c>
      <c r="D277" s="9">
        <f t="shared" si="28"/>
        <v>45917</v>
      </c>
      <c r="E277" t="s">
        <v>46</v>
      </c>
      <c r="F277" t="s">
        <v>43</v>
      </c>
      <c r="G277">
        <v>1</v>
      </c>
      <c r="I277" s="11">
        <f t="shared" si="29"/>
        <v>45917</v>
      </c>
      <c r="J277" t="s">
        <v>44</v>
      </c>
      <c r="K277" t="str">
        <f t="shared" si="30"/>
        <v>/* SEPTIEMBRE        */ { nombre: "Adviento, Semana I, MIÉRCOLES", archivo: "/ev/ta/1/miércoles.mp3", fecha: `${year}-09-17` },</v>
      </c>
      <c r="L277" s="10">
        <f t="shared" si="31"/>
        <v>45917</v>
      </c>
    </row>
    <row r="278" spans="1:12" hidden="1" x14ac:dyDescent="0.25">
      <c r="A278" t="str" cm="1">
        <f t="array" ref="A278">_xlfn.IFS(E278="Adviento","ta", E278="Navidad","tn", E278="Epifania","te", E278="Ordinario","to", E278="Cuaresma","tc", E278="Domingo De Ramos","tc", E278="Semana Santa","ss", E278="Triduo Pascual","tp", E278="Vigilia Pascual","tp", E278="Pascual","tp")</f>
        <v>ta</v>
      </c>
      <c r="B278" s="14" t="str">
        <f t="shared" ref="B278:B341" si="32">_xlfn.CONCAT("/* ",UPPER(TEXT(D278,"[$-es-ES]mmmm")),"        */")</f>
        <v>/* SEPTIEMBRE        */</v>
      </c>
      <c r="C278" s="15">
        <f t="shared" si="27"/>
        <v>45918</v>
      </c>
      <c r="D278" s="9">
        <f t="shared" si="28"/>
        <v>45918</v>
      </c>
      <c r="E278" t="s">
        <v>46</v>
      </c>
      <c r="F278" t="s">
        <v>43</v>
      </c>
      <c r="G278">
        <v>1</v>
      </c>
      <c r="I278" s="11">
        <f t="shared" si="29"/>
        <v>45918</v>
      </c>
      <c r="J278" t="s">
        <v>44</v>
      </c>
      <c r="K278" t="str">
        <f t="shared" si="30"/>
        <v>/* SEPTIEMBRE        */ { nombre: "Adviento, Semana I, JUEVES", archivo: "/ev/ta/1/jueves.mp3", fecha: `${year}-09-18` },</v>
      </c>
      <c r="L278" s="10">
        <f t="shared" si="31"/>
        <v>45918</v>
      </c>
    </row>
    <row r="279" spans="1:12" hidden="1" x14ac:dyDescent="0.25">
      <c r="A279" t="str" cm="1">
        <f t="array" ref="A279">_xlfn.IFS(E279="Adviento","ta", E279="Navidad","tn", E279="Epifania","te", E279="Ordinario","to", E279="Cuaresma","tc", E279="Domingo De Ramos","tc", E279="Semana Santa","ss", E279="Triduo Pascual","tp", E279="Vigilia Pascual","tp", E279="Pascual","tp")</f>
        <v>ta</v>
      </c>
      <c r="B279" s="14" t="str">
        <f t="shared" si="32"/>
        <v>/* SEPTIEMBRE        */</v>
      </c>
      <c r="C279" s="15">
        <f t="shared" si="27"/>
        <v>45919</v>
      </c>
      <c r="D279" s="9">
        <f t="shared" si="28"/>
        <v>45919</v>
      </c>
      <c r="E279" t="s">
        <v>46</v>
      </c>
      <c r="F279" t="s">
        <v>43</v>
      </c>
      <c r="G279">
        <v>1</v>
      </c>
      <c r="I279" s="11">
        <f t="shared" si="29"/>
        <v>45919</v>
      </c>
      <c r="J279" t="s">
        <v>44</v>
      </c>
      <c r="K279" t="str">
        <f t="shared" si="30"/>
        <v>/* SEPTIEMBRE        */ { nombre: "Adviento, Semana I, VIERNES", archivo: "/ev/ta/1/viernes.mp3", fecha: `${year}-09-19` },</v>
      </c>
      <c r="L279" s="10">
        <f t="shared" si="31"/>
        <v>45919</v>
      </c>
    </row>
    <row r="280" spans="1:12" hidden="1" x14ac:dyDescent="0.25">
      <c r="A280" t="str" cm="1">
        <f t="array" ref="A280">_xlfn.IFS(E280="Adviento","ta", E280="Navidad","tn", E280="Epifania","te", E280="Ordinario","to", E280="Cuaresma","tc", E280="Domingo De Ramos","tc", E280="Semana Santa","ss", E280="Triduo Pascual","tp", E280="Vigilia Pascual","tp", E280="Pascual","tp")</f>
        <v>ta</v>
      </c>
      <c r="B280" s="14" t="str">
        <f t="shared" si="32"/>
        <v>/* SEPTIEMBRE        */</v>
      </c>
      <c r="C280" s="15">
        <f t="shared" si="27"/>
        <v>45920</v>
      </c>
      <c r="D280" s="9">
        <f t="shared" si="28"/>
        <v>45920</v>
      </c>
      <c r="E280" t="s">
        <v>46</v>
      </c>
      <c r="F280" t="s">
        <v>43</v>
      </c>
      <c r="G280">
        <v>1</v>
      </c>
      <c r="I280" s="11">
        <f t="shared" si="29"/>
        <v>45920</v>
      </c>
      <c r="J280" t="s">
        <v>44</v>
      </c>
      <c r="K280" t="str">
        <f t="shared" si="30"/>
        <v>/* SEPTIEMBRE        */ { nombre: "Adviento, Semana I, SÁBADO", archivo: "/ev/ta/1/sábado.mp3", fecha: `${year}-09-20` },</v>
      </c>
      <c r="L280" s="10">
        <f t="shared" si="31"/>
        <v>45920</v>
      </c>
    </row>
    <row r="281" spans="1:12" hidden="1" x14ac:dyDescent="0.25">
      <c r="A281" t="str" cm="1">
        <f t="array" ref="A281">_xlfn.IFS(E281="Adviento","ta", E281="Navidad","tn", E281="Epifania","te", E281="Ordinario","to", E281="Cuaresma","tc", E281="Domingo De Ramos","tc", E281="Semana Santa","ss", E281="Triduo Pascual","tp", E281="Vigilia Pascual","tp", E281="Pascual","tp")</f>
        <v>ta</v>
      </c>
      <c r="B281" s="14" t="str">
        <f t="shared" si="32"/>
        <v>/* SEPTIEMBRE        */</v>
      </c>
      <c r="C281" s="15">
        <f t="shared" si="27"/>
        <v>45921</v>
      </c>
      <c r="D281" s="9">
        <f t="shared" si="28"/>
        <v>45921</v>
      </c>
      <c r="E281" t="s">
        <v>46</v>
      </c>
      <c r="F281" t="s">
        <v>43</v>
      </c>
      <c r="G281">
        <v>1</v>
      </c>
      <c r="I281" s="11">
        <f t="shared" si="29"/>
        <v>45921</v>
      </c>
      <c r="J281" t="s">
        <v>44</v>
      </c>
      <c r="K281" t="str">
        <f t="shared" si="30"/>
        <v>/* SEPTIEMBRE        */ { nombre: "Adviento, Semana I, DOMINGO", archivo: "/ev/ta/1/domingo.mp3", fecha: `${year}-09-21` },</v>
      </c>
      <c r="L281" s="10">
        <f t="shared" si="31"/>
        <v>45921</v>
      </c>
    </row>
    <row r="282" spans="1:12" hidden="1" x14ac:dyDescent="0.25">
      <c r="A282" t="str" cm="1">
        <f t="array" ref="A282">_xlfn.IFS(E282="Adviento","ta", E282="Navidad","tn", E282="Epifania","te", E282="Ordinario","to", E282="Cuaresma","tc", E282="Domingo De Ramos","tc", E282="Semana Santa","ss", E282="Triduo Pascual","tp", E282="Vigilia Pascual","tp", E282="Pascual","tp")</f>
        <v>ta</v>
      </c>
      <c r="B282" s="14" t="str">
        <f t="shared" si="32"/>
        <v>/* SEPTIEMBRE        */</v>
      </c>
      <c r="C282" s="15">
        <f t="shared" si="27"/>
        <v>45922</v>
      </c>
      <c r="D282" s="9">
        <f t="shared" si="28"/>
        <v>45922</v>
      </c>
      <c r="E282" t="s">
        <v>46</v>
      </c>
      <c r="F282" t="s">
        <v>43</v>
      </c>
      <c r="G282">
        <v>1</v>
      </c>
      <c r="I282" s="11">
        <f t="shared" si="29"/>
        <v>45922</v>
      </c>
      <c r="J282" t="s">
        <v>44</v>
      </c>
      <c r="K282" t="str">
        <f t="shared" si="30"/>
        <v>/* SEPTIEMBRE        */ { nombre: "Adviento, Semana I, LUNES", archivo: "/ev/ta/1/lunes.mp3", fecha: `${year}-09-22` },</v>
      </c>
      <c r="L282" s="10">
        <f t="shared" si="31"/>
        <v>45922</v>
      </c>
    </row>
    <row r="283" spans="1:12" hidden="1" x14ac:dyDescent="0.25">
      <c r="A283" t="str" cm="1">
        <f t="array" ref="A283">_xlfn.IFS(E283="Adviento","ta", E283="Navidad","tn", E283="Epifania","te", E283="Ordinario","to", E283="Cuaresma","tc", E283="Domingo De Ramos","tc", E283="Semana Santa","ss", E283="Triduo Pascual","tp", E283="Vigilia Pascual","tp", E283="Pascual","tp")</f>
        <v>ta</v>
      </c>
      <c r="B283" s="14" t="str">
        <f t="shared" si="32"/>
        <v>/* SEPTIEMBRE        */</v>
      </c>
      <c r="C283" s="15">
        <f t="shared" si="27"/>
        <v>45923</v>
      </c>
      <c r="D283" s="9">
        <f t="shared" si="28"/>
        <v>45923</v>
      </c>
      <c r="E283" t="s">
        <v>46</v>
      </c>
      <c r="F283" t="s">
        <v>43</v>
      </c>
      <c r="G283">
        <v>1</v>
      </c>
      <c r="I283" s="11">
        <f t="shared" si="29"/>
        <v>45923</v>
      </c>
      <c r="J283" t="s">
        <v>44</v>
      </c>
      <c r="K283" t="str">
        <f t="shared" si="30"/>
        <v>/* SEPTIEMBRE        */ { nombre: "Adviento, Semana I, MARTES", archivo: "/ev/ta/1/martes.mp3", fecha: `${year}-09-23` },</v>
      </c>
      <c r="L283" s="10">
        <f t="shared" si="31"/>
        <v>45923</v>
      </c>
    </row>
    <row r="284" spans="1:12" hidden="1" x14ac:dyDescent="0.25">
      <c r="A284" t="str" cm="1">
        <f t="array" ref="A284">_xlfn.IFS(E284="Adviento","ta", E284="Navidad","tn", E284="Epifania","te", E284="Ordinario","to", E284="Cuaresma","tc", E284="Domingo De Ramos","tc", E284="Semana Santa","ss", E284="Triduo Pascual","tp", E284="Vigilia Pascual","tp", E284="Pascual","tp")</f>
        <v>ta</v>
      </c>
      <c r="B284" s="14" t="str">
        <f t="shared" si="32"/>
        <v>/* SEPTIEMBRE        */</v>
      </c>
      <c r="C284" s="15">
        <f t="shared" si="27"/>
        <v>45924</v>
      </c>
      <c r="D284" s="9">
        <f t="shared" si="28"/>
        <v>45924</v>
      </c>
      <c r="E284" t="s">
        <v>46</v>
      </c>
      <c r="F284" t="s">
        <v>43</v>
      </c>
      <c r="G284">
        <v>1</v>
      </c>
      <c r="I284" s="11">
        <f t="shared" si="29"/>
        <v>45924</v>
      </c>
      <c r="J284" t="s">
        <v>44</v>
      </c>
      <c r="K284" t="str">
        <f t="shared" si="30"/>
        <v>/* SEPTIEMBRE        */ { nombre: "Adviento, Semana I, MIÉRCOLES", archivo: "/ev/ta/1/miércoles.mp3", fecha: `${year}-09-24` },</v>
      </c>
      <c r="L284" s="10">
        <f t="shared" si="31"/>
        <v>45924</v>
      </c>
    </row>
    <row r="285" spans="1:12" hidden="1" x14ac:dyDescent="0.25">
      <c r="A285" t="str" cm="1">
        <f t="array" ref="A285">_xlfn.IFS(E285="Adviento","ta", E285="Navidad","tn", E285="Epifania","te", E285="Ordinario","to", E285="Cuaresma","tc", E285="Domingo De Ramos","tc", E285="Semana Santa","ss", E285="Triduo Pascual","tp", E285="Vigilia Pascual","tp", E285="Pascual","tp")</f>
        <v>ta</v>
      </c>
      <c r="B285" s="14" t="str">
        <f t="shared" si="32"/>
        <v>/* SEPTIEMBRE        */</v>
      </c>
      <c r="C285" s="15">
        <f t="shared" si="27"/>
        <v>45925</v>
      </c>
      <c r="D285" s="9">
        <f t="shared" si="28"/>
        <v>45925</v>
      </c>
      <c r="E285" t="s">
        <v>46</v>
      </c>
      <c r="F285" t="s">
        <v>43</v>
      </c>
      <c r="G285">
        <v>1</v>
      </c>
      <c r="I285" s="11">
        <f t="shared" si="29"/>
        <v>45925</v>
      </c>
      <c r="J285" t="s">
        <v>44</v>
      </c>
      <c r="K285" t="str">
        <f t="shared" si="30"/>
        <v>/* SEPTIEMBRE        */ { nombre: "Adviento, Semana I, JUEVES", archivo: "/ev/ta/1/jueves.mp3", fecha: `${year}-09-25` },</v>
      </c>
      <c r="L285" s="10">
        <f t="shared" si="31"/>
        <v>45925</v>
      </c>
    </row>
    <row r="286" spans="1:12" hidden="1" x14ac:dyDescent="0.25">
      <c r="A286" t="str" cm="1">
        <f t="array" ref="A286">_xlfn.IFS(E286="Adviento","ta", E286="Navidad","tn", E286="Epifania","te", E286="Ordinario","to", E286="Cuaresma","tc", E286="Domingo De Ramos","tc", E286="Semana Santa","ss", E286="Triduo Pascual","tp", E286="Vigilia Pascual","tp", E286="Pascual","tp")</f>
        <v>ta</v>
      </c>
      <c r="B286" s="14" t="str">
        <f t="shared" si="32"/>
        <v>/* SEPTIEMBRE        */</v>
      </c>
      <c r="C286" s="15">
        <f t="shared" si="27"/>
        <v>45926</v>
      </c>
      <c r="D286" s="9">
        <f t="shared" si="28"/>
        <v>45926</v>
      </c>
      <c r="E286" t="s">
        <v>46</v>
      </c>
      <c r="F286" t="s">
        <v>43</v>
      </c>
      <c r="G286">
        <v>1</v>
      </c>
      <c r="I286" s="11">
        <f t="shared" si="29"/>
        <v>45926</v>
      </c>
      <c r="J286" t="s">
        <v>44</v>
      </c>
      <c r="K286" t="str">
        <f t="shared" si="30"/>
        <v>/* SEPTIEMBRE        */ { nombre: "Adviento, Semana I, VIERNES", archivo: "/ev/ta/1/viernes.mp3", fecha: `${year}-09-26` },</v>
      </c>
      <c r="L286" s="10">
        <f t="shared" si="31"/>
        <v>45926</v>
      </c>
    </row>
    <row r="287" spans="1:12" hidden="1" x14ac:dyDescent="0.25">
      <c r="A287" t="str" cm="1">
        <f t="array" ref="A287">_xlfn.IFS(E287="Adviento","ta", E287="Navidad","tn", E287="Epifania","te", E287="Ordinario","to", E287="Cuaresma","tc", E287="Domingo De Ramos","tc", E287="Semana Santa","ss", E287="Triduo Pascual","tp", E287="Vigilia Pascual","tp", E287="Pascual","tp")</f>
        <v>ta</v>
      </c>
      <c r="B287" s="14" t="str">
        <f t="shared" si="32"/>
        <v>/* SEPTIEMBRE        */</v>
      </c>
      <c r="C287" s="15">
        <f t="shared" si="27"/>
        <v>45927</v>
      </c>
      <c r="D287" s="9">
        <f t="shared" si="28"/>
        <v>45927</v>
      </c>
      <c r="E287" t="s">
        <v>46</v>
      </c>
      <c r="F287" t="s">
        <v>43</v>
      </c>
      <c r="G287">
        <v>1</v>
      </c>
      <c r="I287" s="11">
        <f t="shared" si="29"/>
        <v>45927</v>
      </c>
      <c r="J287" t="s">
        <v>44</v>
      </c>
      <c r="K287" t="str">
        <f t="shared" si="30"/>
        <v>/* SEPTIEMBRE        */ { nombre: "Adviento, Semana I, SÁBADO", archivo: "/ev/ta/1/sábado.mp3", fecha: `${year}-09-27` },</v>
      </c>
      <c r="L287" s="10">
        <f t="shared" si="31"/>
        <v>45927</v>
      </c>
    </row>
    <row r="288" spans="1:12" hidden="1" x14ac:dyDescent="0.25">
      <c r="A288" t="str" cm="1">
        <f t="array" ref="A288">_xlfn.IFS(E288="Adviento","ta", E288="Navidad","tn", E288="Epifania","te", E288="Ordinario","to", E288="Cuaresma","tc", E288="Domingo De Ramos","tc", E288="Semana Santa","ss", E288="Triduo Pascual","tp", E288="Vigilia Pascual","tp", E288="Pascual","tp")</f>
        <v>ta</v>
      </c>
      <c r="B288" s="14" t="str">
        <f t="shared" si="32"/>
        <v>/* SEPTIEMBRE        */</v>
      </c>
      <c r="C288" s="15">
        <f t="shared" si="27"/>
        <v>45928</v>
      </c>
      <c r="D288" s="9">
        <f t="shared" si="28"/>
        <v>45928</v>
      </c>
      <c r="E288" t="s">
        <v>46</v>
      </c>
      <c r="F288" t="s">
        <v>43</v>
      </c>
      <c r="G288">
        <v>1</v>
      </c>
      <c r="I288" s="11">
        <f t="shared" si="29"/>
        <v>45928</v>
      </c>
      <c r="J288" t="s">
        <v>44</v>
      </c>
      <c r="K288" t="str">
        <f t="shared" si="30"/>
        <v>/* SEPTIEMBRE        */ { nombre: "Adviento, Semana I, DOMINGO", archivo: "/ev/ta/1/domingo.mp3", fecha: `${year}-09-28` },</v>
      </c>
      <c r="L288" s="10">
        <f t="shared" si="31"/>
        <v>45928</v>
      </c>
    </row>
    <row r="289" spans="1:12" hidden="1" x14ac:dyDescent="0.25">
      <c r="A289" t="str" cm="1">
        <f t="array" ref="A289">_xlfn.IFS(E289="Adviento","ta", E289="Navidad","tn", E289="Epifania","te", E289="Ordinario","to", E289="Cuaresma","tc", E289="Domingo De Ramos","tc", E289="Semana Santa","ss", E289="Triduo Pascual","tp", E289="Vigilia Pascual","tp", E289="Pascual","tp")</f>
        <v>ta</v>
      </c>
      <c r="B289" s="14" t="str">
        <f t="shared" si="32"/>
        <v>/* SEPTIEMBRE        */</v>
      </c>
      <c r="C289" s="15">
        <f t="shared" si="27"/>
        <v>45929</v>
      </c>
      <c r="D289" s="9">
        <f t="shared" si="28"/>
        <v>45929</v>
      </c>
      <c r="E289" t="s">
        <v>46</v>
      </c>
      <c r="F289" t="s">
        <v>43</v>
      </c>
      <c r="G289">
        <v>1</v>
      </c>
      <c r="I289" s="11">
        <f t="shared" si="29"/>
        <v>45929</v>
      </c>
      <c r="J289" t="s">
        <v>44</v>
      </c>
      <c r="K289" t="str">
        <f t="shared" si="30"/>
        <v>/* SEPTIEMBRE        */ { nombre: "Adviento, Semana I, LUNES", archivo: "/ev/ta/1/lunes.mp3", fecha: `${year}-09-29` },</v>
      </c>
      <c r="L289" s="10">
        <f t="shared" si="31"/>
        <v>45929</v>
      </c>
    </row>
    <row r="290" spans="1:12" hidden="1" x14ac:dyDescent="0.25">
      <c r="A290" t="str" cm="1">
        <f t="array" ref="A290">_xlfn.IFS(E290="Adviento","ta", E290="Navidad","tn", E290="Epifania","te", E290="Ordinario","to", E290="Cuaresma","tc", E290="Domingo De Ramos","tc", E290="Semana Santa","ss", E290="Triduo Pascual","tp", E290="Vigilia Pascual","tp", E290="Pascual","tp")</f>
        <v>ta</v>
      </c>
      <c r="B290" s="14" t="str">
        <f t="shared" si="32"/>
        <v>/* SEPTIEMBRE        */</v>
      </c>
      <c r="C290" s="15">
        <f t="shared" si="27"/>
        <v>45930</v>
      </c>
      <c r="D290" s="9">
        <f t="shared" si="28"/>
        <v>45930</v>
      </c>
      <c r="E290" t="s">
        <v>46</v>
      </c>
      <c r="F290" t="s">
        <v>43</v>
      </c>
      <c r="G290">
        <v>1</v>
      </c>
      <c r="I290" s="11">
        <f t="shared" si="29"/>
        <v>45930</v>
      </c>
      <c r="J290" t="s">
        <v>44</v>
      </c>
      <c r="K290" t="str">
        <f t="shared" si="30"/>
        <v>/* SEPTIEMBRE        */ { nombre: "Adviento, Semana I, MARTES", archivo: "/ev/ta/1/martes.mp3", fecha: `${year}-09-30` },</v>
      </c>
      <c r="L290" s="10">
        <f t="shared" si="31"/>
        <v>45930</v>
      </c>
    </row>
    <row r="291" spans="1:12" hidden="1" x14ac:dyDescent="0.25">
      <c r="A291" t="str" cm="1">
        <f t="array" ref="A291">_xlfn.IFS(E291="Adviento","ta", E291="Navidad","tn", E291="Epifania","te", E291="Ordinario","to", E291="Cuaresma","tc", E291="Domingo De Ramos","tc", E291="Semana Santa","ss", E291="Triduo Pascual","tp", E291="Vigilia Pascual","tp", E291="Pascual","tp")</f>
        <v>ta</v>
      </c>
      <c r="B291" s="14" t="str">
        <f t="shared" si="32"/>
        <v>/* OCTUBRE        */</v>
      </c>
      <c r="C291" s="15">
        <f t="shared" si="27"/>
        <v>45931</v>
      </c>
      <c r="D291" s="9">
        <f t="shared" si="28"/>
        <v>45931</v>
      </c>
      <c r="E291" t="s">
        <v>46</v>
      </c>
      <c r="F291" t="s">
        <v>43</v>
      </c>
      <c r="G291">
        <v>1</v>
      </c>
      <c r="I291" s="11">
        <f t="shared" si="29"/>
        <v>45931</v>
      </c>
      <c r="J291" t="s">
        <v>44</v>
      </c>
      <c r="K291" t="str">
        <f t="shared" si="30"/>
        <v>/* OCTUBRE        */ { nombre: "Adviento, Semana I, MIÉRCOLES", archivo: "/ev/ta/1/miércoles.mp3", fecha: `${year}-10-01` },</v>
      </c>
      <c r="L291" s="10">
        <f t="shared" si="31"/>
        <v>45931</v>
      </c>
    </row>
    <row r="292" spans="1:12" hidden="1" x14ac:dyDescent="0.25">
      <c r="A292" t="str" cm="1">
        <f t="array" ref="A292">_xlfn.IFS(E292="Adviento","ta", E292="Navidad","tn", E292="Epifania","te", E292="Ordinario","to", E292="Cuaresma","tc", E292="Domingo De Ramos","tc", E292="Semana Santa","ss", E292="Triduo Pascual","tp", E292="Vigilia Pascual","tp", E292="Pascual","tp")</f>
        <v>ta</v>
      </c>
      <c r="B292" s="14" t="str">
        <f t="shared" si="32"/>
        <v>/* OCTUBRE        */</v>
      </c>
      <c r="C292" s="15">
        <f t="shared" si="27"/>
        <v>45932</v>
      </c>
      <c r="D292" s="9">
        <f t="shared" si="28"/>
        <v>45932</v>
      </c>
      <c r="E292" t="s">
        <v>46</v>
      </c>
      <c r="F292" t="s">
        <v>43</v>
      </c>
      <c r="G292">
        <v>1</v>
      </c>
      <c r="I292" s="11">
        <f t="shared" si="29"/>
        <v>45932</v>
      </c>
      <c r="J292" t="s">
        <v>44</v>
      </c>
      <c r="K292" t="str">
        <f t="shared" si="30"/>
        <v>/* OCTUBRE        */ { nombre: "Adviento, Semana I, JUEVES", archivo: "/ev/ta/1/jueves.mp3", fecha: `${year}-10-02` },</v>
      </c>
      <c r="L292" s="10">
        <f t="shared" si="31"/>
        <v>45932</v>
      </c>
    </row>
    <row r="293" spans="1:12" hidden="1" x14ac:dyDescent="0.25">
      <c r="A293" t="str" cm="1">
        <f t="array" ref="A293">_xlfn.IFS(E293="Adviento","ta", E293="Navidad","tn", E293="Epifania","te", E293="Ordinario","to", E293="Cuaresma","tc", E293="Domingo De Ramos","tc", E293="Semana Santa","ss", E293="Triduo Pascual","tp", E293="Vigilia Pascual","tp", E293="Pascual","tp")</f>
        <v>ta</v>
      </c>
      <c r="B293" s="14" t="str">
        <f t="shared" si="32"/>
        <v>/* OCTUBRE        */</v>
      </c>
      <c r="C293" s="15">
        <f t="shared" si="27"/>
        <v>45933</v>
      </c>
      <c r="D293" s="9">
        <f t="shared" si="28"/>
        <v>45933</v>
      </c>
      <c r="E293" t="s">
        <v>46</v>
      </c>
      <c r="F293" t="s">
        <v>43</v>
      </c>
      <c r="G293">
        <v>1</v>
      </c>
      <c r="I293" s="11">
        <f t="shared" si="29"/>
        <v>45933</v>
      </c>
      <c r="J293" t="s">
        <v>44</v>
      </c>
      <c r="K293" t="str">
        <f t="shared" si="30"/>
        <v>/* OCTUBRE        */ { nombre: "Adviento, Semana I, VIERNES", archivo: "/ev/ta/1/viernes.mp3", fecha: `${year}-10-03` },</v>
      </c>
      <c r="L293" s="10">
        <f t="shared" si="31"/>
        <v>45933</v>
      </c>
    </row>
    <row r="294" spans="1:12" hidden="1" x14ac:dyDescent="0.25">
      <c r="A294" t="str" cm="1">
        <f t="array" ref="A294">_xlfn.IFS(E294="Adviento","ta", E294="Navidad","tn", E294="Epifania","te", E294="Ordinario","to", E294="Cuaresma","tc", E294="Domingo De Ramos","tc", E294="Semana Santa","ss", E294="Triduo Pascual","tp", E294="Vigilia Pascual","tp", E294="Pascual","tp")</f>
        <v>ta</v>
      </c>
      <c r="B294" s="14" t="str">
        <f t="shared" si="32"/>
        <v>/* OCTUBRE        */</v>
      </c>
      <c r="C294" s="15">
        <f t="shared" si="27"/>
        <v>45934</v>
      </c>
      <c r="D294" s="9">
        <f t="shared" si="28"/>
        <v>45934</v>
      </c>
      <c r="E294" t="s">
        <v>46</v>
      </c>
      <c r="F294" t="s">
        <v>43</v>
      </c>
      <c r="G294">
        <v>1</v>
      </c>
      <c r="I294" s="11">
        <f t="shared" si="29"/>
        <v>45934</v>
      </c>
      <c r="J294" t="s">
        <v>44</v>
      </c>
      <c r="K294" t="str">
        <f t="shared" si="30"/>
        <v>/* OCTUBRE        */ { nombre: "Adviento, Semana I, SÁBADO", archivo: "/ev/ta/1/sábado.mp3", fecha: `${year}-10-04` },</v>
      </c>
      <c r="L294" s="10">
        <f t="shared" si="31"/>
        <v>45934</v>
      </c>
    </row>
    <row r="295" spans="1:12" hidden="1" x14ac:dyDescent="0.25">
      <c r="A295" t="str" cm="1">
        <f t="array" ref="A295">_xlfn.IFS(E295="Adviento","ta", E295="Navidad","tn", E295="Epifania","te", E295="Ordinario","to", E295="Cuaresma","tc", E295="Domingo De Ramos","tc", E295="Semana Santa","ss", E295="Triduo Pascual","tp", E295="Vigilia Pascual","tp", E295="Pascual","tp")</f>
        <v>ta</v>
      </c>
      <c r="B295" s="14" t="str">
        <f t="shared" si="32"/>
        <v>/* OCTUBRE        */</v>
      </c>
      <c r="C295" s="15">
        <f t="shared" si="27"/>
        <v>45935</v>
      </c>
      <c r="D295" s="9">
        <f t="shared" si="28"/>
        <v>45935</v>
      </c>
      <c r="E295" t="s">
        <v>46</v>
      </c>
      <c r="F295" t="s">
        <v>43</v>
      </c>
      <c r="G295">
        <v>1</v>
      </c>
      <c r="I295" s="11">
        <f t="shared" si="29"/>
        <v>45935</v>
      </c>
      <c r="J295" t="s">
        <v>44</v>
      </c>
      <c r="K295" t="str">
        <f t="shared" si="30"/>
        <v>/* OCTUBRE        */ { nombre: "Adviento, Semana I, DOMINGO", archivo: "/ev/ta/1/domingo.mp3", fecha: `${year}-10-05` },</v>
      </c>
      <c r="L295" s="10">
        <f t="shared" si="31"/>
        <v>45935</v>
      </c>
    </row>
    <row r="296" spans="1:12" hidden="1" x14ac:dyDescent="0.25">
      <c r="A296" t="str" cm="1">
        <f t="array" ref="A296">_xlfn.IFS(E296="Adviento","ta", E296="Navidad","tn", E296="Epifania","te", E296="Ordinario","to", E296="Cuaresma","tc", E296="Domingo De Ramos","tc", E296="Semana Santa","ss", E296="Triduo Pascual","tp", E296="Vigilia Pascual","tp", E296="Pascual","tp")</f>
        <v>ta</v>
      </c>
      <c r="B296" s="14" t="str">
        <f t="shared" si="32"/>
        <v>/* OCTUBRE        */</v>
      </c>
      <c r="C296" s="15">
        <f t="shared" si="27"/>
        <v>45936</v>
      </c>
      <c r="D296" s="9">
        <f t="shared" si="28"/>
        <v>45936</v>
      </c>
      <c r="E296" t="s">
        <v>46</v>
      </c>
      <c r="F296" t="s">
        <v>43</v>
      </c>
      <c r="G296">
        <v>1</v>
      </c>
      <c r="I296" s="11">
        <f t="shared" si="29"/>
        <v>45936</v>
      </c>
      <c r="J296" t="s">
        <v>44</v>
      </c>
      <c r="K296" t="str">
        <f t="shared" si="30"/>
        <v>/* OCTUBRE        */ { nombre: "Adviento, Semana I, LUNES", archivo: "/ev/ta/1/lunes.mp3", fecha: `${year}-10-06` },</v>
      </c>
      <c r="L296" s="10">
        <f t="shared" si="31"/>
        <v>45936</v>
      </c>
    </row>
    <row r="297" spans="1:12" hidden="1" x14ac:dyDescent="0.25">
      <c r="A297" t="str" cm="1">
        <f t="array" ref="A297">_xlfn.IFS(E297="Adviento","ta", E297="Navidad","tn", E297="Epifania","te", E297="Ordinario","to", E297="Cuaresma","tc", E297="Domingo De Ramos","tc", E297="Semana Santa","ss", E297="Triduo Pascual","tp", E297="Vigilia Pascual","tp", E297="Pascual","tp")</f>
        <v>ta</v>
      </c>
      <c r="B297" s="14" t="str">
        <f t="shared" si="32"/>
        <v>/* OCTUBRE        */</v>
      </c>
      <c r="C297" s="15">
        <f t="shared" si="27"/>
        <v>45937</v>
      </c>
      <c r="D297" s="9">
        <f t="shared" si="28"/>
        <v>45937</v>
      </c>
      <c r="E297" t="s">
        <v>46</v>
      </c>
      <c r="F297" t="s">
        <v>43</v>
      </c>
      <c r="G297">
        <v>1</v>
      </c>
      <c r="I297" s="11">
        <f t="shared" si="29"/>
        <v>45937</v>
      </c>
      <c r="J297" t="s">
        <v>44</v>
      </c>
      <c r="K297" t="str">
        <f t="shared" si="30"/>
        <v>/* OCTUBRE        */ { nombre: "Adviento, Semana I, MARTES", archivo: "/ev/ta/1/martes.mp3", fecha: `${year}-10-07` },</v>
      </c>
      <c r="L297" s="10">
        <f t="shared" si="31"/>
        <v>45937</v>
      </c>
    </row>
    <row r="298" spans="1:12" hidden="1" x14ac:dyDescent="0.25">
      <c r="A298" t="str" cm="1">
        <f t="array" ref="A298">_xlfn.IFS(E298="Adviento","ta", E298="Navidad","tn", E298="Epifania","te", E298="Ordinario","to", E298="Cuaresma","tc", E298="Domingo De Ramos","tc", E298="Semana Santa","ss", E298="Triduo Pascual","tp", E298="Vigilia Pascual","tp", E298="Pascual","tp")</f>
        <v>ta</v>
      </c>
      <c r="B298" s="14" t="str">
        <f t="shared" si="32"/>
        <v>/* OCTUBRE        */</v>
      </c>
      <c r="C298" s="15">
        <f t="shared" si="27"/>
        <v>45938</v>
      </c>
      <c r="D298" s="9">
        <f t="shared" si="28"/>
        <v>45938</v>
      </c>
      <c r="E298" t="s">
        <v>46</v>
      </c>
      <c r="F298" t="s">
        <v>43</v>
      </c>
      <c r="G298">
        <v>1</v>
      </c>
      <c r="I298" s="11">
        <f t="shared" si="29"/>
        <v>45938</v>
      </c>
      <c r="J298" t="s">
        <v>44</v>
      </c>
      <c r="K298" t="str">
        <f t="shared" si="30"/>
        <v>/* OCTUBRE        */ { nombre: "Adviento, Semana I, MIÉRCOLES", archivo: "/ev/ta/1/miércoles.mp3", fecha: `${year}-10-08` },</v>
      </c>
      <c r="L298" s="10">
        <f t="shared" si="31"/>
        <v>45938</v>
      </c>
    </row>
    <row r="299" spans="1:12" hidden="1" x14ac:dyDescent="0.25">
      <c r="A299" t="str" cm="1">
        <f t="array" ref="A299">_xlfn.IFS(E299="Adviento","ta", E299="Navidad","tn", E299="Epifania","te", E299="Ordinario","to", E299="Cuaresma","tc", E299="Domingo De Ramos","tc", E299="Semana Santa","ss", E299="Triduo Pascual","tp", E299="Vigilia Pascual","tp", E299="Pascual","tp")</f>
        <v>ta</v>
      </c>
      <c r="B299" s="14" t="str">
        <f t="shared" si="32"/>
        <v>/* OCTUBRE        */</v>
      </c>
      <c r="C299" s="15">
        <f t="shared" si="27"/>
        <v>45939</v>
      </c>
      <c r="D299" s="9">
        <f t="shared" si="28"/>
        <v>45939</v>
      </c>
      <c r="E299" t="s">
        <v>46</v>
      </c>
      <c r="F299" t="s">
        <v>43</v>
      </c>
      <c r="G299">
        <v>1</v>
      </c>
      <c r="I299" s="11">
        <f t="shared" si="29"/>
        <v>45939</v>
      </c>
      <c r="J299" t="s">
        <v>44</v>
      </c>
      <c r="K299" t="str">
        <f t="shared" si="30"/>
        <v>/* OCTUBRE        */ { nombre: "Adviento, Semana I, JUEVES", archivo: "/ev/ta/1/jueves.mp3", fecha: `${year}-10-09` },</v>
      </c>
      <c r="L299" s="10">
        <f t="shared" si="31"/>
        <v>45939</v>
      </c>
    </row>
    <row r="300" spans="1:12" hidden="1" x14ac:dyDescent="0.25">
      <c r="A300" t="str" cm="1">
        <f t="array" ref="A300">_xlfn.IFS(E300="Adviento","ta", E300="Navidad","tn", E300="Epifania","te", E300="Ordinario","to", E300="Cuaresma","tc", E300="Domingo De Ramos","tc", E300="Semana Santa","ss", E300="Triduo Pascual","tp", E300="Vigilia Pascual","tp", E300="Pascual","tp")</f>
        <v>ta</v>
      </c>
      <c r="B300" s="14" t="str">
        <f t="shared" si="32"/>
        <v>/* OCTUBRE        */</v>
      </c>
      <c r="C300" s="15">
        <f t="shared" si="27"/>
        <v>45940</v>
      </c>
      <c r="D300" s="9">
        <f t="shared" si="28"/>
        <v>45940</v>
      </c>
      <c r="E300" t="s">
        <v>46</v>
      </c>
      <c r="F300" t="s">
        <v>43</v>
      </c>
      <c r="G300">
        <v>1</v>
      </c>
      <c r="I300" s="11">
        <f t="shared" si="29"/>
        <v>45940</v>
      </c>
      <c r="J300" t="s">
        <v>44</v>
      </c>
      <c r="K300" t="str">
        <f t="shared" si="30"/>
        <v>/* OCTUBRE        */ { nombre: "Adviento, Semana I, VIERNES", archivo: "/ev/ta/1/viernes.mp3", fecha: `${year}-10-10` },</v>
      </c>
      <c r="L300" s="10">
        <f t="shared" si="31"/>
        <v>45940</v>
      </c>
    </row>
    <row r="301" spans="1:12" hidden="1" x14ac:dyDescent="0.25">
      <c r="A301" t="str" cm="1">
        <f t="array" ref="A301">_xlfn.IFS(E301="Adviento","ta", E301="Navidad","tn", E301="Epifania","te", E301="Ordinario","to", E301="Cuaresma","tc", E301="Domingo De Ramos","tc", E301="Semana Santa","ss", E301="Triduo Pascual","tp", E301="Vigilia Pascual","tp", E301="Pascual","tp")</f>
        <v>ta</v>
      </c>
      <c r="B301" s="14" t="str">
        <f t="shared" si="32"/>
        <v>/* OCTUBRE        */</v>
      </c>
      <c r="C301" s="15">
        <f t="shared" si="27"/>
        <v>45941</v>
      </c>
      <c r="D301" s="9">
        <f t="shared" si="28"/>
        <v>45941</v>
      </c>
      <c r="E301" t="s">
        <v>46</v>
      </c>
      <c r="F301" t="s">
        <v>43</v>
      </c>
      <c r="G301">
        <v>1</v>
      </c>
      <c r="I301" s="11">
        <f t="shared" si="29"/>
        <v>45941</v>
      </c>
      <c r="J301" t="s">
        <v>44</v>
      </c>
      <c r="K301" t="str">
        <f t="shared" si="30"/>
        <v>/* OCTUBRE        */ { nombre: "Adviento, Semana I, SÁBADO", archivo: "/ev/ta/1/sábado.mp3", fecha: `${year}-10-11` },</v>
      </c>
      <c r="L301" s="10">
        <f t="shared" si="31"/>
        <v>45941</v>
      </c>
    </row>
    <row r="302" spans="1:12" hidden="1" x14ac:dyDescent="0.25">
      <c r="A302" t="str" cm="1">
        <f t="array" ref="A302">_xlfn.IFS(E302="Adviento","ta", E302="Navidad","tn", E302="Epifania","te", E302="Ordinario","to", E302="Cuaresma","tc", E302="Domingo De Ramos","tc", E302="Semana Santa","ss", E302="Triduo Pascual","tp", E302="Vigilia Pascual","tp", E302="Pascual","tp")</f>
        <v>ta</v>
      </c>
      <c r="B302" s="14" t="str">
        <f t="shared" si="32"/>
        <v>/* OCTUBRE        */</v>
      </c>
      <c r="C302" s="15">
        <f t="shared" si="27"/>
        <v>45942</v>
      </c>
      <c r="D302" s="9">
        <f t="shared" si="28"/>
        <v>45942</v>
      </c>
      <c r="E302" t="s">
        <v>46</v>
      </c>
      <c r="F302" t="s">
        <v>43</v>
      </c>
      <c r="G302">
        <v>1</v>
      </c>
      <c r="I302" s="11">
        <f t="shared" si="29"/>
        <v>45942</v>
      </c>
      <c r="J302" t="s">
        <v>44</v>
      </c>
      <c r="K302" t="str">
        <f t="shared" si="30"/>
        <v>/* OCTUBRE        */ { nombre: "Adviento, Semana I, DOMINGO", archivo: "/ev/ta/1/domingo.mp3", fecha: `${year}-10-12` },</v>
      </c>
      <c r="L302" s="10">
        <f t="shared" si="31"/>
        <v>45942</v>
      </c>
    </row>
    <row r="303" spans="1:12" hidden="1" x14ac:dyDescent="0.25">
      <c r="A303" t="str" cm="1">
        <f t="array" ref="A303">_xlfn.IFS(E303="Adviento","ta", E303="Navidad","tn", E303="Epifania","te", E303="Ordinario","to", E303="Cuaresma","tc", E303="Domingo De Ramos","tc", E303="Semana Santa","ss", E303="Triduo Pascual","tp", E303="Vigilia Pascual","tp", E303="Pascual","tp")</f>
        <v>ta</v>
      </c>
      <c r="B303" s="14" t="str">
        <f t="shared" si="32"/>
        <v>/* OCTUBRE        */</v>
      </c>
      <c r="C303" s="15">
        <f t="shared" si="27"/>
        <v>45943</v>
      </c>
      <c r="D303" s="9">
        <f t="shared" si="28"/>
        <v>45943</v>
      </c>
      <c r="E303" t="s">
        <v>46</v>
      </c>
      <c r="F303" t="s">
        <v>43</v>
      </c>
      <c r="G303">
        <v>1</v>
      </c>
      <c r="I303" s="11">
        <f t="shared" si="29"/>
        <v>45943</v>
      </c>
      <c r="J303" t="s">
        <v>44</v>
      </c>
      <c r="K303" t="str">
        <f t="shared" si="30"/>
        <v>/* OCTUBRE        */ { nombre: "Adviento, Semana I, LUNES", archivo: "/ev/ta/1/lunes.mp3", fecha: `${year}-10-13` },</v>
      </c>
      <c r="L303" s="10">
        <f t="shared" si="31"/>
        <v>45943</v>
      </c>
    </row>
    <row r="304" spans="1:12" hidden="1" x14ac:dyDescent="0.25">
      <c r="A304" t="str" cm="1">
        <f t="array" ref="A304">_xlfn.IFS(E304="Adviento","ta", E304="Navidad","tn", E304="Epifania","te", E304="Ordinario","to", E304="Cuaresma","tc", E304="Domingo De Ramos","tc", E304="Semana Santa","ss", E304="Triduo Pascual","tp", E304="Vigilia Pascual","tp", E304="Pascual","tp")</f>
        <v>ta</v>
      </c>
      <c r="B304" s="14" t="str">
        <f t="shared" si="32"/>
        <v>/* OCTUBRE        */</v>
      </c>
      <c r="C304" s="15">
        <f t="shared" si="27"/>
        <v>45944</v>
      </c>
      <c r="D304" s="9">
        <f t="shared" si="28"/>
        <v>45944</v>
      </c>
      <c r="E304" t="s">
        <v>46</v>
      </c>
      <c r="F304" t="s">
        <v>43</v>
      </c>
      <c r="G304">
        <v>1</v>
      </c>
      <c r="I304" s="11">
        <f t="shared" si="29"/>
        <v>45944</v>
      </c>
      <c r="J304" t="s">
        <v>44</v>
      </c>
      <c r="K304" t="str">
        <f t="shared" si="30"/>
        <v>/* OCTUBRE        */ { nombre: "Adviento, Semana I, MARTES", archivo: "/ev/ta/1/martes.mp3", fecha: `${year}-10-14` },</v>
      </c>
      <c r="L304" s="10">
        <f t="shared" si="31"/>
        <v>45944</v>
      </c>
    </row>
    <row r="305" spans="1:12" hidden="1" x14ac:dyDescent="0.25">
      <c r="A305" t="str" cm="1">
        <f t="array" ref="A305">_xlfn.IFS(E305="Adviento","ta", E305="Navidad","tn", E305="Epifania","te", E305="Ordinario","to", E305="Cuaresma","tc", E305="Domingo De Ramos","tc", E305="Semana Santa","ss", E305="Triduo Pascual","tp", E305="Vigilia Pascual","tp", E305="Pascual","tp")</f>
        <v>ta</v>
      </c>
      <c r="B305" s="14" t="str">
        <f t="shared" si="32"/>
        <v>/* OCTUBRE        */</v>
      </c>
      <c r="C305" s="15">
        <f t="shared" si="27"/>
        <v>45945</v>
      </c>
      <c r="D305" s="9">
        <f t="shared" si="28"/>
        <v>45945</v>
      </c>
      <c r="E305" t="s">
        <v>46</v>
      </c>
      <c r="F305" t="s">
        <v>43</v>
      </c>
      <c r="G305">
        <v>1</v>
      </c>
      <c r="I305" s="11">
        <f t="shared" si="29"/>
        <v>45945</v>
      </c>
      <c r="J305" t="s">
        <v>44</v>
      </c>
      <c r="K305" t="str">
        <f t="shared" si="30"/>
        <v>/* OCTUBRE        */ { nombre: "Adviento, Semana I, MIÉRCOLES", archivo: "/ev/ta/1/miércoles.mp3", fecha: `${year}-10-15` },</v>
      </c>
      <c r="L305" s="10">
        <f t="shared" si="31"/>
        <v>45945</v>
      </c>
    </row>
    <row r="306" spans="1:12" hidden="1" x14ac:dyDescent="0.25">
      <c r="A306" t="str" cm="1">
        <f t="array" ref="A306">_xlfn.IFS(E306="Adviento","ta", E306="Navidad","tn", E306="Epifania","te", E306="Ordinario","to", E306="Cuaresma","tc", E306="Domingo De Ramos","tc", E306="Semana Santa","ss", E306="Triduo Pascual","tp", E306="Vigilia Pascual","tp", E306="Pascual","tp")</f>
        <v>ta</v>
      </c>
      <c r="B306" s="14" t="str">
        <f t="shared" si="32"/>
        <v>/* OCTUBRE        */</v>
      </c>
      <c r="C306" s="15">
        <f t="shared" si="27"/>
        <v>45946</v>
      </c>
      <c r="D306" s="9">
        <f t="shared" si="28"/>
        <v>45946</v>
      </c>
      <c r="E306" t="s">
        <v>46</v>
      </c>
      <c r="F306" t="s">
        <v>43</v>
      </c>
      <c r="G306">
        <v>1</v>
      </c>
      <c r="I306" s="11">
        <f t="shared" si="29"/>
        <v>45946</v>
      </c>
      <c r="J306" t="s">
        <v>44</v>
      </c>
      <c r="K306" t="str">
        <f t="shared" si="30"/>
        <v>/* OCTUBRE        */ { nombre: "Adviento, Semana I, JUEVES", archivo: "/ev/ta/1/jueves.mp3", fecha: `${year}-10-16` },</v>
      </c>
      <c r="L306" s="10">
        <f t="shared" si="31"/>
        <v>45946</v>
      </c>
    </row>
    <row r="307" spans="1:12" hidden="1" x14ac:dyDescent="0.25">
      <c r="A307" t="str" cm="1">
        <f t="array" ref="A307">_xlfn.IFS(E307="Adviento","ta", E307="Navidad","tn", E307="Epifania","te", E307="Ordinario","to", E307="Cuaresma","tc", E307="Domingo De Ramos","tc", E307="Semana Santa","ss", E307="Triduo Pascual","tp", E307="Vigilia Pascual","tp", E307="Pascual","tp")</f>
        <v>ta</v>
      </c>
      <c r="B307" s="14" t="str">
        <f t="shared" si="32"/>
        <v>/* OCTUBRE        */</v>
      </c>
      <c r="C307" s="15">
        <f t="shared" si="27"/>
        <v>45947</v>
      </c>
      <c r="D307" s="9">
        <f t="shared" si="28"/>
        <v>45947</v>
      </c>
      <c r="E307" t="s">
        <v>46</v>
      </c>
      <c r="F307" t="s">
        <v>43</v>
      </c>
      <c r="G307">
        <v>1</v>
      </c>
      <c r="I307" s="11">
        <f t="shared" si="29"/>
        <v>45947</v>
      </c>
      <c r="J307" t="s">
        <v>44</v>
      </c>
      <c r="K307" t="str">
        <f t="shared" si="30"/>
        <v>/* OCTUBRE        */ { nombre: "Adviento, Semana I, VIERNES", archivo: "/ev/ta/1/viernes.mp3", fecha: `${year}-10-17` },</v>
      </c>
      <c r="L307" s="10">
        <f t="shared" si="31"/>
        <v>45947</v>
      </c>
    </row>
    <row r="308" spans="1:12" hidden="1" x14ac:dyDescent="0.25">
      <c r="A308" t="str" cm="1">
        <f t="array" ref="A308">_xlfn.IFS(E308="Adviento","ta", E308="Navidad","tn", E308="Epifania","te", E308="Ordinario","to", E308="Cuaresma","tc", E308="Domingo De Ramos","tc", E308="Semana Santa","ss", E308="Triduo Pascual","tp", E308="Vigilia Pascual","tp", E308="Pascual","tp")</f>
        <v>ta</v>
      </c>
      <c r="B308" s="14" t="str">
        <f t="shared" si="32"/>
        <v>/* OCTUBRE        */</v>
      </c>
      <c r="C308" s="15">
        <f t="shared" si="27"/>
        <v>45948</v>
      </c>
      <c r="D308" s="9">
        <f t="shared" si="28"/>
        <v>45948</v>
      </c>
      <c r="E308" t="s">
        <v>46</v>
      </c>
      <c r="F308" t="s">
        <v>43</v>
      </c>
      <c r="G308">
        <v>1</v>
      </c>
      <c r="I308" s="11">
        <f t="shared" si="29"/>
        <v>45948</v>
      </c>
      <c r="J308" t="s">
        <v>44</v>
      </c>
      <c r="K308" t="str">
        <f t="shared" si="30"/>
        <v>/* OCTUBRE        */ { nombre: "Adviento, Semana I, SÁBADO", archivo: "/ev/ta/1/sábado.mp3", fecha: `${year}-10-18` },</v>
      </c>
      <c r="L308" s="10">
        <f t="shared" si="31"/>
        <v>45948</v>
      </c>
    </row>
    <row r="309" spans="1:12" hidden="1" x14ac:dyDescent="0.25">
      <c r="A309" t="str" cm="1">
        <f t="array" ref="A309">_xlfn.IFS(E309="Adviento","ta", E309="Navidad","tn", E309="Epifania","te", E309="Ordinario","to", E309="Cuaresma","tc", E309="Domingo De Ramos","tc", E309="Semana Santa","ss", E309="Triduo Pascual","tp", E309="Vigilia Pascual","tp", E309="Pascual","tp")</f>
        <v>ta</v>
      </c>
      <c r="B309" s="14" t="str">
        <f t="shared" si="32"/>
        <v>/* OCTUBRE        */</v>
      </c>
      <c r="C309" s="15">
        <f t="shared" ref="C309:C372" si="33">+C308+1</f>
        <v>45949</v>
      </c>
      <c r="D309" s="9">
        <f t="shared" ref="D309:D372" si="34">+D308+1</f>
        <v>45949</v>
      </c>
      <c r="E309" t="s">
        <v>46</v>
      </c>
      <c r="F309" t="s">
        <v>43</v>
      </c>
      <c r="G309">
        <v>1</v>
      </c>
      <c r="I309" s="11">
        <f t="shared" ref="I309:I372" si="35">D309</f>
        <v>45949</v>
      </c>
      <c r="J309" t="s">
        <v>44</v>
      </c>
      <c r="K309" t="str">
        <f t="shared" ref="K309:K372" si="36">_xlfn.CONCAT(B309, " ", "{ nombre: ", CHAR(34), E309, ", ", F309, " ", ROMAN(G309),H309, ", ", UPPER(TEXT(D309, "[$-es-ES]dddd")), CHAR(34), ", archivo: ", CHAR(34), "/ev/", _xlfn.IFS(E309="Adviento","ta", E309="Navidad","tn", E309="Epifania","te", E309="Ordinario","to", E309="Cuaresma","tc", E309="Domingo De Ramos","tc", E309="Semana Santa","ss", E309="Triduo Pascual","tp", E309="Vigilia Pascual","tp", E309="Pascual","tp"), "/", G309, "/", TEXT(D309, "[$-es-ES]dddd"), ".mp3", CHAR(34), ", fecha: `${year}-", TEXT(D309, "mm-dd"), "` },")</f>
        <v>/* OCTUBRE        */ { nombre: "Adviento, Semana I, DOMINGO", archivo: "/ev/ta/1/domingo.mp3", fecha: `${year}-10-19` },</v>
      </c>
      <c r="L309" s="10">
        <f t="shared" ref="L309:L372" si="37">D309</f>
        <v>45949</v>
      </c>
    </row>
    <row r="310" spans="1:12" hidden="1" x14ac:dyDescent="0.25">
      <c r="A310" t="str" cm="1">
        <f t="array" ref="A310">_xlfn.IFS(E310="Adviento","ta", E310="Navidad","tn", E310="Epifania","te", E310="Ordinario","to", E310="Cuaresma","tc", E310="Domingo De Ramos","tc", E310="Semana Santa","ss", E310="Triduo Pascual","tp", E310="Vigilia Pascual","tp", E310="Pascual","tp")</f>
        <v>ta</v>
      </c>
      <c r="B310" s="14" t="str">
        <f t="shared" si="32"/>
        <v>/* OCTUBRE        */</v>
      </c>
      <c r="C310" s="15">
        <f t="shared" si="33"/>
        <v>45950</v>
      </c>
      <c r="D310" s="9">
        <f t="shared" si="34"/>
        <v>45950</v>
      </c>
      <c r="E310" t="s">
        <v>46</v>
      </c>
      <c r="F310" t="s">
        <v>43</v>
      </c>
      <c r="G310">
        <v>1</v>
      </c>
      <c r="I310" s="11">
        <f t="shared" si="35"/>
        <v>45950</v>
      </c>
      <c r="J310" t="s">
        <v>44</v>
      </c>
      <c r="K310" t="str">
        <f t="shared" si="36"/>
        <v>/* OCTUBRE        */ { nombre: "Adviento, Semana I, LUNES", archivo: "/ev/ta/1/lunes.mp3", fecha: `${year}-10-20` },</v>
      </c>
      <c r="L310" s="10">
        <f t="shared" si="37"/>
        <v>45950</v>
      </c>
    </row>
    <row r="311" spans="1:12" hidden="1" x14ac:dyDescent="0.25">
      <c r="A311" t="str" cm="1">
        <f t="array" ref="A311">_xlfn.IFS(E311="Adviento","ta", E311="Navidad","tn", E311="Epifania","te", E311="Ordinario","to", E311="Cuaresma","tc", E311="Domingo De Ramos","tc", E311="Semana Santa","ss", E311="Triduo Pascual","tp", E311="Vigilia Pascual","tp", E311="Pascual","tp")</f>
        <v>ta</v>
      </c>
      <c r="B311" s="14" t="str">
        <f t="shared" si="32"/>
        <v>/* OCTUBRE        */</v>
      </c>
      <c r="C311" s="15">
        <f t="shared" si="33"/>
        <v>45951</v>
      </c>
      <c r="D311" s="9">
        <f t="shared" si="34"/>
        <v>45951</v>
      </c>
      <c r="E311" t="s">
        <v>46</v>
      </c>
      <c r="F311" t="s">
        <v>43</v>
      </c>
      <c r="G311">
        <v>1</v>
      </c>
      <c r="I311" s="11">
        <f t="shared" si="35"/>
        <v>45951</v>
      </c>
      <c r="J311" t="s">
        <v>44</v>
      </c>
      <c r="K311" t="str">
        <f t="shared" si="36"/>
        <v>/* OCTUBRE        */ { nombre: "Adviento, Semana I, MARTES", archivo: "/ev/ta/1/martes.mp3", fecha: `${year}-10-21` },</v>
      </c>
      <c r="L311" s="10">
        <f t="shared" si="37"/>
        <v>45951</v>
      </c>
    </row>
    <row r="312" spans="1:12" hidden="1" x14ac:dyDescent="0.25">
      <c r="A312" t="str" cm="1">
        <f t="array" ref="A312">_xlfn.IFS(E312="Adviento","ta", E312="Navidad","tn", E312="Epifania","te", E312="Ordinario","to", E312="Cuaresma","tc", E312="Domingo De Ramos","tc", E312="Semana Santa","ss", E312="Triduo Pascual","tp", E312="Vigilia Pascual","tp", E312="Pascual","tp")</f>
        <v>ta</v>
      </c>
      <c r="B312" s="14" t="str">
        <f t="shared" si="32"/>
        <v>/* OCTUBRE        */</v>
      </c>
      <c r="C312" s="15">
        <f t="shared" si="33"/>
        <v>45952</v>
      </c>
      <c r="D312" s="9">
        <f t="shared" si="34"/>
        <v>45952</v>
      </c>
      <c r="E312" t="s">
        <v>46</v>
      </c>
      <c r="F312" t="s">
        <v>43</v>
      </c>
      <c r="G312">
        <v>1</v>
      </c>
      <c r="I312" s="11">
        <f t="shared" si="35"/>
        <v>45952</v>
      </c>
      <c r="J312" t="s">
        <v>44</v>
      </c>
      <c r="K312" t="str">
        <f t="shared" si="36"/>
        <v>/* OCTUBRE        */ { nombre: "Adviento, Semana I, MIÉRCOLES", archivo: "/ev/ta/1/miércoles.mp3", fecha: `${year}-10-22` },</v>
      </c>
      <c r="L312" s="10">
        <f t="shared" si="37"/>
        <v>45952</v>
      </c>
    </row>
    <row r="313" spans="1:12" hidden="1" x14ac:dyDescent="0.25">
      <c r="A313" t="str" cm="1">
        <f t="array" ref="A313">_xlfn.IFS(E313="Adviento","ta", E313="Navidad","tn", E313="Epifania","te", E313="Ordinario","to", E313="Cuaresma","tc", E313="Domingo De Ramos","tc", E313="Semana Santa","ss", E313="Triduo Pascual","tp", E313="Vigilia Pascual","tp", E313="Pascual","tp")</f>
        <v>ta</v>
      </c>
      <c r="B313" s="14" t="str">
        <f t="shared" si="32"/>
        <v>/* OCTUBRE        */</v>
      </c>
      <c r="C313" s="15">
        <f t="shared" si="33"/>
        <v>45953</v>
      </c>
      <c r="D313" s="9">
        <f t="shared" si="34"/>
        <v>45953</v>
      </c>
      <c r="E313" t="s">
        <v>46</v>
      </c>
      <c r="F313" t="s">
        <v>43</v>
      </c>
      <c r="G313">
        <v>1</v>
      </c>
      <c r="I313" s="11">
        <f t="shared" si="35"/>
        <v>45953</v>
      </c>
      <c r="J313" t="s">
        <v>44</v>
      </c>
      <c r="K313" t="str">
        <f t="shared" si="36"/>
        <v>/* OCTUBRE        */ { nombre: "Adviento, Semana I, JUEVES", archivo: "/ev/ta/1/jueves.mp3", fecha: `${year}-10-23` },</v>
      </c>
      <c r="L313" s="10">
        <f t="shared" si="37"/>
        <v>45953</v>
      </c>
    </row>
    <row r="314" spans="1:12" hidden="1" x14ac:dyDescent="0.25">
      <c r="A314" t="str" cm="1">
        <f t="array" ref="A314">_xlfn.IFS(E314="Adviento","ta", E314="Navidad","tn", E314="Epifania","te", E314="Ordinario","to", E314="Cuaresma","tc", E314="Domingo De Ramos","tc", E314="Semana Santa","ss", E314="Triduo Pascual","tp", E314="Vigilia Pascual","tp", E314="Pascual","tp")</f>
        <v>ta</v>
      </c>
      <c r="B314" s="14" t="str">
        <f t="shared" si="32"/>
        <v>/* OCTUBRE        */</v>
      </c>
      <c r="C314" s="15">
        <f t="shared" si="33"/>
        <v>45954</v>
      </c>
      <c r="D314" s="9">
        <f t="shared" si="34"/>
        <v>45954</v>
      </c>
      <c r="E314" t="s">
        <v>46</v>
      </c>
      <c r="F314" t="s">
        <v>43</v>
      </c>
      <c r="G314">
        <v>1</v>
      </c>
      <c r="I314" s="11">
        <f t="shared" si="35"/>
        <v>45954</v>
      </c>
      <c r="J314" t="s">
        <v>44</v>
      </c>
      <c r="K314" t="str">
        <f t="shared" si="36"/>
        <v>/* OCTUBRE        */ { nombre: "Adviento, Semana I, VIERNES", archivo: "/ev/ta/1/viernes.mp3", fecha: `${year}-10-24` },</v>
      </c>
      <c r="L314" s="10">
        <f t="shared" si="37"/>
        <v>45954</v>
      </c>
    </row>
    <row r="315" spans="1:12" hidden="1" x14ac:dyDescent="0.25">
      <c r="A315" t="str" cm="1">
        <f t="array" ref="A315">_xlfn.IFS(E315="Adviento","ta", E315="Navidad","tn", E315="Epifania","te", E315="Ordinario","to", E315="Cuaresma","tc", E315="Domingo De Ramos","tc", E315="Semana Santa","ss", E315="Triduo Pascual","tp", E315="Vigilia Pascual","tp", E315="Pascual","tp")</f>
        <v>ta</v>
      </c>
      <c r="B315" s="14" t="str">
        <f t="shared" si="32"/>
        <v>/* OCTUBRE        */</v>
      </c>
      <c r="C315" s="15">
        <f t="shared" si="33"/>
        <v>45955</v>
      </c>
      <c r="D315" s="9">
        <f t="shared" si="34"/>
        <v>45955</v>
      </c>
      <c r="E315" t="s">
        <v>46</v>
      </c>
      <c r="F315" t="s">
        <v>43</v>
      </c>
      <c r="G315">
        <v>1</v>
      </c>
      <c r="I315" s="11">
        <f t="shared" si="35"/>
        <v>45955</v>
      </c>
      <c r="J315" t="s">
        <v>44</v>
      </c>
      <c r="K315" t="str">
        <f t="shared" si="36"/>
        <v>/* OCTUBRE        */ { nombre: "Adviento, Semana I, SÁBADO", archivo: "/ev/ta/1/sábado.mp3", fecha: `${year}-10-25` },</v>
      </c>
      <c r="L315" s="10">
        <f t="shared" si="37"/>
        <v>45955</v>
      </c>
    </row>
    <row r="316" spans="1:12" hidden="1" x14ac:dyDescent="0.25">
      <c r="A316" t="str" cm="1">
        <f t="array" ref="A316">_xlfn.IFS(E316="Adviento","ta", E316="Navidad","tn", E316="Epifania","te", E316="Ordinario","to", E316="Cuaresma","tc", E316="Domingo De Ramos","tc", E316="Semana Santa","ss", E316="Triduo Pascual","tp", E316="Vigilia Pascual","tp", E316="Pascual","tp")</f>
        <v>ta</v>
      </c>
      <c r="B316" s="14" t="str">
        <f t="shared" si="32"/>
        <v>/* OCTUBRE        */</v>
      </c>
      <c r="C316" s="15">
        <f t="shared" si="33"/>
        <v>45956</v>
      </c>
      <c r="D316" s="9">
        <f t="shared" si="34"/>
        <v>45956</v>
      </c>
      <c r="E316" t="s">
        <v>46</v>
      </c>
      <c r="F316" t="s">
        <v>43</v>
      </c>
      <c r="G316">
        <v>1</v>
      </c>
      <c r="I316" s="11">
        <f t="shared" si="35"/>
        <v>45956</v>
      </c>
      <c r="J316" t="s">
        <v>44</v>
      </c>
      <c r="K316" t="str">
        <f t="shared" si="36"/>
        <v>/* OCTUBRE        */ { nombre: "Adviento, Semana I, DOMINGO", archivo: "/ev/ta/1/domingo.mp3", fecha: `${year}-10-26` },</v>
      </c>
      <c r="L316" s="10">
        <f t="shared" si="37"/>
        <v>45956</v>
      </c>
    </row>
    <row r="317" spans="1:12" hidden="1" x14ac:dyDescent="0.25">
      <c r="A317" t="str" cm="1">
        <f t="array" ref="A317">_xlfn.IFS(E317="Adviento","ta", E317="Navidad","tn", E317="Epifania","te", E317="Ordinario","to", E317="Cuaresma","tc", E317="Domingo De Ramos","tc", E317="Semana Santa","ss", E317="Triduo Pascual","tp", E317="Vigilia Pascual","tp", E317="Pascual","tp")</f>
        <v>ta</v>
      </c>
      <c r="B317" s="14" t="str">
        <f t="shared" si="32"/>
        <v>/* OCTUBRE        */</v>
      </c>
      <c r="C317" s="15">
        <f t="shared" si="33"/>
        <v>45957</v>
      </c>
      <c r="D317" s="9">
        <f t="shared" si="34"/>
        <v>45957</v>
      </c>
      <c r="E317" t="s">
        <v>46</v>
      </c>
      <c r="F317" t="s">
        <v>43</v>
      </c>
      <c r="G317">
        <v>1</v>
      </c>
      <c r="I317" s="11">
        <f t="shared" si="35"/>
        <v>45957</v>
      </c>
      <c r="J317" t="s">
        <v>44</v>
      </c>
      <c r="K317" t="str">
        <f t="shared" si="36"/>
        <v>/* OCTUBRE        */ { nombre: "Adviento, Semana I, LUNES", archivo: "/ev/ta/1/lunes.mp3", fecha: `${year}-10-27` },</v>
      </c>
      <c r="L317" s="10">
        <f t="shared" si="37"/>
        <v>45957</v>
      </c>
    </row>
    <row r="318" spans="1:12" hidden="1" x14ac:dyDescent="0.25">
      <c r="A318" t="str" cm="1">
        <f t="array" ref="A318">_xlfn.IFS(E318="Adviento","ta", E318="Navidad","tn", E318="Epifania","te", E318="Ordinario","to", E318="Cuaresma","tc", E318="Domingo De Ramos","tc", E318="Semana Santa","ss", E318="Triduo Pascual","tp", E318="Vigilia Pascual","tp", E318="Pascual","tp")</f>
        <v>ta</v>
      </c>
      <c r="B318" s="14" t="str">
        <f t="shared" si="32"/>
        <v>/* OCTUBRE        */</v>
      </c>
      <c r="C318" s="15">
        <f t="shared" si="33"/>
        <v>45958</v>
      </c>
      <c r="D318" s="9">
        <f t="shared" si="34"/>
        <v>45958</v>
      </c>
      <c r="E318" t="s">
        <v>46</v>
      </c>
      <c r="F318" t="s">
        <v>43</v>
      </c>
      <c r="G318">
        <v>1</v>
      </c>
      <c r="I318" s="11">
        <f t="shared" si="35"/>
        <v>45958</v>
      </c>
      <c r="J318" t="s">
        <v>44</v>
      </c>
      <c r="K318" t="str">
        <f t="shared" si="36"/>
        <v>/* OCTUBRE        */ { nombre: "Adviento, Semana I, MARTES", archivo: "/ev/ta/1/martes.mp3", fecha: `${year}-10-28` },</v>
      </c>
      <c r="L318" s="10">
        <f t="shared" si="37"/>
        <v>45958</v>
      </c>
    </row>
    <row r="319" spans="1:12" hidden="1" x14ac:dyDescent="0.25">
      <c r="A319" t="str" cm="1">
        <f t="array" ref="A319">_xlfn.IFS(E319="Adviento","ta", E319="Navidad","tn", E319="Epifania","te", E319="Ordinario","to", E319="Cuaresma","tc", E319="Domingo De Ramos","tc", E319="Semana Santa","ss", E319="Triduo Pascual","tp", E319="Vigilia Pascual","tp", E319="Pascual","tp")</f>
        <v>ta</v>
      </c>
      <c r="B319" s="14" t="str">
        <f t="shared" si="32"/>
        <v>/* OCTUBRE        */</v>
      </c>
      <c r="C319" s="15">
        <f t="shared" si="33"/>
        <v>45959</v>
      </c>
      <c r="D319" s="9">
        <f t="shared" si="34"/>
        <v>45959</v>
      </c>
      <c r="E319" t="s">
        <v>46</v>
      </c>
      <c r="F319" t="s">
        <v>43</v>
      </c>
      <c r="G319">
        <v>1</v>
      </c>
      <c r="I319" s="11">
        <f t="shared" si="35"/>
        <v>45959</v>
      </c>
      <c r="J319" t="s">
        <v>44</v>
      </c>
      <c r="K319" t="str">
        <f t="shared" si="36"/>
        <v>/* OCTUBRE        */ { nombre: "Adviento, Semana I, MIÉRCOLES", archivo: "/ev/ta/1/miércoles.mp3", fecha: `${year}-10-29` },</v>
      </c>
      <c r="L319" s="10">
        <f t="shared" si="37"/>
        <v>45959</v>
      </c>
    </row>
    <row r="320" spans="1:12" hidden="1" x14ac:dyDescent="0.25">
      <c r="A320" t="str" cm="1">
        <f t="array" ref="A320">_xlfn.IFS(E320="Adviento","ta", E320="Navidad","tn", E320="Epifania","te", E320="Ordinario","to", E320="Cuaresma","tc", E320="Domingo De Ramos","tc", E320="Semana Santa","ss", E320="Triduo Pascual","tp", E320="Vigilia Pascual","tp", E320="Pascual","tp")</f>
        <v>ta</v>
      </c>
      <c r="B320" s="14" t="str">
        <f t="shared" si="32"/>
        <v>/* OCTUBRE        */</v>
      </c>
      <c r="C320" s="15">
        <f t="shared" si="33"/>
        <v>45960</v>
      </c>
      <c r="D320" s="9">
        <f t="shared" si="34"/>
        <v>45960</v>
      </c>
      <c r="E320" t="s">
        <v>46</v>
      </c>
      <c r="F320" t="s">
        <v>43</v>
      </c>
      <c r="G320">
        <v>1</v>
      </c>
      <c r="I320" s="11">
        <f t="shared" si="35"/>
        <v>45960</v>
      </c>
      <c r="J320" t="s">
        <v>44</v>
      </c>
      <c r="K320" t="str">
        <f t="shared" si="36"/>
        <v>/* OCTUBRE        */ { nombre: "Adviento, Semana I, JUEVES", archivo: "/ev/ta/1/jueves.mp3", fecha: `${year}-10-30` },</v>
      </c>
      <c r="L320" s="10">
        <f t="shared" si="37"/>
        <v>45960</v>
      </c>
    </row>
    <row r="321" spans="1:12" hidden="1" x14ac:dyDescent="0.25">
      <c r="A321" t="str" cm="1">
        <f t="array" ref="A321">_xlfn.IFS(E321="Adviento","ta", E321="Navidad","tn", E321="Epifania","te", E321="Ordinario","to", E321="Cuaresma","tc", E321="Domingo De Ramos","tc", E321="Semana Santa","ss", E321="Triduo Pascual","tp", E321="Vigilia Pascual","tp", E321="Pascual","tp")</f>
        <v>ta</v>
      </c>
      <c r="B321" s="14" t="str">
        <f t="shared" si="32"/>
        <v>/* OCTUBRE        */</v>
      </c>
      <c r="C321" s="15">
        <f t="shared" si="33"/>
        <v>45961</v>
      </c>
      <c r="D321" s="9">
        <f t="shared" si="34"/>
        <v>45961</v>
      </c>
      <c r="E321" t="s">
        <v>46</v>
      </c>
      <c r="F321" t="s">
        <v>43</v>
      </c>
      <c r="G321">
        <v>1</v>
      </c>
      <c r="I321" s="11">
        <f t="shared" si="35"/>
        <v>45961</v>
      </c>
      <c r="J321" t="s">
        <v>44</v>
      </c>
      <c r="K321" t="str">
        <f t="shared" si="36"/>
        <v>/* OCTUBRE        */ { nombre: "Adviento, Semana I, VIERNES", archivo: "/ev/ta/1/viernes.mp3", fecha: `${year}-10-31` },</v>
      </c>
      <c r="L321" s="10">
        <f t="shared" si="37"/>
        <v>45961</v>
      </c>
    </row>
    <row r="322" spans="1:12" hidden="1" x14ac:dyDescent="0.25">
      <c r="A322" t="str" cm="1">
        <f t="array" ref="A322">_xlfn.IFS(E322="Adviento","ta", E322="Navidad","tn", E322="Epifania","te", E322="Ordinario","to", E322="Cuaresma","tc", E322="Domingo De Ramos","tc", E322="Semana Santa","ss", E322="Triduo Pascual","tp", E322="Vigilia Pascual","tp", E322="Pascual","tp")</f>
        <v>ta</v>
      </c>
      <c r="B322" s="14" t="str">
        <f t="shared" si="32"/>
        <v>/* NOVIEMBRE        */</v>
      </c>
      <c r="C322" s="15">
        <f t="shared" si="33"/>
        <v>45962</v>
      </c>
      <c r="D322" s="9">
        <f t="shared" si="34"/>
        <v>45962</v>
      </c>
      <c r="E322" t="s">
        <v>46</v>
      </c>
      <c r="F322" t="s">
        <v>43</v>
      </c>
      <c r="G322">
        <v>1</v>
      </c>
      <c r="I322" s="11">
        <f t="shared" si="35"/>
        <v>45962</v>
      </c>
      <c r="J322" t="s">
        <v>44</v>
      </c>
      <c r="K322" t="str">
        <f t="shared" si="36"/>
        <v>/* NOVIEMBRE        */ { nombre: "Adviento, Semana I, SÁBADO", archivo: "/ev/ta/1/sábado.mp3", fecha: `${year}-11-01` },</v>
      </c>
      <c r="L322" s="10">
        <f t="shared" si="37"/>
        <v>45962</v>
      </c>
    </row>
    <row r="323" spans="1:12" hidden="1" x14ac:dyDescent="0.25">
      <c r="A323" t="str" cm="1">
        <f t="array" ref="A323">_xlfn.IFS(E323="Adviento","ta", E323="Navidad","tn", E323="Epifania","te", E323="Ordinario","to", E323="Cuaresma","tc", E323="Domingo De Ramos","tc", E323="Semana Santa","ss", E323="Triduo Pascual","tp", E323="Vigilia Pascual","tp", E323="Pascual","tp")</f>
        <v>ta</v>
      </c>
      <c r="B323" s="14" t="str">
        <f t="shared" si="32"/>
        <v>/* NOVIEMBRE        */</v>
      </c>
      <c r="C323" s="15">
        <f t="shared" si="33"/>
        <v>45963</v>
      </c>
      <c r="D323" s="9">
        <f t="shared" si="34"/>
        <v>45963</v>
      </c>
      <c r="E323" t="s">
        <v>46</v>
      </c>
      <c r="F323" t="s">
        <v>43</v>
      </c>
      <c r="G323">
        <v>1</v>
      </c>
      <c r="I323" s="11">
        <f t="shared" si="35"/>
        <v>45963</v>
      </c>
      <c r="J323" t="s">
        <v>44</v>
      </c>
      <c r="K323" t="str">
        <f t="shared" si="36"/>
        <v>/* NOVIEMBRE        */ { nombre: "Adviento, Semana I, DOMINGO", archivo: "/ev/ta/1/domingo.mp3", fecha: `${year}-11-02` },</v>
      </c>
      <c r="L323" s="10">
        <f t="shared" si="37"/>
        <v>45963</v>
      </c>
    </row>
    <row r="324" spans="1:12" hidden="1" x14ac:dyDescent="0.25">
      <c r="A324" t="str" cm="1">
        <f t="array" ref="A324">_xlfn.IFS(E324="Adviento","ta", E324="Navidad","tn", E324="Epifania","te", E324="Ordinario","to", E324="Cuaresma","tc", E324="Domingo De Ramos","tc", E324="Semana Santa","ss", E324="Triduo Pascual","tp", E324="Vigilia Pascual","tp", E324="Pascual","tp")</f>
        <v>ta</v>
      </c>
      <c r="B324" s="14" t="str">
        <f t="shared" si="32"/>
        <v>/* NOVIEMBRE        */</v>
      </c>
      <c r="C324" s="15">
        <f t="shared" si="33"/>
        <v>45964</v>
      </c>
      <c r="D324" s="9">
        <f t="shared" si="34"/>
        <v>45964</v>
      </c>
      <c r="E324" t="s">
        <v>46</v>
      </c>
      <c r="F324" t="s">
        <v>43</v>
      </c>
      <c r="G324">
        <v>1</v>
      </c>
      <c r="I324" s="11">
        <f t="shared" si="35"/>
        <v>45964</v>
      </c>
      <c r="J324" t="s">
        <v>44</v>
      </c>
      <c r="K324" t="str">
        <f t="shared" si="36"/>
        <v>/* NOVIEMBRE        */ { nombre: "Adviento, Semana I, LUNES", archivo: "/ev/ta/1/lunes.mp3", fecha: `${year}-11-03` },</v>
      </c>
      <c r="L324" s="10">
        <f t="shared" si="37"/>
        <v>45964</v>
      </c>
    </row>
    <row r="325" spans="1:12" hidden="1" x14ac:dyDescent="0.25">
      <c r="A325" t="str" cm="1">
        <f t="array" ref="A325">_xlfn.IFS(E325="Adviento","ta", E325="Navidad","tn", E325="Epifania","te", E325="Ordinario","to", E325="Cuaresma","tc", E325="Domingo De Ramos","tc", E325="Semana Santa","ss", E325="Triduo Pascual","tp", E325="Vigilia Pascual","tp", E325="Pascual","tp")</f>
        <v>ta</v>
      </c>
      <c r="B325" s="14" t="str">
        <f t="shared" si="32"/>
        <v>/* NOVIEMBRE        */</v>
      </c>
      <c r="C325" s="15">
        <f t="shared" si="33"/>
        <v>45965</v>
      </c>
      <c r="D325" s="9">
        <f t="shared" si="34"/>
        <v>45965</v>
      </c>
      <c r="E325" t="s">
        <v>46</v>
      </c>
      <c r="F325" t="s">
        <v>43</v>
      </c>
      <c r="G325">
        <v>1</v>
      </c>
      <c r="I325" s="11">
        <f t="shared" si="35"/>
        <v>45965</v>
      </c>
      <c r="J325" t="s">
        <v>44</v>
      </c>
      <c r="K325" t="str">
        <f t="shared" si="36"/>
        <v>/* NOVIEMBRE        */ { nombre: "Adviento, Semana I, MARTES", archivo: "/ev/ta/1/martes.mp3", fecha: `${year}-11-04` },</v>
      </c>
      <c r="L325" s="10">
        <f t="shared" si="37"/>
        <v>45965</v>
      </c>
    </row>
    <row r="326" spans="1:12" hidden="1" x14ac:dyDescent="0.25">
      <c r="A326" t="str" cm="1">
        <f t="array" ref="A326">_xlfn.IFS(E326="Adviento","ta", E326="Navidad","tn", E326="Epifania","te", E326="Ordinario","to", E326="Cuaresma","tc", E326="Domingo De Ramos","tc", E326="Semana Santa","ss", E326="Triduo Pascual","tp", E326="Vigilia Pascual","tp", E326="Pascual","tp")</f>
        <v>ta</v>
      </c>
      <c r="B326" s="14" t="str">
        <f t="shared" si="32"/>
        <v>/* NOVIEMBRE        */</v>
      </c>
      <c r="C326" s="15">
        <f t="shared" si="33"/>
        <v>45966</v>
      </c>
      <c r="D326" s="9">
        <f t="shared" si="34"/>
        <v>45966</v>
      </c>
      <c r="E326" t="s">
        <v>46</v>
      </c>
      <c r="F326" t="s">
        <v>43</v>
      </c>
      <c r="G326">
        <v>1</v>
      </c>
      <c r="I326" s="11">
        <f t="shared" si="35"/>
        <v>45966</v>
      </c>
      <c r="J326" t="s">
        <v>44</v>
      </c>
      <c r="K326" t="str">
        <f t="shared" si="36"/>
        <v>/* NOVIEMBRE        */ { nombre: "Adviento, Semana I, MIÉRCOLES", archivo: "/ev/ta/1/miércoles.mp3", fecha: `${year}-11-05` },</v>
      </c>
      <c r="L326" s="10">
        <f t="shared" si="37"/>
        <v>45966</v>
      </c>
    </row>
    <row r="327" spans="1:12" hidden="1" x14ac:dyDescent="0.25">
      <c r="A327" t="str" cm="1">
        <f t="array" ref="A327">_xlfn.IFS(E327="Adviento","ta", E327="Navidad","tn", E327="Epifania","te", E327="Ordinario","to", E327="Cuaresma","tc", E327="Domingo De Ramos","tc", E327="Semana Santa","ss", E327="Triduo Pascual","tp", E327="Vigilia Pascual","tp", E327="Pascual","tp")</f>
        <v>ta</v>
      </c>
      <c r="B327" s="14" t="str">
        <f t="shared" si="32"/>
        <v>/* NOVIEMBRE        */</v>
      </c>
      <c r="C327" s="15">
        <f t="shared" si="33"/>
        <v>45967</v>
      </c>
      <c r="D327" s="9">
        <f t="shared" si="34"/>
        <v>45967</v>
      </c>
      <c r="E327" t="s">
        <v>46</v>
      </c>
      <c r="F327" t="s">
        <v>43</v>
      </c>
      <c r="G327">
        <v>1</v>
      </c>
      <c r="I327" s="11">
        <f t="shared" si="35"/>
        <v>45967</v>
      </c>
      <c r="J327" t="s">
        <v>44</v>
      </c>
      <c r="K327" t="str">
        <f t="shared" si="36"/>
        <v>/* NOVIEMBRE        */ { nombre: "Adviento, Semana I, JUEVES", archivo: "/ev/ta/1/jueves.mp3", fecha: `${year}-11-06` },</v>
      </c>
      <c r="L327" s="10">
        <f t="shared" si="37"/>
        <v>45967</v>
      </c>
    </row>
    <row r="328" spans="1:12" hidden="1" x14ac:dyDescent="0.25">
      <c r="A328" t="str" cm="1">
        <f t="array" ref="A328">_xlfn.IFS(E328="Adviento","ta", E328="Navidad","tn", E328="Epifania","te", E328="Ordinario","to", E328="Cuaresma","tc", E328="Domingo De Ramos","tc", E328="Semana Santa","ss", E328="Triduo Pascual","tp", E328="Vigilia Pascual","tp", E328="Pascual","tp")</f>
        <v>ta</v>
      </c>
      <c r="B328" s="14" t="str">
        <f t="shared" si="32"/>
        <v>/* NOVIEMBRE        */</v>
      </c>
      <c r="C328" s="15">
        <f t="shared" si="33"/>
        <v>45968</v>
      </c>
      <c r="D328" s="9">
        <f t="shared" si="34"/>
        <v>45968</v>
      </c>
      <c r="E328" t="s">
        <v>46</v>
      </c>
      <c r="F328" t="s">
        <v>43</v>
      </c>
      <c r="G328">
        <v>1</v>
      </c>
      <c r="I328" s="11">
        <f t="shared" si="35"/>
        <v>45968</v>
      </c>
      <c r="J328" t="s">
        <v>44</v>
      </c>
      <c r="K328" t="str">
        <f t="shared" si="36"/>
        <v>/* NOVIEMBRE        */ { nombre: "Adviento, Semana I, VIERNES", archivo: "/ev/ta/1/viernes.mp3", fecha: `${year}-11-07` },</v>
      </c>
      <c r="L328" s="10">
        <f t="shared" si="37"/>
        <v>45968</v>
      </c>
    </row>
    <row r="329" spans="1:12" hidden="1" x14ac:dyDescent="0.25">
      <c r="A329" t="str" cm="1">
        <f t="array" ref="A329">_xlfn.IFS(E329="Adviento","ta", E329="Navidad","tn", E329="Epifania","te", E329="Ordinario","to", E329="Cuaresma","tc", E329="Domingo De Ramos","tc", E329="Semana Santa","ss", E329="Triduo Pascual","tp", E329="Vigilia Pascual","tp", E329="Pascual","tp")</f>
        <v>ta</v>
      </c>
      <c r="B329" s="14" t="str">
        <f t="shared" si="32"/>
        <v>/* NOVIEMBRE        */</v>
      </c>
      <c r="C329" s="15">
        <f t="shared" si="33"/>
        <v>45969</v>
      </c>
      <c r="D329" s="9">
        <f t="shared" si="34"/>
        <v>45969</v>
      </c>
      <c r="E329" t="s">
        <v>46</v>
      </c>
      <c r="F329" t="s">
        <v>43</v>
      </c>
      <c r="G329">
        <v>1</v>
      </c>
      <c r="I329" s="11">
        <f t="shared" si="35"/>
        <v>45969</v>
      </c>
      <c r="J329" t="s">
        <v>44</v>
      </c>
      <c r="K329" t="str">
        <f t="shared" si="36"/>
        <v>/* NOVIEMBRE        */ { nombre: "Adviento, Semana I, SÁBADO", archivo: "/ev/ta/1/sábado.mp3", fecha: `${year}-11-08` },</v>
      </c>
      <c r="L329" s="10">
        <f t="shared" si="37"/>
        <v>45969</v>
      </c>
    </row>
    <row r="330" spans="1:12" hidden="1" x14ac:dyDescent="0.25">
      <c r="A330" t="str" cm="1">
        <f t="array" ref="A330">_xlfn.IFS(E330="Adviento","ta", E330="Navidad","tn", E330="Epifania","te", E330="Ordinario","to", E330="Cuaresma","tc", E330="Domingo De Ramos","tc", E330="Semana Santa","ss", E330="Triduo Pascual","tp", E330="Vigilia Pascual","tp", E330="Pascual","tp")</f>
        <v>ta</v>
      </c>
      <c r="B330" s="14" t="str">
        <f t="shared" si="32"/>
        <v>/* NOVIEMBRE        */</v>
      </c>
      <c r="C330" s="15">
        <f t="shared" si="33"/>
        <v>45970</v>
      </c>
      <c r="D330" s="9">
        <f t="shared" si="34"/>
        <v>45970</v>
      </c>
      <c r="E330" t="s">
        <v>46</v>
      </c>
      <c r="F330" t="s">
        <v>43</v>
      </c>
      <c r="G330">
        <v>1</v>
      </c>
      <c r="I330" s="11">
        <f t="shared" si="35"/>
        <v>45970</v>
      </c>
      <c r="J330" t="s">
        <v>44</v>
      </c>
      <c r="K330" t="str">
        <f t="shared" si="36"/>
        <v>/* NOVIEMBRE        */ { nombre: "Adviento, Semana I, DOMINGO", archivo: "/ev/ta/1/domingo.mp3", fecha: `${year}-11-09` },</v>
      </c>
      <c r="L330" s="10">
        <f t="shared" si="37"/>
        <v>45970</v>
      </c>
    </row>
    <row r="331" spans="1:12" hidden="1" x14ac:dyDescent="0.25">
      <c r="A331" t="str" cm="1">
        <f t="array" ref="A331">_xlfn.IFS(E331="Adviento","ta", E331="Navidad","tn", E331="Epifania","te", E331="Ordinario","to", E331="Cuaresma","tc", E331="Domingo De Ramos","tc", E331="Semana Santa","ss", E331="Triduo Pascual","tp", E331="Vigilia Pascual","tp", E331="Pascual","tp")</f>
        <v>ta</v>
      </c>
      <c r="B331" s="14" t="str">
        <f t="shared" si="32"/>
        <v>/* NOVIEMBRE        */</v>
      </c>
      <c r="C331" s="15">
        <f t="shared" si="33"/>
        <v>45971</v>
      </c>
      <c r="D331" s="9">
        <f t="shared" si="34"/>
        <v>45971</v>
      </c>
      <c r="E331" t="s">
        <v>46</v>
      </c>
      <c r="F331" t="s">
        <v>43</v>
      </c>
      <c r="G331">
        <v>1</v>
      </c>
      <c r="I331" s="11">
        <f t="shared" si="35"/>
        <v>45971</v>
      </c>
      <c r="J331" t="s">
        <v>44</v>
      </c>
      <c r="K331" t="str">
        <f t="shared" si="36"/>
        <v>/* NOVIEMBRE        */ { nombre: "Adviento, Semana I, LUNES", archivo: "/ev/ta/1/lunes.mp3", fecha: `${year}-11-10` },</v>
      </c>
      <c r="L331" s="10">
        <f t="shared" si="37"/>
        <v>45971</v>
      </c>
    </row>
    <row r="332" spans="1:12" hidden="1" x14ac:dyDescent="0.25">
      <c r="A332" t="str" cm="1">
        <f t="array" ref="A332">_xlfn.IFS(E332="Adviento","ta", E332="Navidad","tn", E332="Epifania","te", E332="Ordinario","to", E332="Cuaresma","tc", E332="Domingo De Ramos","tc", E332="Semana Santa","ss", E332="Triduo Pascual","tp", E332="Vigilia Pascual","tp", E332="Pascual","tp")</f>
        <v>ta</v>
      </c>
      <c r="B332" s="14" t="str">
        <f t="shared" si="32"/>
        <v>/* NOVIEMBRE        */</v>
      </c>
      <c r="C332" s="15">
        <f t="shared" si="33"/>
        <v>45972</v>
      </c>
      <c r="D332" s="9">
        <f t="shared" si="34"/>
        <v>45972</v>
      </c>
      <c r="E332" t="s">
        <v>46</v>
      </c>
      <c r="F332" t="s">
        <v>43</v>
      </c>
      <c r="G332">
        <v>1</v>
      </c>
      <c r="I332" s="11">
        <f t="shared" si="35"/>
        <v>45972</v>
      </c>
      <c r="J332" t="s">
        <v>44</v>
      </c>
      <c r="K332" t="str">
        <f t="shared" si="36"/>
        <v>/* NOVIEMBRE        */ { nombre: "Adviento, Semana I, MARTES", archivo: "/ev/ta/1/martes.mp3", fecha: `${year}-11-11` },</v>
      </c>
      <c r="L332" s="10">
        <f t="shared" si="37"/>
        <v>45972</v>
      </c>
    </row>
    <row r="333" spans="1:12" hidden="1" x14ac:dyDescent="0.25">
      <c r="A333" t="str" cm="1">
        <f t="array" ref="A333">_xlfn.IFS(E333="Adviento","ta", E333="Navidad","tn", E333="Epifania","te", E333="Ordinario","to", E333="Cuaresma","tc", E333="Domingo De Ramos","tc", E333="Semana Santa","ss", E333="Triduo Pascual","tp", E333="Vigilia Pascual","tp", E333="Pascual","tp")</f>
        <v>ta</v>
      </c>
      <c r="B333" s="14" t="str">
        <f t="shared" si="32"/>
        <v>/* NOVIEMBRE        */</v>
      </c>
      <c r="C333" s="15">
        <f t="shared" si="33"/>
        <v>45973</v>
      </c>
      <c r="D333" s="9">
        <f t="shared" si="34"/>
        <v>45973</v>
      </c>
      <c r="E333" t="s">
        <v>46</v>
      </c>
      <c r="F333" t="s">
        <v>43</v>
      </c>
      <c r="G333">
        <v>1</v>
      </c>
      <c r="I333" s="11">
        <f t="shared" si="35"/>
        <v>45973</v>
      </c>
      <c r="J333" t="s">
        <v>44</v>
      </c>
      <c r="K333" t="str">
        <f t="shared" si="36"/>
        <v>/* NOVIEMBRE        */ { nombre: "Adviento, Semana I, MIÉRCOLES", archivo: "/ev/ta/1/miércoles.mp3", fecha: `${year}-11-12` },</v>
      </c>
      <c r="L333" s="10">
        <f t="shared" si="37"/>
        <v>45973</v>
      </c>
    </row>
    <row r="334" spans="1:12" hidden="1" x14ac:dyDescent="0.25">
      <c r="A334" t="str" cm="1">
        <f t="array" ref="A334">_xlfn.IFS(E334="Adviento","ta", E334="Navidad","tn", E334="Epifania","te", E334="Ordinario","to", E334="Cuaresma","tc", E334="Domingo De Ramos","tc", E334="Semana Santa","ss", E334="Triduo Pascual","tp", E334="Vigilia Pascual","tp", E334="Pascual","tp")</f>
        <v>ta</v>
      </c>
      <c r="B334" s="14" t="str">
        <f t="shared" si="32"/>
        <v>/* NOVIEMBRE        */</v>
      </c>
      <c r="C334" s="15">
        <f t="shared" si="33"/>
        <v>45974</v>
      </c>
      <c r="D334" s="9">
        <f t="shared" si="34"/>
        <v>45974</v>
      </c>
      <c r="E334" t="s">
        <v>46</v>
      </c>
      <c r="F334" t="s">
        <v>43</v>
      </c>
      <c r="G334">
        <v>1</v>
      </c>
      <c r="I334" s="11">
        <f t="shared" si="35"/>
        <v>45974</v>
      </c>
      <c r="J334" t="s">
        <v>44</v>
      </c>
      <c r="K334" t="str">
        <f t="shared" si="36"/>
        <v>/* NOVIEMBRE        */ { nombre: "Adviento, Semana I, JUEVES", archivo: "/ev/ta/1/jueves.mp3", fecha: `${year}-11-13` },</v>
      </c>
      <c r="L334" s="10">
        <f t="shared" si="37"/>
        <v>45974</v>
      </c>
    </row>
    <row r="335" spans="1:12" hidden="1" x14ac:dyDescent="0.25">
      <c r="A335" t="str" cm="1">
        <f t="array" ref="A335">_xlfn.IFS(E335="Adviento","ta", E335="Navidad","tn", E335="Epifania","te", E335="Ordinario","to", E335="Cuaresma","tc", E335="Domingo De Ramos","tc", E335="Semana Santa","ss", E335="Triduo Pascual","tp", E335="Vigilia Pascual","tp", E335="Pascual","tp")</f>
        <v>ta</v>
      </c>
      <c r="B335" s="14" t="str">
        <f t="shared" si="32"/>
        <v>/* NOVIEMBRE        */</v>
      </c>
      <c r="C335" s="15">
        <f t="shared" si="33"/>
        <v>45975</v>
      </c>
      <c r="D335" s="9">
        <f t="shared" si="34"/>
        <v>45975</v>
      </c>
      <c r="E335" t="s">
        <v>46</v>
      </c>
      <c r="F335" t="s">
        <v>43</v>
      </c>
      <c r="G335">
        <v>1</v>
      </c>
      <c r="I335" s="11">
        <f t="shared" si="35"/>
        <v>45975</v>
      </c>
      <c r="J335" t="s">
        <v>44</v>
      </c>
      <c r="K335" t="str">
        <f t="shared" si="36"/>
        <v>/* NOVIEMBRE        */ { nombre: "Adviento, Semana I, VIERNES", archivo: "/ev/ta/1/viernes.mp3", fecha: `${year}-11-14` },</v>
      </c>
      <c r="L335" s="10">
        <f t="shared" si="37"/>
        <v>45975</v>
      </c>
    </row>
    <row r="336" spans="1:12" hidden="1" x14ac:dyDescent="0.25">
      <c r="A336" t="str" cm="1">
        <f t="array" ref="A336">_xlfn.IFS(E336="Adviento","ta", E336="Navidad","tn", E336="Epifania","te", E336="Ordinario","to", E336="Cuaresma","tc", E336="Domingo De Ramos","tc", E336="Semana Santa","ss", E336="Triduo Pascual","tp", E336="Vigilia Pascual","tp", E336="Pascual","tp")</f>
        <v>ta</v>
      </c>
      <c r="B336" s="14" t="str">
        <f t="shared" si="32"/>
        <v>/* NOVIEMBRE        */</v>
      </c>
      <c r="C336" s="15">
        <f t="shared" si="33"/>
        <v>45976</v>
      </c>
      <c r="D336" s="9">
        <f t="shared" si="34"/>
        <v>45976</v>
      </c>
      <c r="E336" t="s">
        <v>46</v>
      </c>
      <c r="F336" t="s">
        <v>43</v>
      </c>
      <c r="G336">
        <v>1</v>
      </c>
      <c r="I336" s="11">
        <f t="shared" si="35"/>
        <v>45976</v>
      </c>
      <c r="J336" t="s">
        <v>44</v>
      </c>
      <c r="K336" t="str">
        <f t="shared" si="36"/>
        <v>/* NOVIEMBRE        */ { nombre: "Adviento, Semana I, SÁBADO", archivo: "/ev/ta/1/sábado.mp3", fecha: `${year}-11-15` },</v>
      </c>
      <c r="L336" s="10">
        <f t="shared" si="37"/>
        <v>45976</v>
      </c>
    </row>
    <row r="337" spans="1:12" hidden="1" x14ac:dyDescent="0.25">
      <c r="A337" t="str" cm="1">
        <f t="array" ref="A337">_xlfn.IFS(E337="Adviento","ta", E337="Navidad","tn", E337="Epifania","te", E337="Ordinario","to", E337="Cuaresma","tc", E337="Domingo De Ramos","tc", E337="Semana Santa","ss", E337="Triduo Pascual","tp", E337="Vigilia Pascual","tp", E337="Pascual","tp")</f>
        <v>ta</v>
      </c>
      <c r="B337" s="14" t="str">
        <f t="shared" si="32"/>
        <v>/* NOVIEMBRE        */</v>
      </c>
      <c r="C337" s="15">
        <f t="shared" si="33"/>
        <v>45977</v>
      </c>
      <c r="D337" s="9">
        <f t="shared" si="34"/>
        <v>45977</v>
      </c>
      <c r="E337" t="s">
        <v>46</v>
      </c>
      <c r="F337" t="s">
        <v>43</v>
      </c>
      <c r="G337">
        <v>1</v>
      </c>
      <c r="I337" s="11">
        <f t="shared" si="35"/>
        <v>45977</v>
      </c>
      <c r="J337" t="s">
        <v>44</v>
      </c>
      <c r="K337" t="str">
        <f t="shared" si="36"/>
        <v>/* NOVIEMBRE        */ { nombre: "Adviento, Semana I, DOMINGO", archivo: "/ev/ta/1/domingo.mp3", fecha: `${year}-11-16` },</v>
      </c>
      <c r="L337" s="10">
        <f t="shared" si="37"/>
        <v>45977</v>
      </c>
    </row>
    <row r="338" spans="1:12" hidden="1" x14ac:dyDescent="0.25">
      <c r="A338" t="str" cm="1">
        <f t="array" ref="A338">_xlfn.IFS(E338="Adviento","ta", E338="Navidad","tn", E338="Epifania","te", E338="Ordinario","to", E338="Cuaresma","tc", E338="Domingo De Ramos","tc", E338="Semana Santa","ss", E338="Triduo Pascual","tp", E338="Vigilia Pascual","tp", E338="Pascual","tp")</f>
        <v>ta</v>
      </c>
      <c r="B338" s="14" t="str">
        <f t="shared" si="32"/>
        <v>/* NOVIEMBRE        */</v>
      </c>
      <c r="C338" s="15">
        <f t="shared" si="33"/>
        <v>45978</v>
      </c>
      <c r="D338" s="9">
        <f t="shared" si="34"/>
        <v>45978</v>
      </c>
      <c r="E338" t="s">
        <v>46</v>
      </c>
      <c r="F338" t="s">
        <v>43</v>
      </c>
      <c r="G338">
        <v>1</v>
      </c>
      <c r="I338" s="11">
        <f t="shared" si="35"/>
        <v>45978</v>
      </c>
      <c r="J338" t="s">
        <v>44</v>
      </c>
      <c r="K338" t="str">
        <f t="shared" si="36"/>
        <v>/* NOVIEMBRE        */ { nombre: "Adviento, Semana I, LUNES", archivo: "/ev/ta/1/lunes.mp3", fecha: `${year}-11-17` },</v>
      </c>
      <c r="L338" s="10">
        <f t="shared" si="37"/>
        <v>45978</v>
      </c>
    </row>
    <row r="339" spans="1:12" hidden="1" x14ac:dyDescent="0.25">
      <c r="A339" t="str" cm="1">
        <f t="array" ref="A339">_xlfn.IFS(E339="Adviento","ta", E339="Navidad","tn", E339="Epifania","te", E339="Ordinario","to", E339="Cuaresma","tc", E339="Domingo De Ramos","tc", E339="Semana Santa","ss", E339="Triduo Pascual","tp", E339="Vigilia Pascual","tp", E339="Pascual","tp")</f>
        <v>ta</v>
      </c>
      <c r="B339" s="14" t="str">
        <f t="shared" si="32"/>
        <v>/* NOVIEMBRE        */</v>
      </c>
      <c r="C339" s="15">
        <f t="shared" si="33"/>
        <v>45979</v>
      </c>
      <c r="D339" s="9">
        <f t="shared" si="34"/>
        <v>45979</v>
      </c>
      <c r="E339" t="s">
        <v>46</v>
      </c>
      <c r="F339" t="s">
        <v>43</v>
      </c>
      <c r="G339">
        <v>1</v>
      </c>
      <c r="I339" s="11">
        <f t="shared" si="35"/>
        <v>45979</v>
      </c>
      <c r="J339" t="s">
        <v>44</v>
      </c>
      <c r="K339" t="str">
        <f t="shared" si="36"/>
        <v>/* NOVIEMBRE        */ { nombre: "Adviento, Semana I, MARTES", archivo: "/ev/ta/1/martes.mp3", fecha: `${year}-11-18` },</v>
      </c>
      <c r="L339" s="10">
        <f t="shared" si="37"/>
        <v>45979</v>
      </c>
    </row>
    <row r="340" spans="1:12" hidden="1" x14ac:dyDescent="0.25">
      <c r="A340" t="str" cm="1">
        <f t="array" ref="A340">_xlfn.IFS(E340="Adviento","ta", E340="Navidad","tn", E340="Epifania","te", E340="Ordinario","to", E340="Cuaresma","tc", E340="Domingo De Ramos","tc", E340="Semana Santa","ss", E340="Triduo Pascual","tp", E340="Vigilia Pascual","tp", E340="Pascual","tp")</f>
        <v>ta</v>
      </c>
      <c r="B340" s="14" t="str">
        <f t="shared" si="32"/>
        <v>/* NOVIEMBRE        */</v>
      </c>
      <c r="C340" s="15">
        <f t="shared" si="33"/>
        <v>45980</v>
      </c>
      <c r="D340" s="9">
        <f t="shared" si="34"/>
        <v>45980</v>
      </c>
      <c r="E340" t="s">
        <v>46</v>
      </c>
      <c r="F340" t="s">
        <v>43</v>
      </c>
      <c r="G340">
        <v>1</v>
      </c>
      <c r="I340" s="11">
        <f t="shared" si="35"/>
        <v>45980</v>
      </c>
      <c r="J340" t="s">
        <v>44</v>
      </c>
      <c r="K340" t="str">
        <f t="shared" si="36"/>
        <v>/* NOVIEMBRE        */ { nombre: "Adviento, Semana I, MIÉRCOLES", archivo: "/ev/ta/1/miércoles.mp3", fecha: `${year}-11-19` },</v>
      </c>
      <c r="L340" s="10">
        <f t="shared" si="37"/>
        <v>45980</v>
      </c>
    </row>
    <row r="341" spans="1:12" hidden="1" x14ac:dyDescent="0.25">
      <c r="A341" t="str" cm="1">
        <f t="array" ref="A341">_xlfn.IFS(E341="Adviento","ta", E341="Navidad","tn", E341="Epifania","te", E341="Ordinario","to", E341="Cuaresma","tc", E341="Domingo De Ramos","tc", E341="Semana Santa","ss", E341="Triduo Pascual","tp", E341="Vigilia Pascual","tp", E341="Pascual","tp")</f>
        <v>ta</v>
      </c>
      <c r="B341" s="14" t="str">
        <f t="shared" si="32"/>
        <v>/* NOVIEMBRE        */</v>
      </c>
      <c r="C341" s="15">
        <f t="shared" si="33"/>
        <v>45981</v>
      </c>
      <c r="D341" s="9">
        <f t="shared" si="34"/>
        <v>45981</v>
      </c>
      <c r="E341" t="s">
        <v>46</v>
      </c>
      <c r="F341" t="s">
        <v>43</v>
      </c>
      <c r="G341">
        <v>1</v>
      </c>
      <c r="I341" s="11">
        <f t="shared" si="35"/>
        <v>45981</v>
      </c>
      <c r="J341" t="s">
        <v>44</v>
      </c>
      <c r="K341" t="str">
        <f t="shared" si="36"/>
        <v>/* NOVIEMBRE        */ { nombre: "Adviento, Semana I, JUEVES", archivo: "/ev/ta/1/jueves.mp3", fecha: `${year}-11-20` },</v>
      </c>
      <c r="L341" s="10">
        <f t="shared" si="37"/>
        <v>45981</v>
      </c>
    </row>
    <row r="342" spans="1:12" hidden="1" x14ac:dyDescent="0.25">
      <c r="A342" t="str" cm="1">
        <f t="array" ref="A342">_xlfn.IFS(E342="Adviento","ta", E342="Navidad","tn", E342="Epifania","te", E342="Ordinario","to", E342="Cuaresma","tc", E342="Domingo De Ramos","tc", E342="Semana Santa","ss", E342="Triduo Pascual","tp", E342="Vigilia Pascual","tp", E342="Pascual","tp")</f>
        <v>ta</v>
      </c>
      <c r="B342" s="14" t="str">
        <f t="shared" ref="B342:B405" si="38">_xlfn.CONCAT("/* ",UPPER(TEXT(D342,"[$-es-ES]mmmm")),"        */")</f>
        <v>/* NOVIEMBRE        */</v>
      </c>
      <c r="C342" s="15">
        <f t="shared" si="33"/>
        <v>45982</v>
      </c>
      <c r="D342" s="9">
        <f t="shared" si="34"/>
        <v>45982</v>
      </c>
      <c r="E342" t="s">
        <v>46</v>
      </c>
      <c r="F342" t="s">
        <v>43</v>
      </c>
      <c r="G342">
        <v>1</v>
      </c>
      <c r="I342" s="11">
        <f t="shared" si="35"/>
        <v>45982</v>
      </c>
      <c r="J342" t="s">
        <v>44</v>
      </c>
      <c r="K342" t="str">
        <f t="shared" si="36"/>
        <v>/* NOVIEMBRE        */ { nombre: "Adviento, Semana I, VIERNES", archivo: "/ev/ta/1/viernes.mp3", fecha: `${year}-11-21` },</v>
      </c>
      <c r="L342" s="10">
        <f t="shared" si="37"/>
        <v>45982</v>
      </c>
    </row>
    <row r="343" spans="1:12" hidden="1" x14ac:dyDescent="0.25">
      <c r="A343" t="str" cm="1">
        <f t="array" ref="A343">_xlfn.IFS(E343="Adviento","ta", E343="Navidad","tn", E343="Epifania","te", E343="Ordinario","to", E343="Cuaresma","tc", E343="Domingo De Ramos","tc", E343="Semana Santa","ss", E343="Triduo Pascual","tp", E343="Vigilia Pascual","tp", E343="Pascual","tp")</f>
        <v>ta</v>
      </c>
      <c r="B343" s="14" t="str">
        <f t="shared" si="38"/>
        <v>/* NOVIEMBRE        */</v>
      </c>
      <c r="C343" s="15">
        <f t="shared" si="33"/>
        <v>45983</v>
      </c>
      <c r="D343" s="9">
        <f t="shared" si="34"/>
        <v>45983</v>
      </c>
      <c r="E343" t="s">
        <v>46</v>
      </c>
      <c r="F343" t="s">
        <v>43</v>
      </c>
      <c r="G343">
        <v>1</v>
      </c>
      <c r="I343" s="11">
        <f t="shared" si="35"/>
        <v>45983</v>
      </c>
      <c r="J343" t="s">
        <v>44</v>
      </c>
      <c r="K343" t="str">
        <f t="shared" si="36"/>
        <v>/* NOVIEMBRE        */ { nombre: "Adviento, Semana I, SÁBADO", archivo: "/ev/ta/1/sábado.mp3", fecha: `${year}-11-22` },</v>
      </c>
      <c r="L343" s="10">
        <f t="shared" si="37"/>
        <v>45983</v>
      </c>
    </row>
    <row r="344" spans="1:12" hidden="1" x14ac:dyDescent="0.25">
      <c r="A344" t="str" cm="1">
        <f t="array" ref="A344">_xlfn.IFS(E344="Adviento","ta", E344="Navidad","tn", E344="Epifania","te", E344="Ordinario","to", E344="Cuaresma","tc", E344="Domingo De Ramos","tc", E344="Semana Santa","ss", E344="Triduo Pascual","tp", E344="Vigilia Pascual","tp", E344="Pascual","tp")</f>
        <v>ta</v>
      </c>
      <c r="B344" s="14" t="str">
        <f t="shared" si="38"/>
        <v>/* NOVIEMBRE        */</v>
      </c>
      <c r="C344" s="15">
        <f t="shared" si="33"/>
        <v>45984</v>
      </c>
      <c r="D344" s="9">
        <f t="shared" si="34"/>
        <v>45984</v>
      </c>
      <c r="E344" t="s">
        <v>46</v>
      </c>
      <c r="F344" t="s">
        <v>43</v>
      </c>
      <c r="G344">
        <v>1</v>
      </c>
      <c r="I344" s="11">
        <f t="shared" si="35"/>
        <v>45984</v>
      </c>
      <c r="J344" t="s">
        <v>44</v>
      </c>
      <c r="K344" t="str">
        <f t="shared" si="36"/>
        <v>/* NOVIEMBRE        */ { nombre: "Adviento, Semana I, DOMINGO", archivo: "/ev/ta/1/domingo.mp3", fecha: `${year}-11-23` },</v>
      </c>
      <c r="L344" s="10">
        <f t="shared" si="37"/>
        <v>45984</v>
      </c>
    </row>
    <row r="345" spans="1:12" hidden="1" x14ac:dyDescent="0.25">
      <c r="A345" t="str" cm="1">
        <f t="array" ref="A345">_xlfn.IFS(E345="Adviento","ta", E345="Navidad","tn", E345="Epifania","te", E345="Ordinario","to", E345="Cuaresma","tc", E345="Domingo De Ramos","tc", E345="Semana Santa","ss", E345="Triduo Pascual","tp", E345="Vigilia Pascual","tp", E345="Pascual","tp")</f>
        <v>ta</v>
      </c>
      <c r="B345" s="14" t="str">
        <f t="shared" si="38"/>
        <v>/* NOVIEMBRE        */</v>
      </c>
      <c r="C345" s="15">
        <f t="shared" si="33"/>
        <v>45985</v>
      </c>
      <c r="D345" s="9">
        <f t="shared" si="34"/>
        <v>45985</v>
      </c>
      <c r="E345" t="s">
        <v>46</v>
      </c>
      <c r="F345" t="s">
        <v>43</v>
      </c>
      <c r="G345">
        <v>1</v>
      </c>
      <c r="I345" s="11">
        <f t="shared" si="35"/>
        <v>45985</v>
      </c>
      <c r="J345" t="s">
        <v>44</v>
      </c>
      <c r="K345" t="str">
        <f t="shared" si="36"/>
        <v>/* NOVIEMBRE        */ { nombre: "Adviento, Semana I, LUNES", archivo: "/ev/ta/1/lunes.mp3", fecha: `${year}-11-24` },</v>
      </c>
      <c r="L345" s="10">
        <f t="shared" si="37"/>
        <v>45985</v>
      </c>
    </row>
    <row r="346" spans="1:12" hidden="1" x14ac:dyDescent="0.25">
      <c r="A346" t="str" cm="1">
        <f t="array" ref="A346">_xlfn.IFS(E346="Adviento","ta", E346="Navidad","tn", E346="Epifania","te", E346="Ordinario","to", E346="Cuaresma","tc", E346="Domingo De Ramos","tc", E346="Semana Santa","ss", E346="Triduo Pascual","tp", E346="Vigilia Pascual","tp", E346="Pascual","tp")</f>
        <v>ta</v>
      </c>
      <c r="B346" s="14" t="str">
        <f t="shared" si="38"/>
        <v>/* NOVIEMBRE        */</v>
      </c>
      <c r="C346" s="15">
        <f t="shared" si="33"/>
        <v>45986</v>
      </c>
      <c r="D346" s="9">
        <f t="shared" si="34"/>
        <v>45986</v>
      </c>
      <c r="E346" t="s">
        <v>46</v>
      </c>
      <c r="F346" t="s">
        <v>43</v>
      </c>
      <c r="G346">
        <v>1</v>
      </c>
      <c r="I346" s="11">
        <f t="shared" si="35"/>
        <v>45986</v>
      </c>
      <c r="J346" t="s">
        <v>44</v>
      </c>
      <c r="K346" t="str">
        <f t="shared" si="36"/>
        <v>/* NOVIEMBRE        */ { nombre: "Adviento, Semana I, MARTES", archivo: "/ev/ta/1/martes.mp3", fecha: `${year}-11-25` },</v>
      </c>
      <c r="L346" s="10">
        <f t="shared" si="37"/>
        <v>45986</v>
      </c>
    </row>
    <row r="347" spans="1:12" hidden="1" x14ac:dyDescent="0.25">
      <c r="A347" t="str" cm="1">
        <f t="array" ref="A347">_xlfn.IFS(E347="Adviento","ta", E347="Navidad","tn", E347="Epifania","te", E347="Ordinario","to", E347="Cuaresma","tc", E347="Domingo De Ramos","tc", E347="Semana Santa","ss", E347="Triduo Pascual","tp", E347="Vigilia Pascual","tp", E347="Pascual","tp")</f>
        <v>ta</v>
      </c>
      <c r="B347" s="14" t="str">
        <f t="shared" si="38"/>
        <v>/* NOVIEMBRE        */</v>
      </c>
      <c r="C347" s="15">
        <f t="shared" si="33"/>
        <v>45987</v>
      </c>
      <c r="D347" s="9">
        <f t="shared" si="34"/>
        <v>45987</v>
      </c>
      <c r="E347" t="s">
        <v>46</v>
      </c>
      <c r="F347" t="s">
        <v>43</v>
      </c>
      <c r="G347">
        <v>1</v>
      </c>
      <c r="I347" s="11">
        <f t="shared" si="35"/>
        <v>45987</v>
      </c>
      <c r="J347" t="s">
        <v>44</v>
      </c>
      <c r="K347" t="str">
        <f t="shared" si="36"/>
        <v>/* NOVIEMBRE        */ { nombre: "Adviento, Semana I, MIÉRCOLES", archivo: "/ev/ta/1/miércoles.mp3", fecha: `${year}-11-26` },</v>
      </c>
      <c r="L347" s="10">
        <f t="shared" si="37"/>
        <v>45987</v>
      </c>
    </row>
    <row r="348" spans="1:12" hidden="1" x14ac:dyDescent="0.25">
      <c r="A348" t="str" cm="1">
        <f t="array" ref="A348">_xlfn.IFS(E348="Adviento","ta", E348="Navidad","tn", E348="Epifania","te", E348="Ordinario","to", E348="Cuaresma","tc", E348="Domingo De Ramos","tc", E348="Semana Santa","ss", E348="Triduo Pascual","tp", E348="Vigilia Pascual","tp", E348="Pascual","tp")</f>
        <v>ta</v>
      </c>
      <c r="B348" s="14" t="str">
        <f t="shared" si="38"/>
        <v>/* NOVIEMBRE        */</v>
      </c>
      <c r="C348" s="15">
        <f t="shared" si="33"/>
        <v>45988</v>
      </c>
      <c r="D348" s="9">
        <f t="shared" si="34"/>
        <v>45988</v>
      </c>
      <c r="E348" t="s">
        <v>46</v>
      </c>
      <c r="F348" t="s">
        <v>43</v>
      </c>
      <c r="G348">
        <v>1</v>
      </c>
      <c r="I348" s="11">
        <f t="shared" si="35"/>
        <v>45988</v>
      </c>
      <c r="J348" t="s">
        <v>44</v>
      </c>
      <c r="K348" t="str">
        <f t="shared" si="36"/>
        <v>/* NOVIEMBRE        */ { nombre: "Adviento, Semana I, JUEVES", archivo: "/ev/ta/1/jueves.mp3", fecha: `${year}-11-27` },</v>
      </c>
      <c r="L348" s="10">
        <f t="shared" si="37"/>
        <v>45988</v>
      </c>
    </row>
    <row r="349" spans="1:12" hidden="1" x14ac:dyDescent="0.25">
      <c r="A349" t="str" cm="1">
        <f t="array" ref="A349">_xlfn.IFS(E349="Adviento","ta", E349="Navidad","tn", E349="Epifania","te", E349="Ordinario","to", E349="Cuaresma","tc", E349="Domingo De Ramos","tc", E349="Semana Santa","ss", E349="Triduo Pascual","tp", E349="Vigilia Pascual","tp", E349="Pascual","tp")</f>
        <v>ta</v>
      </c>
      <c r="B349" s="14" t="str">
        <f t="shared" si="38"/>
        <v>/* NOVIEMBRE        */</v>
      </c>
      <c r="C349" s="15">
        <f t="shared" si="33"/>
        <v>45989</v>
      </c>
      <c r="D349" s="9">
        <f t="shared" si="34"/>
        <v>45989</v>
      </c>
      <c r="E349" t="s">
        <v>46</v>
      </c>
      <c r="F349" t="s">
        <v>43</v>
      </c>
      <c r="G349">
        <v>1</v>
      </c>
      <c r="I349" s="11">
        <f t="shared" si="35"/>
        <v>45989</v>
      </c>
      <c r="J349" t="s">
        <v>44</v>
      </c>
      <c r="K349" t="str">
        <f t="shared" si="36"/>
        <v>/* NOVIEMBRE        */ { nombre: "Adviento, Semana I, VIERNES", archivo: "/ev/ta/1/viernes.mp3", fecha: `${year}-11-28` },</v>
      </c>
      <c r="L349" s="10">
        <f t="shared" si="37"/>
        <v>45989</v>
      </c>
    </row>
    <row r="350" spans="1:12" hidden="1" x14ac:dyDescent="0.25">
      <c r="A350" t="str" cm="1">
        <f t="array" ref="A350">_xlfn.IFS(E350="Adviento","ta", E350="Navidad","tn", E350="Epifania","te", E350="Ordinario","to", E350="Cuaresma","tc", E350="Domingo De Ramos","tc", E350="Semana Santa","ss", E350="Triduo Pascual","tp", E350="Vigilia Pascual","tp", E350="Pascual","tp")</f>
        <v>ta</v>
      </c>
      <c r="B350" s="14" t="str">
        <f t="shared" si="38"/>
        <v>/* NOVIEMBRE        */</v>
      </c>
      <c r="C350" s="15">
        <f t="shared" si="33"/>
        <v>45990</v>
      </c>
      <c r="D350" s="9">
        <f t="shared" si="34"/>
        <v>45990</v>
      </c>
      <c r="E350" t="s">
        <v>46</v>
      </c>
      <c r="F350" t="s">
        <v>43</v>
      </c>
      <c r="G350">
        <v>1</v>
      </c>
      <c r="I350" s="11">
        <f t="shared" si="35"/>
        <v>45990</v>
      </c>
      <c r="J350" t="s">
        <v>44</v>
      </c>
      <c r="K350" t="str">
        <f t="shared" si="36"/>
        <v>/* NOVIEMBRE        */ { nombre: "Adviento, Semana I, SÁBADO", archivo: "/ev/ta/1/sábado.mp3", fecha: `${year}-11-29` },</v>
      </c>
      <c r="L350" s="10">
        <f t="shared" si="37"/>
        <v>45990</v>
      </c>
    </row>
    <row r="351" spans="1:12" hidden="1" x14ac:dyDescent="0.25">
      <c r="A351" t="str" cm="1">
        <f t="array" ref="A351">_xlfn.IFS(E351="Adviento","ta", E351="Navidad","tn", E351="Epifania","te", E351="Ordinario","to", E351="Cuaresma","tc", E351="Domingo De Ramos","tc", E351="Semana Santa","ss", E351="Triduo Pascual","tp", E351="Vigilia Pascual","tp", E351="Pascual","tp")</f>
        <v>ta</v>
      </c>
      <c r="B351" s="14" t="str">
        <f t="shared" si="38"/>
        <v>/* NOVIEMBRE        */</v>
      </c>
      <c r="C351" s="15">
        <f t="shared" si="33"/>
        <v>45991</v>
      </c>
      <c r="D351" s="9">
        <f t="shared" si="34"/>
        <v>45991</v>
      </c>
      <c r="E351" t="s">
        <v>46</v>
      </c>
      <c r="F351" t="s">
        <v>43</v>
      </c>
      <c r="G351">
        <v>1</v>
      </c>
      <c r="I351" s="11">
        <f t="shared" si="35"/>
        <v>45991</v>
      </c>
      <c r="J351" t="s">
        <v>44</v>
      </c>
      <c r="K351" t="str">
        <f t="shared" si="36"/>
        <v>/* NOVIEMBRE        */ { nombre: "Adviento, Semana I, DOMINGO", archivo: "/ev/ta/1/domingo.mp3", fecha: `${year}-11-30` },</v>
      </c>
      <c r="L351" s="10">
        <f t="shared" si="37"/>
        <v>45991</v>
      </c>
    </row>
    <row r="352" spans="1:12" hidden="1" x14ac:dyDescent="0.25">
      <c r="A352" t="str" cm="1">
        <f t="array" ref="A352">_xlfn.IFS(E352="Adviento","ta", E352="Navidad","tn", E352="Epifania","te", E352="Ordinario","to", E352="Cuaresma","tc", E352="Domingo De Ramos","tc", E352="Semana Santa","ss", E352="Triduo Pascual","tp", E352="Vigilia Pascual","tp", E352="Pascual","tp")</f>
        <v>ta</v>
      </c>
      <c r="B352" s="14" t="str">
        <f t="shared" si="38"/>
        <v>/* DICIEMBRE        */</v>
      </c>
      <c r="C352" s="15">
        <f t="shared" si="33"/>
        <v>45992</v>
      </c>
      <c r="D352" s="9">
        <f t="shared" si="34"/>
        <v>45992</v>
      </c>
      <c r="E352" t="s">
        <v>46</v>
      </c>
      <c r="F352" t="s">
        <v>43</v>
      </c>
      <c r="G352">
        <v>1</v>
      </c>
      <c r="I352" s="11">
        <f t="shared" si="35"/>
        <v>45992</v>
      </c>
      <c r="J352" t="s">
        <v>44</v>
      </c>
      <c r="K352" t="str">
        <f t="shared" si="36"/>
        <v>/* DICIEMBRE        */ { nombre: "Adviento, Semana I, LUNES", archivo: "/ev/ta/1/lunes.mp3", fecha: `${year}-12-01` },</v>
      </c>
      <c r="L352" s="10">
        <f t="shared" si="37"/>
        <v>45992</v>
      </c>
    </row>
    <row r="353" spans="1:12" hidden="1" x14ac:dyDescent="0.25">
      <c r="A353" t="str" cm="1">
        <f t="array" ref="A353">_xlfn.IFS(E353="Adviento","ta", E353="Navidad","tn", E353="Epifania","te", E353="Ordinario","to", E353="Cuaresma","tc", E353="Domingo De Ramos","tc", E353="Semana Santa","ss", E353="Triduo Pascual","tp", E353="Vigilia Pascual","tp", E353="Pascual","tp")</f>
        <v>ta</v>
      </c>
      <c r="B353" s="14" t="str">
        <f t="shared" si="38"/>
        <v>/* DICIEMBRE        */</v>
      </c>
      <c r="C353" s="15">
        <f t="shared" si="33"/>
        <v>45993</v>
      </c>
      <c r="D353" s="9">
        <f t="shared" si="34"/>
        <v>45993</v>
      </c>
      <c r="E353" t="s">
        <v>46</v>
      </c>
      <c r="F353" t="s">
        <v>43</v>
      </c>
      <c r="G353">
        <v>1</v>
      </c>
      <c r="I353" s="11">
        <f t="shared" si="35"/>
        <v>45993</v>
      </c>
      <c r="J353" t="s">
        <v>44</v>
      </c>
      <c r="K353" t="str">
        <f t="shared" si="36"/>
        <v>/* DICIEMBRE        */ { nombre: "Adviento, Semana I, MARTES", archivo: "/ev/ta/1/martes.mp3", fecha: `${year}-12-02` },</v>
      </c>
      <c r="L353" s="10">
        <f t="shared" si="37"/>
        <v>45993</v>
      </c>
    </row>
    <row r="354" spans="1:12" hidden="1" x14ac:dyDescent="0.25">
      <c r="A354" t="str" cm="1">
        <f t="array" ref="A354">_xlfn.IFS(E354="Adviento","ta", E354="Navidad","tn", E354="Epifania","te", E354="Ordinario","to", E354="Cuaresma","tc", E354="Domingo De Ramos","tc", E354="Semana Santa","ss", E354="Triduo Pascual","tp", E354="Vigilia Pascual","tp", E354="Pascual","tp")</f>
        <v>ta</v>
      </c>
      <c r="B354" s="14" t="str">
        <f t="shared" si="38"/>
        <v>/* DICIEMBRE        */</v>
      </c>
      <c r="C354" s="15">
        <f t="shared" si="33"/>
        <v>45994</v>
      </c>
      <c r="D354" s="9">
        <f t="shared" si="34"/>
        <v>45994</v>
      </c>
      <c r="E354" t="s">
        <v>46</v>
      </c>
      <c r="F354" t="s">
        <v>43</v>
      </c>
      <c r="G354">
        <v>1</v>
      </c>
      <c r="I354" s="11">
        <f t="shared" si="35"/>
        <v>45994</v>
      </c>
      <c r="J354" t="s">
        <v>44</v>
      </c>
      <c r="K354" t="str">
        <f t="shared" si="36"/>
        <v>/* DICIEMBRE        */ { nombre: "Adviento, Semana I, MIÉRCOLES", archivo: "/ev/ta/1/miércoles.mp3", fecha: `${year}-12-03` },</v>
      </c>
      <c r="L354" s="10">
        <f t="shared" si="37"/>
        <v>45994</v>
      </c>
    </row>
    <row r="355" spans="1:12" hidden="1" x14ac:dyDescent="0.25">
      <c r="A355" t="str" cm="1">
        <f t="array" ref="A355">_xlfn.IFS(E355="Adviento","ta", E355="Navidad","tn", E355="Epifania","te", E355="Ordinario","to", E355="Cuaresma","tc", E355="Domingo De Ramos","tc", E355="Semana Santa","ss", E355="Triduo Pascual","tp", E355="Vigilia Pascual","tp", E355="Pascual","tp")</f>
        <v>ta</v>
      </c>
      <c r="B355" s="14" t="str">
        <f t="shared" si="38"/>
        <v>/* DICIEMBRE        */</v>
      </c>
      <c r="C355" s="15">
        <f t="shared" si="33"/>
        <v>45995</v>
      </c>
      <c r="D355" s="9">
        <f t="shared" si="34"/>
        <v>45995</v>
      </c>
      <c r="E355" t="s">
        <v>46</v>
      </c>
      <c r="F355" t="s">
        <v>43</v>
      </c>
      <c r="G355">
        <v>1</v>
      </c>
      <c r="I355" s="11">
        <f t="shared" si="35"/>
        <v>45995</v>
      </c>
      <c r="J355" t="s">
        <v>44</v>
      </c>
      <c r="K355" t="str">
        <f t="shared" si="36"/>
        <v>/* DICIEMBRE        */ { nombre: "Adviento, Semana I, JUEVES", archivo: "/ev/ta/1/jueves.mp3", fecha: `${year}-12-04` },</v>
      </c>
      <c r="L355" s="10">
        <f t="shared" si="37"/>
        <v>45995</v>
      </c>
    </row>
    <row r="356" spans="1:12" hidden="1" x14ac:dyDescent="0.25">
      <c r="A356" t="str" cm="1">
        <f t="array" ref="A356">_xlfn.IFS(E356="Adviento","ta", E356="Navidad","tn", E356="Epifania","te", E356="Ordinario","to", E356="Cuaresma","tc", E356="Domingo De Ramos","tc", E356="Semana Santa","ss", E356="Triduo Pascual","tp", E356="Vigilia Pascual","tp", E356="Pascual","tp")</f>
        <v>ta</v>
      </c>
      <c r="B356" s="14" t="str">
        <f t="shared" si="38"/>
        <v>/* DICIEMBRE        */</v>
      </c>
      <c r="C356" s="15">
        <f t="shared" si="33"/>
        <v>45996</v>
      </c>
      <c r="D356" s="9">
        <f t="shared" si="34"/>
        <v>45996</v>
      </c>
      <c r="E356" t="s">
        <v>46</v>
      </c>
      <c r="F356" t="s">
        <v>43</v>
      </c>
      <c r="G356">
        <v>1</v>
      </c>
      <c r="I356" s="11">
        <f t="shared" si="35"/>
        <v>45996</v>
      </c>
      <c r="J356" t="s">
        <v>44</v>
      </c>
      <c r="K356" t="str">
        <f t="shared" si="36"/>
        <v>/* DICIEMBRE        */ { nombre: "Adviento, Semana I, VIERNES", archivo: "/ev/ta/1/viernes.mp3", fecha: `${year}-12-05` },</v>
      </c>
      <c r="L356" s="10">
        <f t="shared" si="37"/>
        <v>45996</v>
      </c>
    </row>
    <row r="357" spans="1:12" hidden="1" x14ac:dyDescent="0.25">
      <c r="A357" t="str" cm="1">
        <f t="array" ref="A357">_xlfn.IFS(E357="Adviento","ta", E357="Navidad","tn", E357="Epifania","te", E357="Ordinario","to", E357="Cuaresma","tc", E357="Domingo De Ramos","tc", E357="Semana Santa","ss", E357="Triduo Pascual","tp", E357="Vigilia Pascual","tp", E357="Pascual","tp")</f>
        <v>ta</v>
      </c>
      <c r="B357" s="14" t="str">
        <f t="shared" si="38"/>
        <v>/* DICIEMBRE        */</v>
      </c>
      <c r="C357" s="15">
        <f t="shared" si="33"/>
        <v>45997</v>
      </c>
      <c r="D357" s="9">
        <f t="shared" si="34"/>
        <v>45997</v>
      </c>
      <c r="E357" t="s">
        <v>46</v>
      </c>
      <c r="F357" t="s">
        <v>43</v>
      </c>
      <c r="G357">
        <v>1</v>
      </c>
      <c r="I357" s="11">
        <f t="shared" si="35"/>
        <v>45997</v>
      </c>
      <c r="J357" t="s">
        <v>44</v>
      </c>
      <c r="K357" t="str">
        <f t="shared" si="36"/>
        <v>/* DICIEMBRE        */ { nombre: "Adviento, Semana I, SÁBADO", archivo: "/ev/ta/1/sábado.mp3", fecha: `${year}-12-06` },</v>
      </c>
      <c r="L357" s="10">
        <f t="shared" si="37"/>
        <v>45997</v>
      </c>
    </row>
    <row r="358" spans="1:12" hidden="1" x14ac:dyDescent="0.25">
      <c r="A358" t="str" cm="1">
        <f t="array" ref="A358">_xlfn.IFS(E358="Adviento","ta", E358="Navidad","tn", E358="Epifania","te", E358="Ordinario","to", E358="Cuaresma","tc", E358="Domingo De Ramos","tc", E358="Semana Santa","ss", E358="Triduo Pascual","tp", E358="Vigilia Pascual","tp", E358="Pascual","tp")</f>
        <v>ta</v>
      </c>
      <c r="B358" s="14" t="str">
        <f t="shared" si="38"/>
        <v>/* DICIEMBRE        */</v>
      </c>
      <c r="C358" s="15">
        <f t="shared" si="33"/>
        <v>45998</v>
      </c>
      <c r="D358" s="9">
        <f t="shared" si="34"/>
        <v>45998</v>
      </c>
      <c r="E358" t="s">
        <v>46</v>
      </c>
      <c r="F358" t="s">
        <v>43</v>
      </c>
      <c r="G358">
        <v>1</v>
      </c>
      <c r="I358" s="11">
        <f t="shared" si="35"/>
        <v>45998</v>
      </c>
      <c r="J358" t="s">
        <v>44</v>
      </c>
      <c r="K358" t="str">
        <f t="shared" si="36"/>
        <v>/* DICIEMBRE        */ { nombre: "Adviento, Semana I, DOMINGO", archivo: "/ev/ta/1/domingo.mp3", fecha: `${year}-12-07` },</v>
      </c>
      <c r="L358" s="10">
        <f t="shared" si="37"/>
        <v>45998</v>
      </c>
    </row>
    <row r="359" spans="1:12" hidden="1" x14ac:dyDescent="0.25">
      <c r="A359" t="str" cm="1">
        <f t="array" ref="A359">_xlfn.IFS(E359="Adviento","ta", E359="Navidad","tn", E359="Epifania","te", E359="Ordinario","to", E359="Cuaresma","tc", E359="Domingo De Ramos","tc", E359="Semana Santa","ss", E359="Triduo Pascual","tp", E359="Vigilia Pascual","tp", E359="Pascual","tp")</f>
        <v>ta</v>
      </c>
      <c r="B359" s="14" t="str">
        <f t="shared" si="38"/>
        <v>/* DICIEMBRE        */</v>
      </c>
      <c r="C359" s="15">
        <f t="shared" si="33"/>
        <v>45999</v>
      </c>
      <c r="D359" s="9">
        <f t="shared" si="34"/>
        <v>45999</v>
      </c>
      <c r="E359" t="s">
        <v>46</v>
      </c>
      <c r="F359" t="s">
        <v>43</v>
      </c>
      <c r="G359">
        <v>1</v>
      </c>
      <c r="I359" s="11">
        <f t="shared" si="35"/>
        <v>45999</v>
      </c>
      <c r="J359" t="s">
        <v>44</v>
      </c>
      <c r="K359" t="str">
        <f t="shared" si="36"/>
        <v>/* DICIEMBRE        */ { nombre: "Adviento, Semana I, LUNES", archivo: "/ev/ta/1/lunes.mp3", fecha: `${year}-12-08` },</v>
      </c>
      <c r="L359" s="10">
        <f t="shared" si="37"/>
        <v>45999</v>
      </c>
    </row>
    <row r="360" spans="1:12" hidden="1" x14ac:dyDescent="0.25">
      <c r="A360" t="str" cm="1">
        <f t="array" ref="A360">_xlfn.IFS(E360="Adviento","ta", E360="Navidad","tn", E360="Epifania","te", E360="Ordinario","to", E360="Cuaresma","tc", E360="Domingo De Ramos","tc", E360="Semana Santa","ss", E360="Triduo Pascual","tp", E360="Vigilia Pascual","tp", E360="Pascual","tp")</f>
        <v>ta</v>
      </c>
      <c r="B360" s="14" t="str">
        <f t="shared" si="38"/>
        <v>/* DICIEMBRE        */</v>
      </c>
      <c r="C360" s="15">
        <f t="shared" si="33"/>
        <v>46000</v>
      </c>
      <c r="D360" s="9">
        <f t="shared" si="34"/>
        <v>46000</v>
      </c>
      <c r="E360" t="s">
        <v>46</v>
      </c>
      <c r="F360" t="s">
        <v>43</v>
      </c>
      <c r="G360">
        <v>1</v>
      </c>
      <c r="I360" s="11">
        <f t="shared" si="35"/>
        <v>46000</v>
      </c>
      <c r="J360" t="s">
        <v>44</v>
      </c>
      <c r="K360" t="str">
        <f t="shared" si="36"/>
        <v>/* DICIEMBRE        */ { nombre: "Adviento, Semana I, MARTES", archivo: "/ev/ta/1/martes.mp3", fecha: `${year}-12-09` },</v>
      </c>
      <c r="L360" s="10">
        <f t="shared" si="37"/>
        <v>46000</v>
      </c>
    </row>
    <row r="361" spans="1:12" hidden="1" x14ac:dyDescent="0.25">
      <c r="A361" t="str" cm="1">
        <f t="array" ref="A361">_xlfn.IFS(E361="Adviento","ta", E361="Navidad","tn", E361="Epifania","te", E361="Ordinario","to", E361="Cuaresma","tc", E361="Domingo De Ramos","tc", E361="Semana Santa","ss", E361="Triduo Pascual","tp", E361="Vigilia Pascual","tp", E361="Pascual","tp")</f>
        <v>ta</v>
      </c>
      <c r="B361" s="14" t="str">
        <f t="shared" si="38"/>
        <v>/* DICIEMBRE        */</v>
      </c>
      <c r="C361" s="15">
        <f t="shared" si="33"/>
        <v>46001</v>
      </c>
      <c r="D361" s="9">
        <f t="shared" si="34"/>
        <v>46001</v>
      </c>
      <c r="E361" t="s">
        <v>46</v>
      </c>
      <c r="F361" t="s">
        <v>43</v>
      </c>
      <c r="G361">
        <v>1</v>
      </c>
      <c r="I361" s="11">
        <f t="shared" si="35"/>
        <v>46001</v>
      </c>
      <c r="J361" t="s">
        <v>44</v>
      </c>
      <c r="K361" t="str">
        <f t="shared" si="36"/>
        <v>/* DICIEMBRE        */ { nombre: "Adviento, Semana I, MIÉRCOLES", archivo: "/ev/ta/1/miércoles.mp3", fecha: `${year}-12-10` },</v>
      </c>
      <c r="L361" s="10">
        <f t="shared" si="37"/>
        <v>46001</v>
      </c>
    </row>
    <row r="362" spans="1:12" hidden="1" x14ac:dyDescent="0.25">
      <c r="A362" t="str" cm="1">
        <f t="array" ref="A362">_xlfn.IFS(E362="Adviento","ta", E362="Navidad","tn", E362="Epifania","te", E362="Ordinario","to", E362="Cuaresma","tc", E362="Domingo De Ramos","tc", E362="Semana Santa","ss", E362="Triduo Pascual","tp", E362="Vigilia Pascual","tp", E362="Pascual","tp")</f>
        <v>ta</v>
      </c>
      <c r="B362" s="14" t="str">
        <f t="shared" si="38"/>
        <v>/* DICIEMBRE        */</v>
      </c>
      <c r="C362" s="15">
        <f t="shared" si="33"/>
        <v>46002</v>
      </c>
      <c r="D362" s="9">
        <f t="shared" si="34"/>
        <v>46002</v>
      </c>
      <c r="E362" t="s">
        <v>46</v>
      </c>
      <c r="F362" t="s">
        <v>43</v>
      </c>
      <c r="G362">
        <v>1</v>
      </c>
      <c r="I362" s="11">
        <f t="shared" si="35"/>
        <v>46002</v>
      </c>
      <c r="J362" t="s">
        <v>44</v>
      </c>
      <c r="K362" t="str">
        <f t="shared" si="36"/>
        <v>/* DICIEMBRE        */ { nombre: "Adviento, Semana I, JUEVES", archivo: "/ev/ta/1/jueves.mp3", fecha: `${year}-12-11` },</v>
      </c>
      <c r="L362" s="10">
        <f t="shared" si="37"/>
        <v>46002</v>
      </c>
    </row>
    <row r="363" spans="1:12" hidden="1" x14ac:dyDescent="0.25">
      <c r="A363" t="str" cm="1">
        <f t="array" ref="A363">_xlfn.IFS(E363="Adviento","ta", E363="Navidad","tn", E363="Epifania","te", E363="Ordinario","to", E363="Cuaresma","tc", E363="Domingo De Ramos","tc", E363="Semana Santa","ss", E363="Triduo Pascual","tp", E363="Vigilia Pascual","tp", E363="Pascual","tp")</f>
        <v>ta</v>
      </c>
      <c r="B363" s="14" t="str">
        <f t="shared" si="38"/>
        <v>/* DICIEMBRE        */</v>
      </c>
      <c r="C363" s="15">
        <f t="shared" si="33"/>
        <v>46003</v>
      </c>
      <c r="D363" s="9">
        <f t="shared" si="34"/>
        <v>46003</v>
      </c>
      <c r="E363" t="s">
        <v>46</v>
      </c>
      <c r="F363" t="s">
        <v>43</v>
      </c>
      <c r="G363">
        <v>1</v>
      </c>
      <c r="I363" s="11">
        <f t="shared" si="35"/>
        <v>46003</v>
      </c>
      <c r="J363" t="s">
        <v>44</v>
      </c>
      <c r="K363" t="str">
        <f t="shared" si="36"/>
        <v>/* DICIEMBRE        */ { nombre: "Adviento, Semana I, VIERNES", archivo: "/ev/ta/1/viernes.mp3", fecha: `${year}-12-12` },</v>
      </c>
      <c r="L363" s="10">
        <f t="shared" si="37"/>
        <v>46003</v>
      </c>
    </row>
    <row r="364" spans="1:12" hidden="1" x14ac:dyDescent="0.25">
      <c r="A364" t="str" cm="1">
        <f t="array" ref="A364">_xlfn.IFS(E364="Adviento","ta", E364="Navidad","tn", E364="Epifania","te", E364="Ordinario","to", E364="Cuaresma","tc", E364="Domingo De Ramos","tc", E364="Semana Santa","ss", E364="Triduo Pascual","tp", E364="Vigilia Pascual","tp", E364="Pascual","tp")</f>
        <v>ta</v>
      </c>
      <c r="B364" s="14" t="str">
        <f t="shared" si="38"/>
        <v>/* DICIEMBRE        */</v>
      </c>
      <c r="C364" s="15">
        <f t="shared" si="33"/>
        <v>46004</v>
      </c>
      <c r="D364" s="9">
        <f t="shared" si="34"/>
        <v>46004</v>
      </c>
      <c r="E364" t="s">
        <v>46</v>
      </c>
      <c r="F364" t="s">
        <v>43</v>
      </c>
      <c r="G364">
        <v>1</v>
      </c>
      <c r="I364" s="11">
        <f t="shared" si="35"/>
        <v>46004</v>
      </c>
      <c r="J364" t="s">
        <v>44</v>
      </c>
      <c r="K364" t="str">
        <f t="shared" si="36"/>
        <v>/* DICIEMBRE        */ { nombre: "Adviento, Semana I, SÁBADO", archivo: "/ev/ta/1/sábado.mp3", fecha: `${year}-12-13` },</v>
      </c>
      <c r="L364" s="10">
        <f t="shared" si="37"/>
        <v>46004</v>
      </c>
    </row>
    <row r="365" spans="1:12" hidden="1" x14ac:dyDescent="0.25">
      <c r="A365" t="str" cm="1">
        <f t="array" ref="A365">_xlfn.IFS(E365="Adviento","ta", E365="Navidad","tn", E365="Epifania","te", E365="Ordinario","to", E365="Cuaresma","tc", E365="Domingo De Ramos","tc", E365="Semana Santa","ss", E365="Triduo Pascual","tp", E365="Vigilia Pascual","tp", E365="Pascual","tp")</f>
        <v>ta</v>
      </c>
      <c r="B365" s="14" t="str">
        <f t="shared" si="38"/>
        <v>/* DICIEMBRE        */</v>
      </c>
      <c r="C365" s="15">
        <f t="shared" si="33"/>
        <v>46005</v>
      </c>
      <c r="D365" s="9">
        <f t="shared" si="34"/>
        <v>46005</v>
      </c>
      <c r="E365" t="s">
        <v>46</v>
      </c>
      <c r="F365" t="s">
        <v>43</v>
      </c>
      <c r="G365">
        <v>1</v>
      </c>
      <c r="I365" s="11">
        <f t="shared" si="35"/>
        <v>46005</v>
      </c>
      <c r="J365" t="s">
        <v>44</v>
      </c>
      <c r="K365" t="str">
        <f t="shared" si="36"/>
        <v>/* DICIEMBRE        */ { nombre: "Adviento, Semana I, DOMINGO", archivo: "/ev/ta/1/domingo.mp3", fecha: `${year}-12-14` },</v>
      </c>
      <c r="L365" s="10">
        <f t="shared" si="37"/>
        <v>46005</v>
      </c>
    </row>
    <row r="366" spans="1:12" hidden="1" x14ac:dyDescent="0.25">
      <c r="A366" t="str" cm="1">
        <f t="array" ref="A366">_xlfn.IFS(E366="Adviento","ta", E366="Navidad","tn", E366="Epifania","te", E366="Ordinario","to", E366="Cuaresma","tc", E366="Domingo De Ramos","tc", E366="Semana Santa","ss", E366="Triduo Pascual","tp", E366="Vigilia Pascual","tp", E366="Pascual","tp")</f>
        <v>ta</v>
      </c>
      <c r="B366" s="14" t="str">
        <f t="shared" si="38"/>
        <v>/* DICIEMBRE        */</v>
      </c>
      <c r="C366" s="15">
        <f t="shared" si="33"/>
        <v>46006</v>
      </c>
      <c r="D366" s="9">
        <f t="shared" si="34"/>
        <v>46006</v>
      </c>
      <c r="E366" t="s">
        <v>46</v>
      </c>
      <c r="F366" t="s">
        <v>43</v>
      </c>
      <c r="G366">
        <v>1</v>
      </c>
      <c r="I366" s="11">
        <f t="shared" si="35"/>
        <v>46006</v>
      </c>
      <c r="J366" t="s">
        <v>44</v>
      </c>
      <c r="K366" t="str">
        <f t="shared" si="36"/>
        <v>/* DICIEMBRE        */ { nombre: "Adviento, Semana I, LUNES", archivo: "/ev/ta/1/lunes.mp3", fecha: `${year}-12-15` },</v>
      </c>
      <c r="L366" s="10">
        <f t="shared" si="37"/>
        <v>46006</v>
      </c>
    </row>
    <row r="367" spans="1:12" hidden="1" x14ac:dyDescent="0.25">
      <c r="A367" t="str" cm="1">
        <f t="array" ref="A367">_xlfn.IFS(E367="Adviento","ta", E367="Navidad","tn", E367="Epifania","te", E367="Ordinario","to", E367="Cuaresma","tc", E367="Domingo De Ramos","tc", E367="Semana Santa","ss", E367="Triduo Pascual","tp", E367="Vigilia Pascual","tp", E367="Pascual","tp")</f>
        <v>ta</v>
      </c>
      <c r="B367" s="14" t="str">
        <f t="shared" si="38"/>
        <v>/* DICIEMBRE        */</v>
      </c>
      <c r="C367" s="15">
        <f t="shared" si="33"/>
        <v>46007</v>
      </c>
      <c r="D367" s="9">
        <f t="shared" si="34"/>
        <v>46007</v>
      </c>
      <c r="E367" t="s">
        <v>46</v>
      </c>
      <c r="F367" t="s">
        <v>43</v>
      </c>
      <c r="G367">
        <v>1</v>
      </c>
      <c r="I367" s="11">
        <f t="shared" si="35"/>
        <v>46007</v>
      </c>
      <c r="J367" t="s">
        <v>44</v>
      </c>
      <c r="K367" t="str">
        <f t="shared" si="36"/>
        <v>/* DICIEMBRE        */ { nombre: "Adviento, Semana I, MARTES", archivo: "/ev/ta/1/martes.mp3", fecha: `${year}-12-16` },</v>
      </c>
      <c r="L367" s="10">
        <f t="shared" si="37"/>
        <v>46007</v>
      </c>
    </row>
    <row r="368" spans="1:12" hidden="1" x14ac:dyDescent="0.25">
      <c r="A368" t="str" cm="1">
        <f t="array" ref="A368">_xlfn.IFS(E368="Adviento","ta", E368="Navidad","tn", E368="Epifania","te", E368="Ordinario","to", E368="Cuaresma","tc", E368="Domingo De Ramos","tc", E368="Semana Santa","ss", E368="Triduo Pascual","tp", E368="Vigilia Pascual","tp", E368="Pascual","tp")</f>
        <v>ta</v>
      </c>
      <c r="B368" s="14" t="str">
        <f t="shared" si="38"/>
        <v>/* DICIEMBRE        */</v>
      </c>
      <c r="C368" s="15">
        <f t="shared" si="33"/>
        <v>46008</v>
      </c>
      <c r="D368" s="9">
        <f t="shared" si="34"/>
        <v>46008</v>
      </c>
      <c r="E368" t="s">
        <v>46</v>
      </c>
      <c r="F368" t="s">
        <v>43</v>
      </c>
      <c r="G368">
        <v>1</v>
      </c>
      <c r="I368" s="11">
        <f t="shared" si="35"/>
        <v>46008</v>
      </c>
      <c r="J368" t="s">
        <v>44</v>
      </c>
      <c r="K368" t="str">
        <f t="shared" si="36"/>
        <v>/* DICIEMBRE        */ { nombre: "Adviento, Semana I, MIÉRCOLES", archivo: "/ev/ta/1/miércoles.mp3", fecha: `${year}-12-17` },</v>
      </c>
      <c r="L368" s="10">
        <f t="shared" si="37"/>
        <v>46008</v>
      </c>
    </row>
    <row r="369" spans="1:12" hidden="1" x14ac:dyDescent="0.25">
      <c r="A369" t="str" cm="1">
        <f t="array" ref="A369">_xlfn.IFS(E369="Adviento","ta", E369="Navidad","tn", E369="Epifania","te", E369="Ordinario","to", E369="Cuaresma","tc", E369="Domingo De Ramos","tc", E369="Semana Santa","ss", E369="Triduo Pascual","tp", E369="Vigilia Pascual","tp", E369="Pascual","tp")</f>
        <v>ta</v>
      </c>
      <c r="B369" s="14" t="str">
        <f t="shared" si="38"/>
        <v>/* DICIEMBRE        */</v>
      </c>
      <c r="C369" s="15">
        <f t="shared" si="33"/>
        <v>46009</v>
      </c>
      <c r="D369" s="9">
        <f t="shared" si="34"/>
        <v>46009</v>
      </c>
      <c r="E369" t="s">
        <v>46</v>
      </c>
      <c r="F369" t="s">
        <v>43</v>
      </c>
      <c r="G369">
        <v>1</v>
      </c>
      <c r="I369" s="11">
        <f t="shared" si="35"/>
        <v>46009</v>
      </c>
      <c r="J369" t="s">
        <v>44</v>
      </c>
      <c r="K369" t="str">
        <f t="shared" si="36"/>
        <v>/* DICIEMBRE        */ { nombre: "Adviento, Semana I, JUEVES", archivo: "/ev/ta/1/jueves.mp3", fecha: `${year}-12-18` },</v>
      </c>
      <c r="L369" s="10">
        <f t="shared" si="37"/>
        <v>46009</v>
      </c>
    </row>
    <row r="370" spans="1:12" hidden="1" x14ac:dyDescent="0.25">
      <c r="A370" t="str" cm="1">
        <f t="array" ref="A370">_xlfn.IFS(E370="Adviento","ta", E370="Navidad","tn", E370="Epifania","te", E370="Ordinario","to", E370="Cuaresma","tc", E370="Domingo De Ramos","tc", E370="Semana Santa","ss", E370="Triduo Pascual","tp", E370="Vigilia Pascual","tp", E370="Pascual","tp")</f>
        <v>ta</v>
      </c>
      <c r="B370" s="14" t="str">
        <f t="shared" si="38"/>
        <v>/* DICIEMBRE        */</v>
      </c>
      <c r="C370" s="15">
        <f t="shared" si="33"/>
        <v>46010</v>
      </c>
      <c r="D370" s="9">
        <f t="shared" si="34"/>
        <v>46010</v>
      </c>
      <c r="E370" t="s">
        <v>46</v>
      </c>
      <c r="F370" t="s">
        <v>43</v>
      </c>
      <c r="G370">
        <v>1</v>
      </c>
      <c r="I370" s="11">
        <f t="shared" si="35"/>
        <v>46010</v>
      </c>
      <c r="J370" t="s">
        <v>44</v>
      </c>
      <c r="K370" t="str">
        <f t="shared" si="36"/>
        <v>/* DICIEMBRE        */ { nombre: "Adviento, Semana I, VIERNES", archivo: "/ev/ta/1/viernes.mp3", fecha: `${year}-12-19` },</v>
      </c>
      <c r="L370" s="10">
        <f t="shared" si="37"/>
        <v>46010</v>
      </c>
    </row>
    <row r="371" spans="1:12" hidden="1" x14ac:dyDescent="0.25">
      <c r="A371" t="str" cm="1">
        <f t="array" ref="A371">_xlfn.IFS(E371="Adviento","ta", E371="Navidad","tn", E371="Epifania","te", E371="Ordinario","to", E371="Cuaresma","tc", E371="Domingo De Ramos","tc", E371="Semana Santa","ss", E371="Triduo Pascual","tp", E371="Vigilia Pascual","tp", E371="Pascual","tp")</f>
        <v>ta</v>
      </c>
      <c r="B371" s="14" t="str">
        <f t="shared" si="38"/>
        <v>/* DICIEMBRE        */</v>
      </c>
      <c r="C371" s="15">
        <f t="shared" si="33"/>
        <v>46011</v>
      </c>
      <c r="D371" s="9">
        <f t="shared" si="34"/>
        <v>46011</v>
      </c>
      <c r="E371" t="s">
        <v>46</v>
      </c>
      <c r="F371" t="s">
        <v>43</v>
      </c>
      <c r="G371">
        <v>1</v>
      </c>
      <c r="I371" s="11">
        <f t="shared" si="35"/>
        <v>46011</v>
      </c>
      <c r="J371" t="s">
        <v>44</v>
      </c>
      <c r="K371" t="str">
        <f t="shared" si="36"/>
        <v>/* DICIEMBRE        */ { nombre: "Adviento, Semana I, SÁBADO", archivo: "/ev/ta/1/sábado.mp3", fecha: `${year}-12-20` },</v>
      </c>
      <c r="L371" s="10">
        <f t="shared" si="37"/>
        <v>46011</v>
      </c>
    </row>
    <row r="372" spans="1:12" hidden="1" x14ac:dyDescent="0.25">
      <c r="A372" t="str" cm="1">
        <f t="array" ref="A372">_xlfn.IFS(E372="Adviento","ta", E372="Navidad","tn", E372="Epifania","te", E372="Ordinario","to", E372="Cuaresma","tc", E372="Domingo De Ramos","tc", E372="Semana Santa","ss", E372="Triduo Pascual","tp", E372="Vigilia Pascual","tp", E372="Pascual","tp")</f>
        <v>ta</v>
      </c>
      <c r="B372" s="14" t="str">
        <f t="shared" si="38"/>
        <v>/* DICIEMBRE        */</v>
      </c>
      <c r="C372" s="15">
        <f t="shared" si="33"/>
        <v>46012</v>
      </c>
      <c r="D372" s="9">
        <f t="shared" si="34"/>
        <v>46012</v>
      </c>
      <c r="E372" t="s">
        <v>46</v>
      </c>
      <c r="F372" t="s">
        <v>43</v>
      </c>
      <c r="G372">
        <v>1</v>
      </c>
      <c r="I372" s="11">
        <f t="shared" si="35"/>
        <v>46012</v>
      </c>
      <c r="J372" t="s">
        <v>44</v>
      </c>
      <c r="K372" t="str">
        <f t="shared" si="36"/>
        <v>/* DICIEMBRE        */ { nombre: "Adviento, Semana I, DOMINGO", archivo: "/ev/ta/1/domingo.mp3", fecha: `${year}-12-21` },</v>
      </c>
      <c r="L372" s="10">
        <f t="shared" si="37"/>
        <v>46012</v>
      </c>
    </row>
    <row r="373" spans="1:12" hidden="1" x14ac:dyDescent="0.25">
      <c r="A373" t="str" cm="1">
        <f t="array" ref="A373">_xlfn.IFS(E373="Adviento","ta", E373="Navidad","tn", E373="Epifania","te", E373="Ordinario","to", E373="Cuaresma","tc", E373="Domingo De Ramos","tc", E373="Semana Santa","ss", E373="Triduo Pascual","tp", E373="Vigilia Pascual","tp", E373="Pascual","tp")</f>
        <v>ta</v>
      </c>
      <c r="B373" s="14" t="str">
        <f t="shared" si="38"/>
        <v>/* DICIEMBRE        */</v>
      </c>
      <c r="C373" s="15">
        <f t="shared" ref="C373:C436" si="39">+C372+1</f>
        <v>46013</v>
      </c>
      <c r="D373" s="9">
        <f t="shared" ref="D373:D436" si="40">+D372+1</f>
        <v>46013</v>
      </c>
      <c r="E373" t="s">
        <v>46</v>
      </c>
      <c r="F373" t="s">
        <v>43</v>
      </c>
      <c r="G373">
        <v>1</v>
      </c>
      <c r="I373" s="11">
        <f t="shared" ref="I373:I436" si="41">D373</f>
        <v>46013</v>
      </c>
      <c r="J373" t="s">
        <v>44</v>
      </c>
      <c r="K373" t="str">
        <f t="shared" ref="K373:K436" si="42">_xlfn.CONCAT(B373, " ", "{ nombre: ", CHAR(34), E373, ", ", F373, " ", ROMAN(G373),H373, ", ", UPPER(TEXT(D373, "[$-es-ES]dddd")), CHAR(34), ", archivo: ", CHAR(34), "/ev/", _xlfn.IFS(E373="Adviento","ta", E373="Navidad","tn", E373="Epifania","te", E373="Ordinario","to", E373="Cuaresma","tc", E373="Domingo De Ramos","tc", E373="Semana Santa","ss", E373="Triduo Pascual","tp", E373="Vigilia Pascual","tp", E373="Pascual","tp"), "/", G373, "/", TEXT(D373, "[$-es-ES]dddd"), ".mp3", CHAR(34), ", fecha: `${year}-", TEXT(D373, "mm-dd"), "` },")</f>
        <v>/* DICIEMBRE        */ { nombre: "Adviento, Semana I, LUNES", archivo: "/ev/ta/1/lunes.mp3", fecha: `${year}-12-22` },</v>
      </c>
      <c r="L373" s="10">
        <f t="shared" ref="L373:L436" si="43">D373</f>
        <v>46013</v>
      </c>
    </row>
    <row r="374" spans="1:12" hidden="1" x14ac:dyDescent="0.25">
      <c r="A374" t="str" cm="1">
        <f t="array" ref="A374">_xlfn.IFS(E374="Adviento","ta", E374="Navidad","tn", E374="Epifania","te", E374="Ordinario","to", E374="Cuaresma","tc", E374="Domingo De Ramos","tc", E374="Semana Santa","ss", E374="Triduo Pascual","tp", E374="Vigilia Pascual","tp", E374="Pascual","tp")</f>
        <v>ta</v>
      </c>
      <c r="B374" s="14" t="str">
        <f t="shared" si="38"/>
        <v>/* DICIEMBRE        */</v>
      </c>
      <c r="C374" s="15">
        <f t="shared" si="39"/>
        <v>46014</v>
      </c>
      <c r="D374" s="9">
        <f t="shared" si="40"/>
        <v>46014</v>
      </c>
      <c r="E374" t="s">
        <v>46</v>
      </c>
      <c r="F374" t="s">
        <v>43</v>
      </c>
      <c r="G374">
        <v>1</v>
      </c>
      <c r="I374" s="11">
        <f t="shared" si="41"/>
        <v>46014</v>
      </c>
      <c r="J374" t="s">
        <v>44</v>
      </c>
      <c r="K374" t="str">
        <f t="shared" si="42"/>
        <v>/* DICIEMBRE        */ { nombre: "Adviento, Semana I, MARTES", archivo: "/ev/ta/1/martes.mp3", fecha: `${year}-12-23` },</v>
      </c>
      <c r="L374" s="10">
        <f t="shared" si="43"/>
        <v>46014</v>
      </c>
    </row>
    <row r="375" spans="1:12" hidden="1" x14ac:dyDescent="0.25">
      <c r="A375" t="str" cm="1">
        <f t="array" ref="A375">_xlfn.IFS(E375="Adviento","ta", E375="Navidad","tn", E375="Epifania","te", E375="Ordinario","to", E375="Cuaresma","tc", E375="Domingo De Ramos","tc", E375="Semana Santa","ss", E375="Triduo Pascual","tp", E375="Vigilia Pascual","tp", E375="Pascual","tp")</f>
        <v>ta</v>
      </c>
      <c r="B375" s="14" t="str">
        <f t="shared" si="38"/>
        <v>/* DICIEMBRE        */</v>
      </c>
      <c r="C375" s="15">
        <f t="shared" si="39"/>
        <v>46015</v>
      </c>
      <c r="D375" s="9">
        <f t="shared" si="40"/>
        <v>46015</v>
      </c>
      <c r="E375" t="s">
        <v>46</v>
      </c>
      <c r="F375" t="s">
        <v>43</v>
      </c>
      <c r="G375">
        <v>1</v>
      </c>
      <c r="I375" s="11">
        <f t="shared" si="41"/>
        <v>46015</v>
      </c>
      <c r="J375" t="s">
        <v>44</v>
      </c>
      <c r="K375" t="str">
        <f t="shared" si="42"/>
        <v>/* DICIEMBRE        */ { nombre: "Adviento, Semana I, MIÉRCOLES", archivo: "/ev/ta/1/miércoles.mp3", fecha: `${year}-12-24` },</v>
      </c>
      <c r="L375" s="10">
        <f t="shared" si="43"/>
        <v>46015</v>
      </c>
    </row>
    <row r="376" spans="1:12" hidden="1" x14ac:dyDescent="0.25">
      <c r="A376" t="str" cm="1">
        <f t="array" ref="A376">_xlfn.IFS(E376="Adviento","ta", E376="Navidad","tn", E376="Epifania","te", E376="Ordinario","to", E376="Cuaresma","tc", E376="Domingo De Ramos","tc", E376="Semana Santa","ss", E376="Triduo Pascual","tp", E376="Vigilia Pascual","tp", E376="Pascual","tp")</f>
        <v>ta</v>
      </c>
      <c r="B376" s="14" t="str">
        <f t="shared" si="38"/>
        <v>/* DICIEMBRE        */</v>
      </c>
      <c r="C376" s="15">
        <f t="shared" si="39"/>
        <v>46016</v>
      </c>
      <c r="D376" s="9">
        <f t="shared" si="40"/>
        <v>46016</v>
      </c>
      <c r="E376" t="s">
        <v>46</v>
      </c>
      <c r="F376" t="s">
        <v>43</v>
      </c>
      <c r="G376">
        <v>1</v>
      </c>
      <c r="I376" s="11">
        <f t="shared" si="41"/>
        <v>46016</v>
      </c>
      <c r="J376" t="s">
        <v>44</v>
      </c>
      <c r="K376" t="str">
        <f t="shared" si="42"/>
        <v>/* DICIEMBRE        */ { nombre: "Adviento, Semana I, JUEVES", archivo: "/ev/ta/1/jueves.mp3", fecha: `${year}-12-25` },</v>
      </c>
      <c r="L376" s="10">
        <f t="shared" si="43"/>
        <v>46016</v>
      </c>
    </row>
    <row r="377" spans="1:12" hidden="1" x14ac:dyDescent="0.25">
      <c r="A377" t="str" cm="1">
        <f t="array" ref="A377">_xlfn.IFS(E377="Adviento","ta", E377="Navidad","tn", E377="Epifania","te", E377="Ordinario","to", E377="Cuaresma","tc", E377="Domingo De Ramos","tc", E377="Semana Santa","ss", E377="Triduo Pascual","tp", E377="Vigilia Pascual","tp", E377="Pascual","tp")</f>
        <v>ta</v>
      </c>
      <c r="B377" s="14" t="str">
        <f t="shared" si="38"/>
        <v>/* DICIEMBRE        */</v>
      </c>
      <c r="C377" s="15">
        <f t="shared" si="39"/>
        <v>46017</v>
      </c>
      <c r="D377" s="9">
        <f t="shared" si="40"/>
        <v>46017</v>
      </c>
      <c r="E377" t="s">
        <v>46</v>
      </c>
      <c r="F377" t="s">
        <v>43</v>
      </c>
      <c r="G377">
        <v>1</v>
      </c>
      <c r="I377" s="11">
        <f t="shared" si="41"/>
        <v>46017</v>
      </c>
      <c r="J377" t="s">
        <v>44</v>
      </c>
      <c r="K377" t="str">
        <f t="shared" si="42"/>
        <v>/* DICIEMBRE        */ { nombre: "Adviento, Semana I, VIERNES", archivo: "/ev/ta/1/viernes.mp3", fecha: `${year}-12-26` },</v>
      </c>
      <c r="L377" s="10">
        <f t="shared" si="43"/>
        <v>46017</v>
      </c>
    </row>
    <row r="378" spans="1:12" hidden="1" x14ac:dyDescent="0.25">
      <c r="A378" t="str" cm="1">
        <f t="array" ref="A378">_xlfn.IFS(E378="Adviento","ta", E378="Navidad","tn", E378="Epifania","te", E378="Ordinario","to", E378="Cuaresma","tc", E378="Domingo De Ramos","tc", E378="Semana Santa","ss", E378="Triduo Pascual","tp", E378="Vigilia Pascual","tp", E378="Pascual","tp")</f>
        <v>ta</v>
      </c>
      <c r="B378" s="14" t="str">
        <f t="shared" si="38"/>
        <v>/* DICIEMBRE        */</v>
      </c>
      <c r="C378" s="15">
        <f t="shared" si="39"/>
        <v>46018</v>
      </c>
      <c r="D378" s="9">
        <f t="shared" si="40"/>
        <v>46018</v>
      </c>
      <c r="E378" t="s">
        <v>46</v>
      </c>
      <c r="F378" t="s">
        <v>43</v>
      </c>
      <c r="G378">
        <v>1</v>
      </c>
      <c r="I378" s="11">
        <f t="shared" si="41"/>
        <v>46018</v>
      </c>
      <c r="J378" t="s">
        <v>44</v>
      </c>
      <c r="K378" t="str">
        <f t="shared" si="42"/>
        <v>/* DICIEMBRE        */ { nombre: "Adviento, Semana I, SÁBADO", archivo: "/ev/ta/1/sábado.mp3", fecha: `${year}-12-27` },</v>
      </c>
      <c r="L378" s="10">
        <f t="shared" si="43"/>
        <v>46018</v>
      </c>
    </row>
    <row r="379" spans="1:12" hidden="1" x14ac:dyDescent="0.25">
      <c r="A379" t="str" cm="1">
        <f t="array" ref="A379">_xlfn.IFS(E379="Adviento","ta", E379="Navidad","tn", E379="Epifania","te", E379="Ordinario","to", E379="Cuaresma","tc", E379="Domingo De Ramos","tc", E379="Semana Santa","ss", E379="Triduo Pascual","tp", E379="Vigilia Pascual","tp", E379="Pascual","tp")</f>
        <v>ta</v>
      </c>
      <c r="B379" s="14" t="str">
        <f t="shared" si="38"/>
        <v>/* DICIEMBRE        */</v>
      </c>
      <c r="C379" s="15">
        <f t="shared" si="39"/>
        <v>46019</v>
      </c>
      <c r="D379" s="9">
        <f t="shared" si="40"/>
        <v>46019</v>
      </c>
      <c r="E379" t="s">
        <v>46</v>
      </c>
      <c r="F379" t="s">
        <v>43</v>
      </c>
      <c r="G379">
        <v>1</v>
      </c>
      <c r="I379" s="11">
        <f t="shared" si="41"/>
        <v>46019</v>
      </c>
      <c r="J379" t="s">
        <v>44</v>
      </c>
      <c r="K379" t="str">
        <f t="shared" si="42"/>
        <v>/* DICIEMBRE        */ { nombre: "Adviento, Semana I, DOMINGO", archivo: "/ev/ta/1/domingo.mp3", fecha: `${year}-12-28` },</v>
      </c>
      <c r="L379" s="10">
        <f t="shared" si="43"/>
        <v>46019</v>
      </c>
    </row>
    <row r="380" spans="1:12" hidden="1" x14ac:dyDescent="0.25">
      <c r="A380" t="str" cm="1">
        <f t="array" ref="A380">_xlfn.IFS(E380="Adviento","ta", E380="Navidad","tn", E380="Epifania","te", E380="Ordinario","to", E380="Cuaresma","tc", E380="Domingo De Ramos","tc", E380="Semana Santa","ss", E380="Triduo Pascual","tp", E380="Vigilia Pascual","tp", E380="Pascual","tp")</f>
        <v>ta</v>
      </c>
      <c r="B380" s="14" t="str">
        <f t="shared" si="38"/>
        <v>/* DICIEMBRE        */</v>
      </c>
      <c r="C380" s="15">
        <f t="shared" si="39"/>
        <v>46020</v>
      </c>
      <c r="D380" s="9">
        <f t="shared" si="40"/>
        <v>46020</v>
      </c>
      <c r="E380" t="s">
        <v>46</v>
      </c>
      <c r="F380" t="s">
        <v>43</v>
      </c>
      <c r="G380">
        <v>1</v>
      </c>
      <c r="I380" s="11">
        <f t="shared" si="41"/>
        <v>46020</v>
      </c>
      <c r="J380" t="s">
        <v>44</v>
      </c>
      <c r="K380" t="str">
        <f t="shared" si="42"/>
        <v>/* DICIEMBRE        */ { nombre: "Adviento, Semana I, LUNES", archivo: "/ev/ta/1/lunes.mp3", fecha: `${year}-12-29` },</v>
      </c>
      <c r="L380" s="10">
        <f t="shared" si="43"/>
        <v>46020</v>
      </c>
    </row>
    <row r="381" spans="1:12" hidden="1" x14ac:dyDescent="0.25">
      <c r="A381" t="str" cm="1">
        <f t="array" ref="A381">_xlfn.IFS(E381="Adviento","ta", E381="Navidad","tn", E381="Epifania","te", E381="Ordinario","to", E381="Cuaresma","tc", E381="Domingo De Ramos","tc", E381="Semana Santa","ss", E381="Triduo Pascual","tp", E381="Vigilia Pascual","tp", E381="Pascual","tp")</f>
        <v>ta</v>
      </c>
      <c r="B381" s="14" t="str">
        <f t="shared" si="38"/>
        <v>/* DICIEMBRE        */</v>
      </c>
      <c r="C381" s="15">
        <f t="shared" si="39"/>
        <v>46021</v>
      </c>
      <c r="D381" s="9">
        <f t="shared" si="40"/>
        <v>46021</v>
      </c>
      <c r="E381" t="s">
        <v>46</v>
      </c>
      <c r="F381" t="s">
        <v>43</v>
      </c>
      <c r="G381">
        <v>1</v>
      </c>
      <c r="I381" s="11">
        <f t="shared" si="41"/>
        <v>46021</v>
      </c>
      <c r="J381" t="s">
        <v>44</v>
      </c>
      <c r="K381" t="str">
        <f t="shared" si="42"/>
        <v>/* DICIEMBRE        */ { nombre: "Adviento, Semana I, MARTES", archivo: "/ev/ta/1/martes.mp3", fecha: `${year}-12-30` },</v>
      </c>
      <c r="L381" s="10">
        <f t="shared" si="43"/>
        <v>46021</v>
      </c>
    </row>
    <row r="382" spans="1:12" hidden="1" x14ac:dyDescent="0.25">
      <c r="A382" t="str" cm="1">
        <f t="array" ref="A382">_xlfn.IFS(E382="Adviento","ta", E382="Navidad","tn", E382="Epifania","te", E382="Ordinario","to", E382="Cuaresma","tc", E382="Domingo De Ramos","tc", E382="Semana Santa","ss", E382="Triduo Pascual","tp", E382="Vigilia Pascual","tp", E382="Pascual","tp")</f>
        <v>ta</v>
      </c>
      <c r="B382" s="14" t="str">
        <f t="shared" si="38"/>
        <v>/* DICIEMBRE        */</v>
      </c>
      <c r="C382" s="15">
        <f t="shared" si="39"/>
        <v>46022</v>
      </c>
      <c r="D382" s="9">
        <f t="shared" si="40"/>
        <v>46022</v>
      </c>
      <c r="E382" t="s">
        <v>46</v>
      </c>
      <c r="F382" t="s">
        <v>43</v>
      </c>
      <c r="G382">
        <v>1</v>
      </c>
      <c r="I382" s="11">
        <f t="shared" si="41"/>
        <v>46022</v>
      </c>
      <c r="J382" t="s">
        <v>44</v>
      </c>
      <c r="K382" t="str">
        <f t="shared" si="42"/>
        <v>/* DICIEMBRE        */ { nombre: "Adviento, Semana I, MIÉRCOLES", archivo: "/ev/ta/1/miércoles.mp3", fecha: `${year}-12-31` },</v>
      </c>
      <c r="L382" s="10">
        <f t="shared" si="43"/>
        <v>46022</v>
      </c>
    </row>
    <row r="383" spans="1:12" x14ac:dyDescent="0.25">
      <c r="A383" t="str" cm="1">
        <f t="array" ref="A383">_xlfn.IFS(E383="Adviento","ta", E383="Navidad","tn", E383="Epifania","te", E383="Ordinario","to", E383="Cuaresma","tc", E383="Domingo De Ramos","tc", E383="Semana Santa","ss", E383="Triduo Pascual","tp", E383="Vigilia Pascual","tp", E383="Pascual","tp")</f>
        <v>tn</v>
      </c>
      <c r="B383" s="14" t="str">
        <f t="shared" si="38"/>
        <v>/* ENERO        */</v>
      </c>
      <c r="C383" s="15">
        <f t="shared" si="39"/>
        <v>46023</v>
      </c>
      <c r="D383" s="9">
        <f t="shared" si="40"/>
        <v>46023</v>
      </c>
      <c r="E383" t="s">
        <v>42</v>
      </c>
      <c r="F383" t="s">
        <v>43</v>
      </c>
      <c r="G383">
        <v>1</v>
      </c>
      <c r="H383" t="s">
        <v>61</v>
      </c>
      <c r="I383" s="11">
        <f t="shared" si="41"/>
        <v>46023</v>
      </c>
      <c r="J383" t="s">
        <v>44</v>
      </c>
      <c r="K383" t="str">
        <f t="shared" si="42"/>
        <v>/* ENERO        */ { nombre: "Navidad, Semana I,Santa María, Madre de Dios, JUEVES", archivo: "/ev/tn/1/jueves.mp3", fecha: `${year}-01-01` },</v>
      </c>
      <c r="L383" s="10">
        <f t="shared" si="43"/>
        <v>46023</v>
      </c>
    </row>
    <row r="384" spans="1:12" x14ac:dyDescent="0.25">
      <c r="A384" t="str" cm="1">
        <f t="array" ref="A384">_xlfn.IFS(E384="Adviento","ta", E384="Navidad","tn", E384="Epifania","te", E384="Ordinario","to", E384="Cuaresma","tc", E384="Domingo De Ramos","tc", E384="Semana Santa","ss", E384="Triduo Pascual","tp", E384="Vigilia Pascual","tp", E384="Pascual","tp")</f>
        <v>tn</v>
      </c>
      <c r="B384" s="14" t="str">
        <f t="shared" si="38"/>
        <v>/* ENERO        */</v>
      </c>
      <c r="C384" s="15">
        <f t="shared" si="39"/>
        <v>46024</v>
      </c>
      <c r="D384" s="9">
        <f t="shared" si="40"/>
        <v>46024</v>
      </c>
      <c r="E384" t="s">
        <v>42</v>
      </c>
      <c r="F384" t="s">
        <v>43</v>
      </c>
      <c r="G384">
        <v>1</v>
      </c>
      <c r="H384" t="s">
        <v>62</v>
      </c>
      <c r="I384" s="11">
        <f t="shared" si="41"/>
        <v>46024</v>
      </c>
      <c r="J384" t="s">
        <v>44</v>
      </c>
      <c r="K384" t="str">
        <f t="shared" si="42"/>
        <v>/* ENERO        */ { nombre: "Navidad, Semana I,Santos Basilio Magno y Gregorio de Nacianzo, obispos y doctores de la Iglesia, VIERNES", archivo: "/ev/tn/1/viernes.mp3", fecha: `${year}-01-02` },</v>
      </c>
      <c r="L384" s="10">
        <f t="shared" si="43"/>
        <v>46024</v>
      </c>
    </row>
    <row r="385" spans="1:12" x14ac:dyDescent="0.25">
      <c r="A385" t="str" cm="1">
        <f t="array" ref="A385">_xlfn.IFS(E385="Adviento","ta", E385="Navidad","tn", E385="Epifania","te", E385="Ordinario","to", E385="Cuaresma","tc", E385="Domingo De Ramos","tc", E385="Semana Santa","ss", E385="Triduo Pascual","tp", E385="Vigilia Pascual","tp", E385="Pascual","tp")</f>
        <v>tn</v>
      </c>
      <c r="B385" s="14" t="str">
        <f t="shared" si="38"/>
        <v>/* ENERO        */</v>
      </c>
      <c r="C385" s="15">
        <f t="shared" si="39"/>
        <v>46025</v>
      </c>
      <c r="D385" s="9">
        <f t="shared" si="40"/>
        <v>46025</v>
      </c>
      <c r="E385" t="s">
        <v>42</v>
      </c>
      <c r="F385" t="s">
        <v>43</v>
      </c>
      <c r="G385">
        <v>1</v>
      </c>
      <c r="I385" s="11">
        <f t="shared" si="41"/>
        <v>46025</v>
      </c>
      <c r="J385" t="s">
        <v>44</v>
      </c>
      <c r="K385" t="str">
        <f t="shared" si="42"/>
        <v>/* ENERO        */ { nombre: "Navidad, Semana I, SÁBADO", archivo: "/ev/tn/1/sábado.mp3", fecha: `${year}-01-03` },</v>
      </c>
      <c r="L385" s="10">
        <f t="shared" si="43"/>
        <v>46025</v>
      </c>
    </row>
    <row r="386" spans="1:12" x14ac:dyDescent="0.25">
      <c r="A386" t="str" cm="1">
        <f t="array" ref="A386">_xlfn.IFS(E386="Adviento","ta", E386="Navidad","tn", E386="Epifania","te", E386="Ordinario","to", E386="Cuaresma","tc", E386="Domingo De Ramos","tc", E386="Semana Santa","ss", E386="Triduo Pascual","tp", E386="Vigilia Pascual","tp", E386="Pascual","tp")</f>
        <v>tn</v>
      </c>
      <c r="B386" s="14" t="str">
        <f t="shared" si="38"/>
        <v>/* ENERO        */</v>
      </c>
      <c r="C386" s="15">
        <f t="shared" si="39"/>
        <v>46026</v>
      </c>
      <c r="D386" s="9">
        <f t="shared" si="40"/>
        <v>46026</v>
      </c>
      <c r="E386" t="s">
        <v>42</v>
      </c>
      <c r="F386" t="s">
        <v>43</v>
      </c>
      <c r="G386">
        <v>1</v>
      </c>
      <c r="I386" s="11">
        <f t="shared" si="41"/>
        <v>46026</v>
      </c>
      <c r="J386" t="s">
        <v>44</v>
      </c>
      <c r="K386" t="str">
        <f t="shared" si="42"/>
        <v>/* ENERO        */ { nombre: "Navidad, Semana I, DOMINGO", archivo: "/ev/tn/1/domingo.mp3", fecha: `${year}-01-04` },</v>
      </c>
      <c r="L386" s="10">
        <f t="shared" si="43"/>
        <v>46026</v>
      </c>
    </row>
    <row r="387" spans="1:12" x14ac:dyDescent="0.25">
      <c r="A387" t="str" cm="1">
        <f t="array" ref="A387">_xlfn.IFS(E387="Adviento","ta", E387="Navidad","tn", E387="Epifania","te", E387="Ordinario","to", E387="Cuaresma","tc", E387="Domingo De Ramos","tc", E387="Semana Santa","ss", E387="Triduo Pascual","tp", E387="Vigilia Pascual","tp", E387="Pascual","tp")</f>
        <v>tn</v>
      </c>
      <c r="B387" s="14" t="str">
        <f t="shared" si="38"/>
        <v>/* ENERO        */</v>
      </c>
      <c r="C387" s="15">
        <f t="shared" si="39"/>
        <v>46027</v>
      </c>
      <c r="D387" s="9">
        <f t="shared" si="40"/>
        <v>46027</v>
      </c>
      <c r="E387" t="s">
        <v>42</v>
      </c>
      <c r="F387" t="s">
        <v>43</v>
      </c>
      <c r="G387">
        <v>1</v>
      </c>
      <c r="I387" s="11">
        <f t="shared" si="41"/>
        <v>46027</v>
      </c>
      <c r="J387" t="s">
        <v>44</v>
      </c>
      <c r="K387" t="str">
        <f t="shared" si="42"/>
        <v>/* ENERO        */ { nombre: "Navidad, Semana I, LUNES", archivo: "/ev/tn/1/lunes.mp3", fecha: `${year}-01-05` },</v>
      </c>
      <c r="L387" s="10">
        <f t="shared" si="43"/>
        <v>46027</v>
      </c>
    </row>
    <row r="388" spans="1:12" x14ac:dyDescent="0.25">
      <c r="A388" t="str" cm="1">
        <f t="array" ref="A388">_xlfn.IFS(E388="Adviento","ta", E388="Navidad","tn", E388="Epifania","te", E388="Ordinario","to", E388="Cuaresma","tc", E388="Domingo De Ramos","tc", E388="Semana Santa","ss", E388="Triduo Pascual","tp", E388="Vigilia Pascual","tp", E388="Pascual","tp")</f>
        <v>tn</v>
      </c>
      <c r="B388" s="14" t="str">
        <f t="shared" si="38"/>
        <v>/* ENERO        */</v>
      </c>
      <c r="C388" s="15">
        <f t="shared" si="39"/>
        <v>46028</v>
      </c>
      <c r="D388" s="9">
        <f t="shared" si="40"/>
        <v>46028</v>
      </c>
      <c r="E388" t="s">
        <v>42</v>
      </c>
      <c r="F388" t="s">
        <v>43</v>
      </c>
      <c r="G388">
        <v>1</v>
      </c>
      <c r="H388" t="s">
        <v>64</v>
      </c>
      <c r="I388" s="11">
        <f t="shared" si="41"/>
        <v>46028</v>
      </c>
      <c r="J388" t="s">
        <v>44</v>
      </c>
      <c r="K388" t="str">
        <f t="shared" si="42"/>
        <v>/* ENERO        */ { nombre: "Navidad, Semana I,La Epifanía del Señor, MARTES", archivo: "/ev/tn/1/martes.mp3", fecha: `${year}-01-06` },</v>
      </c>
      <c r="L388" s="10">
        <f t="shared" si="43"/>
        <v>46028</v>
      </c>
    </row>
    <row r="389" spans="1:12" x14ac:dyDescent="0.25">
      <c r="A389" t="str" cm="1">
        <f t="array" ref="A389">_xlfn.IFS(E389="Adviento","ta", E389="Navidad","tn", E389="Epifania","te", E389="Ordinario","to", E389="Cuaresma","tc", E389="Domingo De Ramos","tc", E389="Semana Santa","ss", E389="Triduo Pascual","tp", E389="Vigilia Pascual","tp", E389="Pascual","tp")</f>
        <v>tn</v>
      </c>
      <c r="B389" s="14" t="str">
        <f t="shared" si="38"/>
        <v>/* ENERO        */</v>
      </c>
      <c r="C389" s="15">
        <f t="shared" si="39"/>
        <v>46029</v>
      </c>
      <c r="D389" s="9">
        <f t="shared" si="40"/>
        <v>46029</v>
      </c>
      <c r="E389" t="s">
        <v>42</v>
      </c>
      <c r="F389" t="s">
        <v>43</v>
      </c>
      <c r="G389">
        <v>1</v>
      </c>
      <c r="I389" s="11">
        <f t="shared" si="41"/>
        <v>46029</v>
      </c>
      <c r="J389" t="s">
        <v>44</v>
      </c>
      <c r="K389" t="str">
        <f t="shared" si="42"/>
        <v>/* ENERO        */ { nombre: "Navidad, Semana I, MIÉRCOLES", archivo: "/ev/tn/1/miércoles.mp3", fecha: `${year}-01-07` },</v>
      </c>
      <c r="L389" s="10">
        <f t="shared" si="43"/>
        <v>46029</v>
      </c>
    </row>
    <row r="390" spans="1:12" x14ac:dyDescent="0.25">
      <c r="A390" t="str" cm="1">
        <f t="array" ref="A390">_xlfn.IFS(E390="Adviento","ta", E390="Navidad","tn", E390="Epifania","te", E390="Ordinario","to", E390="Cuaresma","tc", E390="Domingo De Ramos","tc", E390="Semana Santa","ss", E390="Triduo Pascual","tp", E390="Vigilia Pascual","tp", E390="Pascual","tp")</f>
        <v>tn</v>
      </c>
      <c r="B390" s="14" t="str">
        <f t="shared" si="38"/>
        <v>/* ENERO        */</v>
      </c>
      <c r="C390" s="15">
        <f t="shared" si="39"/>
        <v>46030</v>
      </c>
      <c r="D390" s="9">
        <f t="shared" si="40"/>
        <v>46030</v>
      </c>
      <c r="E390" t="s">
        <v>42</v>
      </c>
      <c r="F390" t="s">
        <v>43</v>
      </c>
      <c r="G390">
        <v>1</v>
      </c>
      <c r="I390" s="11">
        <f t="shared" si="41"/>
        <v>46030</v>
      </c>
      <c r="J390" t="s">
        <v>44</v>
      </c>
      <c r="K390" t="str">
        <f t="shared" si="42"/>
        <v>/* ENERO        */ { nombre: "Navidad, Semana I, JUEVES", archivo: "/ev/tn/1/jueves.mp3", fecha: `${year}-01-08` },</v>
      </c>
      <c r="L390" s="10">
        <f t="shared" si="43"/>
        <v>46030</v>
      </c>
    </row>
    <row r="391" spans="1:12" x14ac:dyDescent="0.25">
      <c r="A391" t="str" cm="1">
        <f t="array" ref="A391">_xlfn.IFS(E391="Adviento","ta", E391="Navidad","tn", E391="Epifania","te", E391="Ordinario","to", E391="Cuaresma","tc", E391="Domingo De Ramos","tc", E391="Semana Santa","ss", E391="Triduo Pascual","tp", E391="Vigilia Pascual","tp", E391="Pascual","tp")</f>
        <v>tn</v>
      </c>
      <c r="B391" s="14" t="str">
        <f t="shared" si="38"/>
        <v>/* ENERO        */</v>
      </c>
      <c r="C391" s="15">
        <f t="shared" si="39"/>
        <v>46031</v>
      </c>
      <c r="D391" s="9">
        <f t="shared" si="40"/>
        <v>46031</v>
      </c>
      <c r="E391" t="s">
        <v>42</v>
      </c>
      <c r="F391" t="s">
        <v>43</v>
      </c>
      <c r="G391">
        <v>1</v>
      </c>
      <c r="I391" s="11">
        <f t="shared" si="41"/>
        <v>46031</v>
      </c>
      <c r="J391" t="s">
        <v>44</v>
      </c>
      <c r="K391" t="str">
        <f t="shared" si="42"/>
        <v>/* ENERO        */ { nombre: "Navidad, Semana I, VIERNES", archivo: "/ev/tn/1/viernes.mp3", fecha: `${year}-01-09` },</v>
      </c>
      <c r="L391" s="10">
        <f t="shared" si="43"/>
        <v>46031</v>
      </c>
    </row>
    <row r="392" spans="1:12" x14ac:dyDescent="0.25">
      <c r="A392" t="str" cm="1">
        <f t="array" ref="A392">_xlfn.IFS(E392="Adviento","ta", E392="Navidad","tn", E392="Epifania","te", E392="Ordinario","to", E392="Cuaresma","tc", E392="Domingo De Ramos","tc", E392="Semana Santa","ss", E392="Triduo Pascual","tp", E392="Vigilia Pascual","tp", E392="Pascual","tp")</f>
        <v>tn</v>
      </c>
      <c r="B392" s="14" t="str">
        <f t="shared" si="38"/>
        <v>/* ENERO        */</v>
      </c>
      <c r="C392" s="15">
        <f t="shared" si="39"/>
        <v>46032</v>
      </c>
      <c r="D392" s="9">
        <f t="shared" si="40"/>
        <v>46032</v>
      </c>
      <c r="E392" t="s">
        <v>42</v>
      </c>
      <c r="F392" t="s">
        <v>43</v>
      </c>
      <c r="G392">
        <v>1</v>
      </c>
      <c r="I392" s="11">
        <f t="shared" si="41"/>
        <v>46032</v>
      </c>
      <c r="J392" t="s">
        <v>44</v>
      </c>
      <c r="K392" t="str">
        <f t="shared" si="42"/>
        <v>/* ENERO        */ { nombre: "Navidad, Semana I, SÁBADO", archivo: "/ev/tn/1/sábado.mp3", fecha: `${year}-01-10` },</v>
      </c>
      <c r="L392" s="10">
        <f t="shared" si="43"/>
        <v>46032</v>
      </c>
    </row>
    <row r="393" spans="1:12" x14ac:dyDescent="0.25">
      <c r="A393" t="str" cm="1">
        <f t="array" ref="A393">_xlfn.IFS(E393="Adviento","ta", E393="Navidad","tn", E393="Epifania","te", E393="Ordinario","to", E393="Cuaresma","tc", E393="Domingo De Ramos","tc", E393="Semana Santa","ss", E393="Triduo Pascual","tp", E393="Vigilia Pascual","tp", E393="Pascual","tp")</f>
        <v>to</v>
      </c>
      <c r="B393" s="14" t="str">
        <f t="shared" si="38"/>
        <v>/* ENERO        */</v>
      </c>
      <c r="C393" s="15">
        <f t="shared" si="39"/>
        <v>46033</v>
      </c>
      <c r="D393" s="9">
        <f t="shared" si="40"/>
        <v>46033</v>
      </c>
      <c r="E393" t="s">
        <v>47</v>
      </c>
      <c r="F393" t="s">
        <v>43</v>
      </c>
      <c r="G393">
        <v>1</v>
      </c>
      <c r="H393" t="s">
        <v>63</v>
      </c>
      <c r="I393" s="11">
        <f t="shared" si="41"/>
        <v>46033</v>
      </c>
      <c r="J393" t="s">
        <v>44</v>
      </c>
      <c r="K393" t="str">
        <f>_xlfn.CONCAT(B393, " ", "{ nombre: ", CHAR(34), E393, ", ", F393, " ", ROMAN(G393),H393, ", ", UPPER(TEXT(D393, "[$-es-ES]dddd")), CHAR(34), ", archivo: ", CHAR(34), "/ev/", _xlfn.IFS(E393="Adviento","ta", E393="Navidad","tn", E393="Epifania","te", E393="Ordinario","to", E393="Cuaresma","tc", E393="Domingo De Ramos","tc", E393="Semana Santa","ss", E393="Triduo Pascual","tp", E393="Vigilia Pascual","tp", E393="Pascual","tp"), "/", G393, "/", TEXT(D393, "[$-es-ES]dddd"), ".mp3", CHAR(34), ", fecha: `${year}-", TEXT(D393, "mm-dd"), "` },")</f>
        <v>/* ENERO        */ { nombre: "Ordinario, Semana I,El Bautismo del Señor, DOMINGO", archivo: "/ev/to/1/domingo.mp3", fecha: `${year}-01-11` },</v>
      </c>
      <c r="L393" s="10">
        <f t="shared" si="43"/>
        <v>46033</v>
      </c>
    </row>
    <row r="394" spans="1:12" x14ac:dyDescent="0.25">
      <c r="A394" t="str" cm="1">
        <f t="array" ref="A394">_xlfn.IFS(E394="Adviento","ta", E394="Navidad","tn", E394="Epifania","te", E394="Ordinario","to", E394="Cuaresma","tc", E394="Domingo De Ramos","tc", E394="Semana Santa","ss", E394="Triduo Pascual","tp", E394="Vigilia Pascual","tp", E394="Pascual","tp")</f>
        <v>to</v>
      </c>
      <c r="B394" s="14" t="str">
        <f t="shared" si="38"/>
        <v>/* ENERO        */</v>
      </c>
      <c r="C394" s="15">
        <f t="shared" si="39"/>
        <v>46034</v>
      </c>
      <c r="D394" s="9">
        <f t="shared" si="40"/>
        <v>46034</v>
      </c>
      <c r="E394" t="s">
        <v>47</v>
      </c>
      <c r="F394" t="s">
        <v>43</v>
      </c>
      <c r="G394">
        <f t="shared" ref="G394:G399" si="44">G393</f>
        <v>1</v>
      </c>
      <c r="I394" s="11">
        <f t="shared" si="41"/>
        <v>46034</v>
      </c>
      <c r="J394" t="s">
        <v>44</v>
      </c>
      <c r="K394" t="str">
        <f>_xlfn.CONCAT(B394, " ", "{ nombre: ", CHAR(34), E394, ", ", F394, " ", ROMAN(G394),H394, ", ", UPPER(TEXT(D394, "[$-es-ES]dddd")), CHAR(34), ", archivo: ", CHAR(34), "/ev/", _xlfn.IFS(E394="Adviento","ta", E394="Navidad","tn", E394="Epifania","te", E394="Ordinario","to", E394="Cuaresma","tc", E394="Domingo De Ramos","tc", E394="Semana Santa","ss", E394="Triduo Pascual","tp", E394="Vigilia Pascual","tp", E394="Pascual","tp"), "/", G394, "/", TEXT(D394, "[$-es-ES]dddd"), ".mp3", CHAR(34), ", fecha: `${year}-", TEXT(D394, "mm-dd"), "` },")</f>
        <v>/* ENERO        */ { nombre: "Ordinario, Semana I, LUNES", archivo: "/ev/to/1/lunes.mp3", fecha: `${year}-01-12` },</v>
      </c>
      <c r="L394" s="10">
        <f t="shared" si="43"/>
        <v>46034</v>
      </c>
    </row>
    <row r="395" spans="1:12" x14ac:dyDescent="0.25">
      <c r="A395" t="str" cm="1">
        <f t="array" ref="A395">_xlfn.IFS(E395="Adviento","ta", E395="Navidad","tn", E395="Epifania","te", E395="Ordinario","to", E395="Cuaresma","tc", E395="Domingo De Ramos","tc", E395="Semana Santa","ss", E395="Triduo Pascual","tp", E395="Vigilia Pascual","tp", E395="Pascual","tp")</f>
        <v>to</v>
      </c>
      <c r="B395" s="14" t="str">
        <f t="shared" si="38"/>
        <v>/* ENERO        */</v>
      </c>
      <c r="C395" s="15">
        <f t="shared" si="39"/>
        <v>46035</v>
      </c>
      <c r="D395" s="9">
        <f t="shared" si="40"/>
        <v>46035</v>
      </c>
      <c r="E395" t="s">
        <v>47</v>
      </c>
      <c r="F395" t="s">
        <v>43</v>
      </c>
      <c r="G395">
        <f t="shared" si="44"/>
        <v>1</v>
      </c>
      <c r="I395" s="11">
        <f t="shared" si="41"/>
        <v>46035</v>
      </c>
      <c r="J395" t="s">
        <v>44</v>
      </c>
      <c r="K395" t="str">
        <f t="shared" si="42"/>
        <v>/* ENERO        */ { nombre: "Ordinario, Semana I, MARTES", archivo: "/ev/to/1/martes.mp3", fecha: `${year}-01-13` },</v>
      </c>
      <c r="L395" s="10">
        <f t="shared" si="43"/>
        <v>46035</v>
      </c>
    </row>
    <row r="396" spans="1:12" x14ac:dyDescent="0.25">
      <c r="A396" t="str" cm="1">
        <f t="array" ref="A396">_xlfn.IFS(E396="Adviento","ta", E396="Navidad","tn", E396="Epifania","te", E396="Ordinario","to", E396="Cuaresma","tc", E396="Domingo De Ramos","tc", E396="Semana Santa","ss", E396="Triduo Pascual","tp", E396="Vigilia Pascual","tp", E396="Pascual","tp")</f>
        <v>to</v>
      </c>
      <c r="B396" s="14" t="str">
        <f t="shared" si="38"/>
        <v>/* ENERO        */</v>
      </c>
      <c r="C396" s="15">
        <f t="shared" si="39"/>
        <v>46036</v>
      </c>
      <c r="D396" s="9">
        <f t="shared" si="40"/>
        <v>46036</v>
      </c>
      <c r="E396" t="s">
        <v>47</v>
      </c>
      <c r="F396" t="s">
        <v>43</v>
      </c>
      <c r="G396">
        <f t="shared" si="44"/>
        <v>1</v>
      </c>
      <c r="I396" s="11">
        <f t="shared" si="41"/>
        <v>46036</v>
      </c>
      <c r="J396" t="s">
        <v>44</v>
      </c>
      <c r="K396" t="str">
        <f t="shared" si="42"/>
        <v>/* ENERO        */ { nombre: "Ordinario, Semana I, MIÉRCOLES", archivo: "/ev/to/1/miércoles.mp3", fecha: `${year}-01-14` },</v>
      </c>
      <c r="L396" s="10">
        <f t="shared" si="43"/>
        <v>46036</v>
      </c>
    </row>
    <row r="397" spans="1:12" x14ac:dyDescent="0.25">
      <c r="A397" t="str" cm="1">
        <f t="array" ref="A397">_xlfn.IFS(E397="Adviento","ta", E397="Navidad","tn", E397="Epifania","te", E397="Ordinario","to", E397="Cuaresma","tc", E397="Domingo De Ramos","tc", E397="Semana Santa","ss", E397="Triduo Pascual","tp", E397="Vigilia Pascual","tp", E397="Pascual","tp")</f>
        <v>to</v>
      </c>
      <c r="B397" s="14" t="str">
        <f t="shared" si="38"/>
        <v>/* ENERO        */</v>
      </c>
      <c r="C397" s="15">
        <f t="shared" si="39"/>
        <v>46037</v>
      </c>
      <c r="D397" s="9">
        <f t="shared" si="40"/>
        <v>46037</v>
      </c>
      <c r="E397" t="s">
        <v>47</v>
      </c>
      <c r="F397" t="s">
        <v>43</v>
      </c>
      <c r="G397">
        <f t="shared" si="44"/>
        <v>1</v>
      </c>
      <c r="I397" s="11">
        <f t="shared" si="41"/>
        <v>46037</v>
      </c>
      <c r="J397" t="s">
        <v>44</v>
      </c>
      <c r="K397" t="str">
        <f t="shared" si="42"/>
        <v>/* ENERO        */ { nombre: "Ordinario, Semana I, JUEVES", archivo: "/ev/to/1/jueves.mp3", fecha: `${year}-01-15` },</v>
      </c>
      <c r="L397" s="10">
        <f t="shared" si="43"/>
        <v>46037</v>
      </c>
    </row>
    <row r="398" spans="1:12" x14ac:dyDescent="0.25">
      <c r="A398" t="str" cm="1">
        <f t="array" ref="A398">_xlfn.IFS(E398="Adviento","ta", E398="Navidad","tn", E398="Epifania","te", E398="Ordinario","to", E398="Cuaresma","tc", E398="Domingo De Ramos","tc", E398="Semana Santa","ss", E398="Triduo Pascual","tp", E398="Vigilia Pascual","tp", E398="Pascual","tp")</f>
        <v>to</v>
      </c>
      <c r="B398" s="14" t="str">
        <f t="shared" si="38"/>
        <v>/* ENERO        */</v>
      </c>
      <c r="C398" s="15">
        <f t="shared" si="39"/>
        <v>46038</v>
      </c>
      <c r="D398" s="9">
        <f t="shared" si="40"/>
        <v>46038</v>
      </c>
      <c r="E398" t="s">
        <v>47</v>
      </c>
      <c r="F398" t="s">
        <v>43</v>
      </c>
      <c r="G398">
        <f t="shared" si="44"/>
        <v>1</v>
      </c>
      <c r="I398" s="11">
        <f t="shared" si="41"/>
        <v>46038</v>
      </c>
      <c r="J398" t="s">
        <v>44</v>
      </c>
      <c r="K398" t="str">
        <f t="shared" si="42"/>
        <v>/* ENERO        */ { nombre: "Ordinario, Semana I, VIERNES", archivo: "/ev/to/1/viernes.mp3", fecha: `${year}-01-16` },</v>
      </c>
      <c r="L398" s="10">
        <f t="shared" si="43"/>
        <v>46038</v>
      </c>
    </row>
    <row r="399" spans="1:12" x14ac:dyDescent="0.25">
      <c r="A399" t="str" cm="1">
        <f t="array" ref="A399">_xlfn.IFS(E399="Adviento","ta", E399="Navidad","tn", E399="Epifania","te", E399="Ordinario","to", E399="Cuaresma","tc", E399="Domingo De Ramos","tc", E399="Semana Santa","ss", E399="Triduo Pascual","tp", E399="Vigilia Pascual","tp", E399="Pascual","tp")</f>
        <v>to</v>
      </c>
      <c r="B399" s="14" t="str">
        <f t="shared" si="38"/>
        <v>/* ENERO        */</v>
      </c>
      <c r="C399" s="15">
        <f t="shared" si="39"/>
        <v>46039</v>
      </c>
      <c r="D399" s="9">
        <f t="shared" si="40"/>
        <v>46039</v>
      </c>
      <c r="E399" t="s">
        <v>47</v>
      </c>
      <c r="F399" t="s">
        <v>43</v>
      </c>
      <c r="G399">
        <f t="shared" si="44"/>
        <v>1</v>
      </c>
      <c r="I399" s="11">
        <f t="shared" si="41"/>
        <v>46039</v>
      </c>
      <c r="J399" t="s">
        <v>44</v>
      </c>
      <c r="K399" t="str">
        <f t="shared" si="42"/>
        <v>/* ENERO        */ { nombre: "Ordinario, Semana I, SÁBADO", archivo: "/ev/to/1/sábado.mp3", fecha: `${year}-01-17` },</v>
      </c>
      <c r="L399" s="10">
        <f t="shared" si="43"/>
        <v>46039</v>
      </c>
    </row>
    <row r="400" spans="1:12" x14ac:dyDescent="0.25">
      <c r="A400" t="str" cm="1">
        <f t="array" ref="A400">_xlfn.IFS(E400="Adviento","ta", E400="Navidad","tn", E400="Epifania","te", E400="Ordinario","to", E400="Cuaresma","tc", E400="Domingo De Ramos","tc", E400="Semana Santa","ss", E400="Triduo Pascual","tp", E400="Vigilia Pascual","tp", E400="Pascual","tp")</f>
        <v>to</v>
      </c>
      <c r="B400" s="14" t="str">
        <f t="shared" si="38"/>
        <v>/* ENERO        */</v>
      </c>
      <c r="C400" s="15">
        <f t="shared" si="39"/>
        <v>46040</v>
      </c>
      <c r="D400" s="9">
        <f t="shared" si="40"/>
        <v>46040</v>
      </c>
      <c r="E400" t="s">
        <v>47</v>
      </c>
      <c r="F400" t="s">
        <v>43</v>
      </c>
      <c r="G400">
        <f>+G399+1</f>
        <v>2</v>
      </c>
      <c r="I400" s="11">
        <f t="shared" si="41"/>
        <v>46040</v>
      </c>
      <c r="J400" t="s">
        <v>44</v>
      </c>
      <c r="K400" t="str">
        <f t="shared" si="42"/>
        <v>/* ENERO        */ { nombre: "Ordinario, Semana II, DOMINGO", archivo: "/ev/to/2/domingo.mp3", fecha: `${year}-01-18` },</v>
      </c>
      <c r="L400" s="10">
        <f t="shared" si="43"/>
        <v>46040</v>
      </c>
    </row>
    <row r="401" spans="1:12" x14ac:dyDescent="0.25">
      <c r="A401" t="str" cm="1">
        <f t="array" ref="A401">_xlfn.IFS(E401="Adviento","ta", E401="Navidad","tn", E401="Epifania","te", E401="Ordinario","to", E401="Cuaresma","tc", E401="Domingo De Ramos","tc", E401="Semana Santa","ss", E401="Triduo Pascual","tp", E401="Vigilia Pascual","tp", E401="Pascual","tp")</f>
        <v>to</v>
      </c>
      <c r="B401" s="14" t="str">
        <f t="shared" si="38"/>
        <v>/* ENERO        */</v>
      </c>
      <c r="C401" s="15">
        <f t="shared" si="39"/>
        <v>46041</v>
      </c>
      <c r="D401" s="9">
        <f t="shared" si="40"/>
        <v>46041</v>
      </c>
      <c r="E401" t="s">
        <v>47</v>
      </c>
      <c r="F401" t="s">
        <v>43</v>
      </c>
      <c r="G401">
        <f>G400</f>
        <v>2</v>
      </c>
      <c r="I401" s="11">
        <f t="shared" si="41"/>
        <v>46041</v>
      </c>
      <c r="J401" t="s">
        <v>44</v>
      </c>
      <c r="K401" t="str">
        <f t="shared" si="42"/>
        <v>/* ENERO        */ { nombre: "Ordinario, Semana II, LUNES", archivo: "/ev/to/2/lunes.mp3", fecha: `${year}-01-19` },</v>
      </c>
      <c r="L401" s="10">
        <f t="shared" si="43"/>
        <v>46041</v>
      </c>
    </row>
    <row r="402" spans="1:12" x14ac:dyDescent="0.25">
      <c r="A402" t="str" cm="1">
        <f t="array" ref="A402">_xlfn.IFS(E402="Adviento","ta", E402="Navidad","tn", E402="Epifania","te", E402="Ordinario","to", E402="Cuaresma","tc", E402="Domingo De Ramos","tc", E402="Semana Santa","ss", E402="Triduo Pascual","tp", E402="Vigilia Pascual","tp", E402="Pascual","tp")</f>
        <v>to</v>
      </c>
      <c r="B402" s="14" t="str">
        <f t="shared" si="38"/>
        <v>/* ENERO        */</v>
      </c>
      <c r="C402" s="15">
        <f t="shared" si="39"/>
        <v>46042</v>
      </c>
      <c r="D402" s="9">
        <f t="shared" si="40"/>
        <v>46042</v>
      </c>
      <c r="E402" t="s">
        <v>47</v>
      </c>
      <c r="F402" t="s">
        <v>43</v>
      </c>
      <c r="G402">
        <f t="shared" ref="G402:G406" si="45">G401</f>
        <v>2</v>
      </c>
      <c r="I402" s="11">
        <f t="shared" si="41"/>
        <v>46042</v>
      </c>
      <c r="J402" t="s">
        <v>44</v>
      </c>
      <c r="K402" t="str">
        <f t="shared" si="42"/>
        <v>/* ENERO        */ { nombre: "Ordinario, Semana II, MARTES", archivo: "/ev/to/2/martes.mp3", fecha: `${year}-01-20` },</v>
      </c>
      <c r="L402" s="10">
        <f t="shared" si="43"/>
        <v>46042</v>
      </c>
    </row>
    <row r="403" spans="1:12" x14ac:dyDescent="0.25">
      <c r="A403" t="str" cm="1">
        <f t="array" ref="A403">_xlfn.IFS(E403="Adviento","ta", E403="Navidad","tn", E403="Epifania","te", E403="Ordinario","to", E403="Cuaresma","tc", E403="Domingo De Ramos","tc", E403="Semana Santa","ss", E403="Triduo Pascual","tp", E403="Vigilia Pascual","tp", E403="Pascual","tp")</f>
        <v>to</v>
      </c>
      <c r="B403" s="14" t="str">
        <f t="shared" si="38"/>
        <v>/* ENERO        */</v>
      </c>
      <c r="C403" s="15">
        <f t="shared" si="39"/>
        <v>46043</v>
      </c>
      <c r="D403" s="9">
        <f t="shared" si="40"/>
        <v>46043</v>
      </c>
      <c r="E403" t="s">
        <v>47</v>
      </c>
      <c r="F403" t="s">
        <v>43</v>
      </c>
      <c r="G403">
        <f t="shared" si="45"/>
        <v>2</v>
      </c>
      <c r="I403" s="11">
        <f t="shared" si="41"/>
        <v>46043</v>
      </c>
      <c r="J403" t="s">
        <v>44</v>
      </c>
      <c r="K403" t="str">
        <f t="shared" si="42"/>
        <v>/* ENERO        */ { nombre: "Ordinario, Semana II, MIÉRCOLES", archivo: "/ev/to/2/miércoles.mp3", fecha: `${year}-01-21` },</v>
      </c>
      <c r="L403" s="10">
        <f t="shared" si="43"/>
        <v>46043</v>
      </c>
    </row>
    <row r="404" spans="1:12" x14ac:dyDescent="0.25">
      <c r="A404" t="str" cm="1">
        <f t="array" ref="A404">_xlfn.IFS(E404="Adviento","ta", E404="Navidad","tn", E404="Epifania","te", E404="Ordinario","to", E404="Cuaresma","tc", E404="Domingo De Ramos","tc", E404="Semana Santa","ss", E404="Triduo Pascual","tp", E404="Vigilia Pascual","tp", E404="Pascual","tp")</f>
        <v>to</v>
      </c>
      <c r="B404" s="14" t="str">
        <f t="shared" si="38"/>
        <v>/* ENERO        */</v>
      </c>
      <c r="C404" s="15">
        <f t="shared" si="39"/>
        <v>46044</v>
      </c>
      <c r="D404" s="9">
        <f t="shared" si="40"/>
        <v>46044</v>
      </c>
      <c r="E404" t="s">
        <v>47</v>
      </c>
      <c r="F404" t="s">
        <v>43</v>
      </c>
      <c r="G404">
        <f t="shared" si="45"/>
        <v>2</v>
      </c>
      <c r="I404" s="11">
        <f t="shared" si="41"/>
        <v>46044</v>
      </c>
      <c r="J404" t="s">
        <v>44</v>
      </c>
      <c r="K404" t="str">
        <f t="shared" si="42"/>
        <v>/* ENERO        */ { nombre: "Ordinario, Semana II, JUEVES", archivo: "/ev/to/2/jueves.mp3", fecha: `${year}-01-22` },</v>
      </c>
      <c r="L404" s="10">
        <f t="shared" si="43"/>
        <v>46044</v>
      </c>
    </row>
    <row r="405" spans="1:12" x14ac:dyDescent="0.25">
      <c r="A405" t="str" cm="1">
        <f t="array" ref="A405">_xlfn.IFS(E405="Adviento","ta", E405="Navidad","tn", E405="Epifania","te", E405="Ordinario","to", E405="Cuaresma","tc", E405="Domingo De Ramos","tc", E405="Semana Santa","ss", E405="Triduo Pascual","tp", E405="Vigilia Pascual","tp", E405="Pascual","tp")</f>
        <v>to</v>
      </c>
      <c r="B405" s="14" t="str">
        <f t="shared" si="38"/>
        <v>/* ENERO        */</v>
      </c>
      <c r="C405" s="15">
        <f t="shared" si="39"/>
        <v>46045</v>
      </c>
      <c r="D405" s="9">
        <f t="shared" si="40"/>
        <v>46045</v>
      </c>
      <c r="E405" t="s">
        <v>47</v>
      </c>
      <c r="F405" t="s">
        <v>43</v>
      </c>
      <c r="G405">
        <f t="shared" si="45"/>
        <v>2</v>
      </c>
      <c r="I405" s="11">
        <f t="shared" si="41"/>
        <v>46045</v>
      </c>
      <c r="J405" t="s">
        <v>44</v>
      </c>
      <c r="K405" t="str">
        <f t="shared" si="42"/>
        <v>/* ENERO        */ { nombre: "Ordinario, Semana II, VIERNES", archivo: "/ev/to/2/viernes.mp3", fecha: `${year}-01-23` },</v>
      </c>
      <c r="L405" s="10">
        <f t="shared" si="43"/>
        <v>46045</v>
      </c>
    </row>
    <row r="406" spans="1:12" x14ac:dyDescent="0.25">
      <c r="A406" t="str" cm="1">
        <f t="array" ref="A406">_xlfn.IFS(E406="Adviento","ta", E406="Navidad","tn", E406="Epifania","te", E406="Ordinario","to", E406="Cuaresma","tc", E406="Domingo De Ramos","tc", E406="Semana Santa","ss", E406="Triduo Pascual","tp", E406="Vigilia Pascual","tp", E406="Pascual","tp")</f>
        <v>to</v>
      </c>
      <c r="B406" s="14" t="str">
        <f t="shared" ref="B406:B469" si="46">_xlfn.CONCAT("/* ",UPPER(TEXT(D406,"[$-es-ES]mmmm")),"        */")</f>
        <v>/* ENERO        */</v>
      </c>
      <c r="C406" s="15">
        <f t="shared" si="39"/>
        <v>46046</v>
      </c>
      <c r="D406" s="9">
        <f t="shared" si="40"/>
        <v>46046</v>
      </c>
      <c r="E406" t="s">
        <v>47</v>
      </c>
      <c r="F406" t="s">
        <v>43</v>
      </c>
      <c r="G406">
        <f t="shared" si="45"/>
        <v>2</v>
      </c>
      <c r="I406" s="11">
        <f t="shared" si="41"/>
        <v>46046</v>
      </c>
      <c r="J406" t="s">
        <v>44</v>
      </c>
      <c r="K406" t="str">
        <f t="shared" si="42"/>
        <v>/* ENERO        */ { nombre: "Ordinario, Semana II, SÁBADO", archivo: "/ev/to/2/sábado.mp3", fecha: `${year}-01-24` },</v>
      </c>
      <c r="L406" s="10">
        <f t="shared" si="43"/>
        <v>46046</v>
      </c>
    </row>
    <row r="407" spans="1:12" x14ac:dyDescent="0.25">
      <c r="A407" t="str" cm="1">
        <f t="array" ref="A407">_xlfn.IFS(E407="Adviento","ta", E407="Navidad","tn", E407="Epifania","te", E407="Ordinario","to", E407="Cuaresma","tc", E407="Domingo De Ramos","tc", E407="Semana Santa","ss", E407="Triduo Pascual","tp", E407="Vigilia Pascual","tp", E407="Pascual","tp")</f>
        <v>to</v>
      </c>
      <c r="B407" s="14" t="str">
        <f t="shared" si="46"/>
        <v>/* ENERO        */</v>
      </c>
      <c r="C407" s="15">
        <f t="shared" si="39"/>
        <v>46047</v>
      </c>
      <c r="D407" s="9">
        <f t="shared" si="40"/>
        <v>46047</v>
      </c>
      <c r="E407" t="s">
        <v>47</v>
      </c>
      <c r="F407" t="s">
        <v>43</v>
      </c>
      <c r="G407">
        <f>+G406+1</f>
        <v>3</v>
      </c>
      <c r="I407" s="11">
        <f t="shared" si="41"/>
        <v>46047</v>
      </c>
      <c r="J407" t="s">
        <v>44</v>
      </c>
      <c r="K407" t="str">
        <f t="shared" si="42"/>
        <v>/* ENERO        */ { nombre: "Ordinario, Semana III, DOMINGO", archivo: "/ev/to/3/domingo.mp3", fecha: `${year}-01-25` },</v>
      </c>
      <c r="L407" s="10">
        <f t="shared" si="43"/>
        <v>46047</v>
      </c>
    </row>
    <row r="408" spans="1:12" x14ac:dyDescent="0.25">
      <c r="A408" t="str" cm="1">
        <f t="array" ref="A408">_xlfn.IFS(E408="Adviento","ta", E408="Navidad","tn", E408="Epifania","te", E408="Ordinario","to", E408="Cuaresma","tc", E408="Domingo De Ramos","tc", E408="Semana Santa","ss", E408="Triduo Pascual","tp", E408="Vigilia Pascual","tp", E408="Pascual","tp")</f>
        <v>to</v>
      </c>
      <c r="B408" s="14" t="str">
        <f t="shared" si="46"/>
        <v>/* ENERO        */</v>
      </c>
      <c r="C408" s="15">
        <f t="shared" si="39"/>
        <v>46048</v>
      </c>
      <c r="D408" s="9">
        <f t="shared" si="40"/>
        <v>46048</v>
      </c>
      <c r="E408" t="s">
        <v>47</v>
      </c>
      <c r="F408" t="s">
        <v>43</v>
      </c>
      <c r="G408">
        <f>G407</f>
        <v>3</v>
      </c>
      <c r="I408" s="11">
        <f t="shared" si="41"/>
        <v>46048</v>
      </c>
      <c r="J408" t="s">
        <v>44</v>
      </c>
      <c r="K408" t="str">
        <f t="shared" si="42"/>
        <v>/* ENERO        */ { nombre: "Ordinario, Semana III, LUNES", archivo: "/ev/to/3/lunes.mp3", fecha: `${year}-01-26` },</v>
      </c>
      <c r="L408" s="10">
        <f t="shared" si="43"/>
        <v>46048</v>
      </c>
    </row>
    <row r="409" spans="1:12" x14ac:dyDescent="0.25">
      <c r="A409" t="str" cm="1">
        <f t="array" ref="A409">_xlfn.IFS(E409="Adviento","ta", E409="Navidad","tn", E409="Epifania","te", E409="Ordinario","to", E409="Cuaresma","tc", E409="Domingo De Ramos","tc", E409="Semana Santa","ss", E409="Triduo Pascual","tp", E409="Vigilia Pascual","tp", E409="Pascual","tp")</f>
        <v>to</v>
      </c>
      <c r="B409" s="14" t="str">
        <f t="shared" si="46"/>
        <v>/* ENERO        */</v>
      </c>
      <c r="C409" s="15">
        <f t="shared" si="39"/>
        <v>46049</v>
      </c>
      <c r="D409" s="9">
        <f t="shared" si="40"/>
        <v>46049</v>
      </c>
      <c r="E409" t="s">
        <v>47</v>
      </c>
      <c r="F409" t="s">
        <v>43</v>
      </c>
      <c r="G409">
        <f t="shared" ref="G409:G413" si="47">G408</f>
        <v>3</v>
      </c>
      <c r="I409" s="11">
        <f t="shared" si="41"/>
        <v>46049</v>
      </c>
      <c r="J409" t="s">
        <v>44</v>
      </c>
      <c r="K409" t="str">
        <f t="shared" si="42"/>
        <v>/* ENERO        */ { nombre: "Ordinario, Semana III, MARTES", archivo: "/ev/to/3/martes.mp3", fecha: `${year}-01-27` },</v>
      </c>
      <c r="L409" s="10">
        <f t="shared" si="43"/>
        <v>46049</v>
      </c>
    </row>
    <row r="410" spans="1:12" x14ac:dyDescent="0.25">
      <c r="A410" t="str" cm="1">
        <f t="array" ref="A410">_xlfn.IFS(E410="Adviento","ta", E410="Navidad","tn", E410="Epifania","te", E410="Ordinario","to", E410="Cuaresma","tc", E410="Domingo De Ramos","tc", E410="Semana Santa","ss", E410="Triduo Pascual","tp", E410="Vigilia Pascual","tp", E410="Pascual","tp")</f>
        <v>to</v>
      </c>
      <c r="B410" s="14" t="str">
        <f t="shared" si="46"/>
        <v>/* ENERO        */</v>
      </c>
      <c r="C410" s="15">
        <f t="shared" si="39"/>
        <v>46050</v>
      </c>
      <c r="D410" s="9">
        <f t="shared" si="40"/>
        <v>46050</v>
      </c>
      <c r="E410" t="s">
        <v>47</v>
      </c>
      <c r="F410" t="s">
        <v>43</v>
      </c>
      <c r="G410">
        <f t="shared" si="47"/>
        <v>3</v>
      </c>
      <c r="I410" s="11">
        <f t="shared" si="41"/>
        <v>46050</v>
      </c>
      <c r="J410" t="s">
        <v>44</v>
      </c>
      <c r="K410" t="str">
        <f t="shared" si="42"/>
        <v>/* ENERO        */ { nombre: "Ordinario, Semana III, MIÉRCOLES", archivo: "/ev/to/3/miércoles.mp3", fecha: `${year}-01-28` },</v>
      </c>
      <c r="L410" s="10">
        <f t="shared" si="43"/>
        <v>46050</v>
      </c>
    </row>
    <row r="411" spans="1:12" x14ac:dyDescent="0.25">
      <c r="A411" t="str" cm="1">
        <f t="array" ref="A411">_xlfn.IFS(E411="Adviento","ta", E411="Navidad","tn", E411="Epifania","te", E411="Ordinario","to", E411="Cuaresma","tc", E411="Domingo De Ramos","tc", E411="Semana Santa","ss", E411="Triduo Pascual","tp", E411="Vigilia Pascual","tp", E411="Pascual","tp")</f>
        <v>to</v>
      </c>
      <c r="B411" s="14" t="str">
        <f t="shared" si="46"/>
        <v>/* ENERO        */</v>
      </c>
      <c r="C411" s="15">
        <f t="shared" si="39"/>
        <v>46051</v>
      </c>
      <c r="D411" s="9">
        <f t="shared" si="40"/>
        <v>46051</v>
      </c>
      <c r="E411" t="s">
        <v>47</v>
      </c>
      <c r="F411" t="s">
        <v>43</v>
      </c>
      <c r="G411">
        <f t="shared" si="47"/>
        <v>3</v>
      </c>
      <c r="I411" s="11">
        <f t="shared" si="41"/>
        <v>46051</v>
      </c>
      <c r="J411" t="s">
        <v>44</v>
      </c>
      <c r="K411" t="str">
        <f t="shared" si="42"/>
        <v>/* ENERO        */ { nombre: "Ordinario, Semana III, JUEVES", archivo: "/ev/to/3/jueves.mp3", fecha: `${year}-01-29` },</v>
      </c>
      <c r="L411" s="10">
        <f t="shared" si="43"/>
        <v>46051</v>
      </c>
    </row>
    <row r="412" spans="1:12" x14ac:dyDescent="0.25">
      <c r="A412" t="str" cm="1">
        <f t="array" ref="A412">_xlfn.IFS(E412="Adviento","ta", E412="Navidad","tn", E412="Epifania","te", E412="Ordinario","to", E412="Cuaresma","tc", E412="Domingo De Ramos","tc", E412="Semana Santa","ss", E412="Triduo Pascual","tp", E412="Vigilia Pascual","tp", E412="Pascual","tp")</f>
        <v>to</v>
      </c>
      <c r="B412" s="14" t="str">
        <f t="shared" si="46"/>
        <v>/* ENERO        */</v>
      </c>
      <c r="C412" s="15">
        <f t="shared" si="39"/>
        <v>46052</v>
      </c>
      <c r="D412" s="9">
        <f t="shared" si="40"/>
        <v>46052</v>
      </c>
      <c r="E412" t="s">
        <v>47</v>
      </c>
      <c r="F412" t="s">
        <v>43</v>
      </c>
      <c r="G412">
        <f t="shared" si="47"/>
        <v>3</v>
      </c>
      <c r="I412" s="11">
        <f t="shared" si="41"/>
        <v>46052</v>
      </c>
      <c r="J412" t="s">
        <v>44</v>
      </c>
      <c r="K412" t="str">
        <f t="shared" si="42"/>
        <v>/* ENERO        */ { nombre: "Ordinario, Semana III, VIERNES", archivo: "/ev/to/3/viernes.mp3", fecha: `${year}-01-30` },</v>
      </c>
      <c r="L412" s="10">
        <f t="shared" si="43"/>
        <v>46052</v>
      </c>
    </row>
    <row r="413" spans="1:12" x14ac:dyDescent="0.25">
      <c r="A413" t="str" cm="1">
        <f t="array" ref="A413">_xlfn.IFS(E413="Adviento","ta", E413="Navidad","tn", E413="Epifania","te", E413="Ordinario","to", E413="Cuaresma","tc", E413="Domingo De Ramos","tc", E413="Semana Santa","ss", E413="Triduo Pascual","tp", E413="Vigilia Pascual","tp", E413="Pascual","tp")</f>
        <v>to</v>
      </c>
      <c r="B413" s="14" t="str">
        <f t="shared" si="46"/>
        <v>/* ENERO        */</v>
      </c>
      <c r="C413" s="15">
        <f t="shared" si="39"/>
        <v>46053</v>
      </c>
      <c r="D413" s="9">
        <f t="shared" si="40"/>
        <v>46053</v>
      </c>
      <c r="E413" t="s">
        <v>47</v>
      </c>
      <c r="F413" t="s">
        <v>43</v>
      </c>
      <c r="G413">
        <f t="shared" si="47"/>
        <v>3</v>
      </c>
      <c r="I413" s="11">
        <f t="shared" si="41"/>
        <v>46053</v>
      </c>
      <c r="J413" t="s">
        <v>44</v>
      </c>
      <c r="K413" t="str">
        <f t="shared" si="42"/>
        <v>/* ENERO        */ { nombre: "Ordinario, Semana III, SÁBADO", archivo: "/ev/to/3/sábado.mp3", fecha: `${year}-01-31` },</v>
      </c>
      <c r="L413" s="10">
        <f t="shared" si="43"/>
        <v>46053</v>
      </c>
    </row>
    <row r="414" spans="1:12" x14ac:dyDescent="0.25">
      <c r="A414" t="str" cm="1">
        <f t="array" ref="A414">_xlfn.IFS(E414="Adviento","ta", E414="Navidad","tn", E414="Epifania","te", E414="Ordinario","to", E414="Cuaresma","tc", E414="Domingo De Ramos","tc", E414="Semana Santa","ss", E414="Triduo Pascual","tp", E414="Vigilia Pascual","tp", E414="Pascual","tp")</f>
        <v>to</v>
      </c>
      <c r="B414" s="14" t="str">
        <f t="shared" si="46"/>
        <v>/* FEBRERO        */</v>
      </c>
      <c r="C414" s="15">
        <f t="shared" si="39"/>
        <v>46054</v>
      </c>
      <c r="D414" s="9">
        <f t="shared" si="40"/>
        <v>46054</v>
      </c>
      <c r="E414" t="s">
        <v>47</v>
      </c>
      <c r="F414" t="s">
        <v>43</v>
      </c>
      <c r="G414">
        <f>+G413+1</f>
        <v>4</v>
      </c>
      <c r="I414" s="11">
        <f t="shared" si="41"/>
        <v>46054</v>
      </c>
      <c r="J414" t="s">
        <v>44</v>
      </c>
      <c r="K414" t="str">
        <f t="shared" si="42"/>
        <v>/* FEBRERO        */ { nombre: "Ordinario, Semana IV, DOMINGO", archivo: "/ev/to/4/domingo.mp3", fecha: `${year}-02-01` },</v>
      </c>
      <c r="L414" s="10">
        <f t="shared" si="43"/>
        <v>46054</v>
      </c>
    </row>
    <row r="415" spans="1:12" x14ac:dyDescent="0.25">
      <c r="A415" t="str" cm="1">
        <f t="array" ref="A415">_xlfn.IFS(E415="Adviento","ta", E415="Navidad","tn", E415="Epifania","te", E415="Ordinario","to", E415="Cuaresma","tc", E415="Domingo De Ramos","tc", E415="Semana Santa","ss", E415="Triduo Pascual","tp", E415="Vigilia Pascual","tp", E415="Pascual","tp")</f>
        <v>to</v>
      </c>
      <c r="B415" s="14" t="str">
        <f t="shared" si="46"/>
        <v>/* FEBRERO        */</v>
      </c>
      <c r="C415" s="15">
        <f t="shared" si="39"/>
        <v>46055</v>
      </c>
      <c r="D415" s="9">
        <f t="shared" si="40"/>
        <v>46055</v>
      </c>
      <c r="E415" t="s">
        <v>47</v>
      </c>
      <c r="F415" t="s">
        <v>43</v>
      </c>
      <c r="G415">
        <f>G414</f>
        <v>4</v>
      </c>
      <c r="I415" s="11">
        <f t="shared" si="41"/>
        <v>46055</v>
      </c>
      <c r="J415" t="s">
        <v>44</v>
      </c>
      <c r="K415" t="str">
        <f t="shared" si="42"/>
        <v>/* FEBRERO        */ { nombre: "Ordinario, Semana IV, LUNES", archivo: "/ev/to/4/lunes.mp3", fecha: `${year}-02-02` },</v>
      </c>
      <c r="L415" s="10">
        <f t="shared" si="43"/>
        <v>46055</v>
      </c>
    </row>
    <row r="416" spans="1:12" x14ac:dyDescent="0.25">
      <c r="A416" t="str" cm="1">
        <f t="array" ref="A416">_xlfn.IFS(E416="Adviento","ta", E416="Navidad","tn", E416="Epifania","te", E416="Ordinario","to", E416="Cuaresma","tc", E416="Domingo De Ramos","tc", E416="Semana Santa","ss", E416="Triduo Pascual","tp", E416="Vigilia Pascual","tp", E416="Pascual","tp")</f>
        <v>to</v>
      </c>
      <c r="B416" s="14" t="str">
        <f t="shared" si="46"/>
        <v>/* FEBRERO        */</v>
      </c>
      <c r="C416" s="15">
        <f t="shared" si="39"/>
        <v>46056</v>
      </c>
      <c r="D416" s="9">
        <f t="shared" si="40"/>
        <v>46056</v>
      </c>
      <c r="E416" t="s">
        <v>47</v>
      </c>
      <c r="F416" t="s">
        <v>43</v>
      </c>
      <c r="G416">
        <f t="shared" ref="G416:G420" si="48">G415</f>
        <v>4</v>
      </c>
      <c r="I416" s="11">
        <f t="shared" si="41"/>
        <v>46056</v>
      </c>
      <c r="J416" t="s">
        <v>44</v>
      </c>
      <c r="K416" t="str">
        <f t="shared" si="42"/>
        <v>/* FEBRERO        */ { nombre: "Ordinario, Semana IV, MARTES", archivo: "/ev/to/4/martes.mp3", fecha: `${year}-02-03` },</v>
      </c>
      <c r="L416" s="10">
        <f t="shared" si="43"/>
        <v>46056</v>
      </c>
    </row>
    <row r="417" spans="1:12" x14ac:dyDescent="0.25">
      <c r="A417" t="str" cm="1">
        <f t="array" ref="A417">_xlfn.IFS(E417="Adviento","ta", E417="Navidad","tn", E417="Epifania","te", E417="Ordinario","to", E417="Cuaresma","tc", E417="Domingo De Ramos","tc", E417="Semana Santa","ss", E417="Triduo Pascual","tp", E417="Vigilia Pascual","tp", E417="Pascual","tp")</f>
        <v>to</v>
      </c>
      <c r="B417" s="14" t="str">
        <f t="shared" si="46"/>
        <v>/* FEBRERO        */</v>
      </c>
      <c r="C417" s="15">
        <f t="shared" si="39"/>
        <v>46057</v>
      </c>
      <c r="D417" s="9">
        <f t="shared" si="40"/>
        <v>46057</v>
      </c>
      <c r="E417" t="s">
        <v>47</v>
      </c>
      <c r="F417" t="s">
        <v>43</v>
      </c>
      <c r="G417">
        <f t="shared" si="48"/>
        <v>4</v>
      </c>
      <c r="I417" s="11">
        <f t="shared" si="41"/>
        <v>46057</v>
      </c>
      <c r="J417" t="s">
        <v>44</v>
      </c>
      <c r="K417" t="str">
        <f t="shared" si="42"/>
        <v>/* FEBRERO        */ { nombre: "Ordinario, Semana IV, MIÉRCOLES", archivo: "/ev/to/4/miércoles.mp3", fecha: `${year}-02-04` },</v>
      </c>
      <c r="L417" s="10">
        <f t="shared" si="43"/>
        <v>46057</v>
      </c>
    </row>
    <row r="418" spans="1:12" x14ac:dyDescent="0.25">
      <c r="A418" t="str" cm="1">
        <f t="array" ref="A418">_xlfn.IFS(E418="Adviento","ta", E418="Navidad","tn", E418="Epifania","te", E418="Ordinario","to", E418="Cuaresma","tc", E418="Domingo De Ramos","tc", E418="Semana Santa","ss", E418="Triduo Pascual","tp", E418="Vigilia Pascual","tp", E418="Pascual","tp")</f>
        <v>to</v>
      </c>
      <c r="B418" s="14" t="str">
        <f t="shared" si="46"/>
        <v>/* FEBRERO        */</v>
      </c>
      <c r="C418" s="15">
        <f t="shared" si="39"/>
        <v>46058</v>
      </c>
      <c r="D418" s="9">
        <f t="shared" si="40"/>
        <v>46058</v>
      </c>
      <c r="E418" t="s">
        <v>47</v>
      </c>
      <c r="F418" t="s">
        <v>43</v>
      </c>
      <c r="G418">
        <f t="shared" si="48"/>
        <v>4</v>
      </c>
      <c r="I418" s="11">
        <f t="shared" si="41"/>
        <v>46058</v>
      </c>
      <c r="J418" t="s">
        <v>44</v>
      </c>
      <c r="K418" t="str">
        <f t="shared" si="42"/>
        <v>/* FEBRERO        */ { nombre: "Ordinario, Semana IV, JUEVES", archivo: "/ev/to/4/jueves.mp3", fecha: `${year}-02-05` },</v>
      </c>
      <c r="L418" s="10">
        <f t="shared" si="43"/>
        <v>46058</v>
      </c>
    </row>
    <row r="419" spans="1:12" x14ac:dyDescent="0.25">
      <c r="A419" t="str" cm="1">
        <f t="array" ref="A419">_xlfn.IFS(E419="Adviento","ta", E419="Navidad","tn", E419="Epifania","te", E419="Ordinario","to", E419="Cuaresma","tc", E419="Domingo De Ramos","tc", E419="Semana Santa","ss", E419="Triduo Pascual","tp", E419="Vigilia Pascual","tp", E419="Pascual","tp")</f>
        <v>to</v>
      </c>
      <c r="B419" s="14" t="str">
        <f t="shared" si="46"/>
        <v>/* FEBRERO        */</v>
      </c>
      <c r="C419" s="15">
        <f t="shared" si="39"/>
        <v>46059</v>
      </c>
      <c r="D419" s="9">
        <f t="shared" si="40"/>
        <v>46059</v>
      </c>
      <c r="E419" t="s">
        <v>47</v>
      </c>
      <c r="F419" t="s">
        <v>43</v>
      </c>
      <c r="G419">
        <f t="shared" si="48"/>
        <v>4</v>
      </c>
      <c r="I419" s="11">
        <f t="shared" si="41"/>
        <v>46059</v>
      </c>
      <c r="J419" t="s">
        <v>44</v>
      </c>
      <c r="K419" t="str">
        <f t="shared" si="42"/>
        <v>/* FEBRERO        */ { nombre: "Ordinario, Semana IV, VIERNES", archivo: "/ev/to/4/viernes.mp3", fecha: `${year}-02-06` },</v>
      </c>
      <c r="L419" s="10">
        <f t="shared" si="43"/>
        <v>46059</v>
      </c>
    </row>
    <row r="420" spans="1:12" x14ac:dyDescent="0.25">
      <c r="A420" t="str" cm="1">
        <f t="array" ref="A420">_xlfn.IFS(E420="Adviento","ta", E420="Navidad","tn", E420="Epifania","te", E420="Ordinario","to", E420="Cuaresma","tc", E420="Domingo De Ramos","tc", E420="Semana Santa","ss", E420="Triduo Pascual","tp", E420="Vigilia Pascual","tp", E420="Pascual","tp")</f>
        <v>to</v>
      </c>
      <c r="B420" s="14" t="str">
        <f t="shared" si="46"/>
        <v>/* FEBRERO        */</v>
      </c>
      <c r="C420" s="15">
        <f t="shared" si="39"/>
        <v>46060</v>
      </c>
      <c r="D420" s="9">
        <f t="shared" si="40"/>
        <v>46060</v>
      </c>
      <c r="E420" t="s">
        <v>47</v>
      </c>
      <c r="F420" t="s">
        <v>43</v>
      </c>
      <c r="G420">
        <f t="shared" si="48"/>
        <v>4</v>
      </c>
      <c r="I420" s="11">
        <f t="shared" si="41"/>
        <v>46060</v>
      </c>
      <c r="J420" t="s">
        <v>44</v>
      </c>
      <c r="K420" t="str">
        <f t="shared" si="42"/>
        <v>/* FEBRERO        */ { nombre: "Ordinario, Semana IV, SÁBADO", archivo: "/ev/to/4/sábado.mp3", fecha: `${year}-02-07` },</v>
      </c>
      <c r="L420" s="10">
        <f t="shared" si="43"/>
        <v>46060</v>
      </c>
    </row>
    <row r="421" spans="1:12" x14ac:dyDescent="0.25">
      <c r="A421" t="str" cm="1">
        <f t="array" ref="A421">_xlfn.IFS(E421="Adviento","ta", E421="Navidad","tn", E421="Epifania","te", E421="Ordinario","to", E421="Cuaresma","tc", E421="Domingo De Ramos","tc", E421="Semana Santa","ss", E421="Triduo Pascual","tp", E421="Vigilia Pascual","tp", E421="Pascual","tp")</f>
        <v>to</v>
      </c>
      <c r="B421" s="14" t="str">
        <f t="shared" si="46"/>
        <v>/* FEBRERO        */</v>
      </c>
      <c r="C421" s="15">
        <f t="shared" si="39"/>
        <v>46061</v>
      </c>
      <c r="D421" s="9">
        <f t="shared" si="40"/>
        <v>46061</v>
      </c>
      <c r="E421" t="s">
        <v>47</v>
      </c>
      <c r="F421" t="s">
        <v>43</v>
      </c>
      <c r="G421">
        <f>+G420+1</f>
        <v>5</v>
      </c>
      <c r="I421" s="11">
        <f t="shared" si="41"/>
        <v>46061</v>
      </c>
      <c r="J421" t="s">
        <v>44</v>
      </c>
      <c r="K421" t="str">
        <f t="shared" si="42"/>
        <v>/* FEBRERO        */ { nombre: "Ordinario, Semana V, DOMINGO", archivo: "/ev/to/5/domingo.mp3", fecha: `${year}-02-08` },</v>
      </c>
      <c r="L421" s="10">
        <f t="shared" si="43"/>
        <v>46061</v>
      </c>
    </row>
    <row r="422" spans="1:12" x14ac:dyDescent="0.25">
      <c r="A422" t="str" cm="1">
        <f t="array" ref="A422">_xlfn.IFS(E422="Adviento","ta", E422="Navidad","tn", E422="Epifania","te", E422="Ordinario","to", E422="Cuaresma","tc", E422="Domingo De Ramos","tc", E422="Semana Santa","ss", E422="Triduo Pascual","tp", E422="Vigilia Pascual","tp", E422="Pascual","tp")</f>
        <v>to</v>
      </c>
      <c r="B422" s="14" t="str">
        <f t="shared" si="46"/>
        <v>/* FEBRERO        */</v>
      </c>
      <c r="C422" s="15">
        <f t="shared" si="39"/>
        <v>46062</v>
      </c>
      <c r="D422" s="9">
        <f t="shared" si="40"/>
        <v>46062</v>
      </c>
      <c r="E422" t="s">
        <v>47</v>
      </c>
      <c r="F422" t="s">
        <v>43</v>
      </c>
      <c r="G422">
        <f>G421</f>
        <v>5</v>
      </c>
      <c r="I422" s="11">
        <f t="shared" si="41"/>
        <v>46062</v>
      </c>
      <c r="J422" t="s">
        <v>44</v>
      </c>
      <c r="K422" t="str">
        <f t="shared" si="42"/>
        <v>/* FEBRERO        */ { nombre: "Ordinario, Semana V, LUNES", archivo: "/ev/to/5/lunes.mp3", fecha: `${year}-02-09` },</v>
      </c>
      <c r="L422" s="10">
        <f t="shared" si="43"/>
        <v>46062</v>
      </c>
    </row>
    <row r="423" spans="1:12" x14ac:dyDescent="0.25">
      <c r="A423" t="str" cm="1">
        <f t="array" ref="A423">_xlfn.IFS(E423="Adviento","ta", E423="Navidad","tn", E423="Epifania","te", E423="Ordinario","to", E423="Cuaresma","tc", E423="Domingo De Ramos","tc", E423="Semana Santa","ss", E423="Triduo Pascual","tp", E423="Vigilia Pascual","tp", E423="Pascual","tp")</f>
        <v>to</v>
      </c>
      <c r="B423" s="14" t="str">
        <f t="shared" si="46"/>
        <v>/* FEBRERO        */</v>
      </c>
      <c r="C423" s="15">
        <f t="shared" si="39"/>
        <v>46063</v>
      </c>
      <c r="D423" s="9">
        <f t="shared" si="40"/>
        <v>46063</v>
      </c>
      <c r="E423" t="s">
        <v>47</v>
      </c>
      <c r="F423" t="s">
        <v>43</v>
      </c>
      <c r="G423">
        <f t="shared" ref="G423:G427" si="49">G422</f>
        <v>5</v>
      </c>
      <c r="I423" s="11">
        <f t="shared" si="41"/>
        <v>46063</v>
      </c>
      <c r="J423" t="s">
        <v>44</v>
      </c>
      <c r="K423" t="str">
        <f t="shared" si="42"/>
        <v>/* FEBRERO        */ { nombre: "Ordinario, Semana V, MARTES", archivo: "/ev/to/5/martes.mp3", fecha: `${year}-02-10` },</v>
      </c>
      <c r="L423" s="10">
        <f t="shared" si="43"/>
        <v>46063</v>
      </c>
    </row>
    <row r="424" spans="1:12" x14ac:dyDescent="0.25">
      <c r="A424" t="str" cm="1">
        <f t="array" ref="A424">_xlfn.IFS(E424="Adviento","ta", E424="Navidad","tn", E424="Epifania","te", E424="Ordinario","to", E424="Cuaresma","tc", E424="Domingo De Ramos","tc", E424="Semana Santa","ss", E424="Triduo Pascual","tp", E424="Vigilia Pascual","tp", E424="Pascual","tp")</f>
        <v>to</v>
      </c>
      <c r="B424" s="14" t="str">
        <f t="shared" si="46"/>
        <v>/* FEBRERO        */</v>
      </c>
      <c r="C424" s="15">
        <f t="shared" si="39"/>
        <v>46064</v>
      </c>
      <c r="D424" s="9">
        <f t="shared" si="40"/>
        <v>46064</v>
      </c>
      <c r="E424" t="s">
        <v>47</v>
      </c>
      <c r="F424" t="s">
        <v>43</v>
      </c>
      <c r="G424">
        <f t="shared" si="49"/>
        <v>5</v>
      </c>
      <c r="I424" s="11">
        <f t="shared" si="41"/>
        <v>46064</v>
      </c>
      <c r="J424" t="s">
        <v>44</v>
      </c>
      <c r="K424" t="str">
        <f t="shared" si="42"/>
        <v>/* FEBRERO        */ { nombre: "Ordinario, Semana V, MIÉRCOLES", archivo: "/ev/to/5/miércoles.mp3", fecha: `${year}-02-11` },</v>
      </c>
      <c r="L424" s="10">
        <f t="shared" si="43"/>
        <v>46064</v>
      </c>
    </row>
    <row r="425" spans="1:12" x14ac:dyDescent="0.25">
      <c r="A425" t="str" cm="1">
        <f t="array" ref="A425">_xlfn.IFS(E425="Adviento","ta", E425="Navidad","tn", E425="Epifania","te", E425="Ordinario","to", E425="Cuaresma","tc", E425="Domingo De Ramos","tc", E425="Semana Santa","ss", E425="Triduo Pascual","tp", E425="Vigilia Pascual","tp", E425="Pascual","tp")</f>
        <v>to</v>
      </c>
      <c r="B425" s="14" t="str">
        <f t="shared" si="46"/>
        <v>/* FEBRERO        */</v>
      </c>
      <c r="C425" s="15">
        <f t="shared" si="39"/>
        <v>46065</v>
      </c>
      <c r="D425" s="9">
        <f t="shared" si="40"/>
        <v>46065</v>
      </c>
      <c r="E425" t="s">
        <v>47</v>
      </c>
      <c r="F425" t="s">
        <v>43</v>
      </c>
      <c r="G425">
        <f t="shared" si="49"/>
        <v>5</v>
      </c>
      <c r="I425" s="11">
        <f t="shared" si="41"/>
        <v>46065</v>
      </c>
      <c r="J425" t="s">
        <v>44</v>
      </c>
      <c r="K425" t="str">
        <f t="shared" si="42"/>
        <v>/* FEBRERO        */ { nombre: "Ordinario, Semana V, JUEVES", archivo: "/ev/to/5/jueves.mp3", fecha: `${year}-02-12` },</v>
      </c>
      <c r="L425" s="10">
        <f t="shared" si="43"/>
        <v>46065</v>
      </c>
    </row>
    <row r="426" spans="1:12" x14ac:dyDescent="0.25">
      <c r="A426" t="str" cm="1">
        <f t="array" ref="A426">_xlfn.IFS(E426="Adviento","ta", E426="Navidad","tn", E426="Epifania","te", E426="Ordinario","to", E426="Cuaresma","tc", E426="Domingo De Ramos","tc", E426="Semana Santa","ss", E426="Triduo Pascual","tp", E426="Vigilia Pascual","tp", E426="Pascual","tp")</f>
        <v>to</v>
      </c>
      <c r="B426" s="14" t="str">
        <f t="shared" si="46"/>
        <v>/* FEBRERO        */</v>
      </c>
      <c r="C426" s="15">
        <f t="shared" si="39"/>
        <v>46066</v>
      </c>
      <c r="D426" s="9">
        <f t="shared" si="40"/>
        <v>46066</v>
      </c>
      <c r="E426" t="s">
        <v>47</v>
      </c>
      <c r="F426" t="s">
        <v>43</v>
      </c>
      <c r="G426">
        <f t="shared" si="49"/>
        <v>5</v>
      </c>
      <c r="I426" s="11">
        <f t="shared" si="41"/>
        <v>46066</v>
      </c>
      <c r="J426" t="s">
        <v>44</v>
      </c>
      <c r="K426" t="str">
        <f t="shared" si="42"/>
        <v>/* FEBRERO        */ { nombre: "Ordinario, Semana V, VIERNES", archivo: "/ev/to/5/viernes.mp3", fecha: `${year}-02-13` },</v>
      </c>
      <c r="L426" s="10">
        <f t="shared" si="43"/>
        <v>46066</v>
      </c>
    </row>
    <row r="427" spans="1:12" x14ac:dyDescent="0.25">
      <c r="A427" t="str" cm="1">
        <f t="array" ref="A427">_xlfn.IFS(E427="Adviento","ta", E427="Navidad","tn", E427="Epifania","te", E427="Ordinario","to", E427="Cuaresma","tc", E427="Domingo De Ramos","tc", E427="Semana Santa","ss", E427="Triduo Pascual","tp", E427="Vigilia Pascual","tp", E427="Pascual","tp")</f>
        <v>to</v>
      </c>
      <c r="B427" s="14" t="str">
        <f t="shared" si="46"/>
        <v>/* FEBRERO        */</v>
      </c>
      <c r="C427" s="15">
        <f t="shared" si="39"/>
        <v>46067</v>
      </c>
      <c r="D427" s="9">
        <f t="shared" si="40"/>
        <v>46067</v>
      </c>
      <c r="E427" t="s">
        <v>47</v>
      </c>
      <c r="F427" t="s">
        <v>43</v>
      </c>
      <c r="G427">
        <f t="shared" si="49"/>
        <v>5</v>
      </c>
      <c r="I427" s="11">
        <f t="shared" si="41"/>
        <v>46067</v>
      </c>
      <c r="J427" t="s">
        <v>44</v>
      </c>
      <c r="K427" t="str">
        <f t="shared" si="42"/>
        <v>/* FEBRERO        */ { nombre: "Ordinario, Semana V, SÁBADO", archivo: "/ev/to/5/sábado.mp3", fecha: `${year}-02-14` },</v>
      </c>
      <c r="L427" s="10">
        <f t="shared" si="43"/>
        <v>46067</v>
      </c>
    </row>
    <row r="428" spans="1:12" x14ac:dyDescent="0.25">
      <c r="A428" t="str" cm="1">
        <f t="array" ref="A428">_xlfn.IFS(E428="Adviento","ta", E428="Navidad","tn", E428="Epifania","te", E428="Ordinario","to", E428="Cuaresma","tc", E428="Domingo De Ramos","tc", E428="Semana Santa","ss", E428="Triduo Pascual","tp", E428="Vigilia Pascual","tp", E428="Pascual","tp")</f>
        <v>to</v>
      </c>
      <c r="B428" s="14" t="str">
        <f t="shared" si="46"/>
        <v>/* FEBRERO        */</v>
      </c>
      <c r="C428" s="15">
        <f t="shared" si="39"/>
        <v>46068</v>
      </c>
      <c r="D428" s="9">
        <f t="shared" si="40"/>
        <v>46068</v>
      </c>
      <c r="E428" t="s">
        <v>47</v>
      </c>
      <c r="F428" t="s">
        <v>43</v>
      </c>
      <c r="G428">
        <v>6</v>
      </c>
      <c r="I428" s="11">
        <f t="shared" si="41"/>
        <v>46068</v>
      </c>
      <c r="J428" t="s">
        <v>44</v>
      </c>
      <c r="K428" t="str">
        <f t="shared" si="42"/>
        <v>/* FEBRERO        */ { nombre: "Ordinario, Semana VI, DOMINGO", archivo: "/ev/to/6/domingo.mp3", fecha: `${year}-02-15` },</v>
      </c>
      <c r="L428" s="10">
        <f t="shared" si="43"/>
        <v>46068</v>
      </c>
    </row>
    <row r="429" spans="1:12" x14ac:dyDescent="0.25">
      <c r="A429" t="str" cm="1">
        <f t="array" ref="A429">_xlfn.IFS(E429="Adviento","ta", E429="Navidad","tn", E429="Epifania","te", E429="Ordinario","to", E429="Cuaresma","tc", E429="Domingo De Ramos","tc", E429="Semana Santa","ss", E429="Triduo Pascual","tp", E429="Vigilia Pascual","tp", E429="Pascual","tp")</f>
        <v>to</v>
      </c>
      <c r="B429" s="14" t="str">
        <f t="shared" si="46"/>
        <v>/* FEBRERO        */</v>
      </c>
      <c r="C429" s="15">
        <f t="shared" si="39"/>
        <v>46069</v>
      </c>
      <c r="D429" s="9">
        <f t="shared" si="40"/>
        <v>46069</v>
      </c>
      <c r="E429" t="s">
        <v>47</v>
      </c>
      <c r="F429" t="s">
        <v>43</v>
      </c>
      <c r="G429">
        <v>6</v>
      </c>
      <c r="I429" s="11">
        <f t="shared" si="41"/>
        <v>46069</v>
      </c>
      <c r="J429" t="s">
        <v>44</v>
      </c>
      <c r="K429" t="str">
        <f t="shared" si="42"/>
        <v>/* FEBRERO        */ { nombre: "Ordinario, Semana VI, LUNES", archivo: "/ev/to/6/lunes.mp3", fecha: `${year}-02-16` },</v>
      </c>
      <c r="L429" s="10">
        <f t="shared" si="43"/>
        <v>46069</v>
      </c>
    </row>
    <row r="430" spans="1:12" x14ac:dyDescent="0.25">
      <c r="A430" t="str" cm="1">
        <f t="array" ref="A430">_xlfn.IFS(E430="Adviento","ta", E430="Navidad","tn", E430="Epifania","te", E430="Ordinario","to", E430="Cuaresma","tc", E430="Domingo De Ramos","tc", E430="Semana Santa","ss", E430="Triduo Pascual","tp", E430="Vigilia Pascual","tp", E430="Pascual","tp")</f>
        <v>to</v>
      </c>
      <c r="B430" s="14" t="str">
        <f t="shared" si="46"/>
        <v>/* FEBRERO        */</v>
      </c>
      <c r="C430" s="15">
        <f t="shared" si="39"/>
        <v>46070</v>
      </c>
      <c r="D430" s="9">
        <f t="shared" si="40"/>
        <v>46070</v>
      </c>
      <c r="E430" t="s">
        <v>47</v>
      </c>
      <c r="F430" t="s">
        <v>43</v>
      </c>
      <c r="G430">
        <v>6</v>
      </c>
      <c r="I430" s="11">
        <f t="shared" si="41"/>
        <v>46070</v>
      </c>
      <c r="J430" t="s">
        <v>44</v>
      </c>
      <c r="K430" t="str">
        <f t="shared" si="42"/>
        <v>/* FEBRERO        */ { nombre: "Ordinario, Semana VI, MARTES", archivo: "/ev/to/6/martes.mp3", fecha: `${year}-02-17` },</v>
      </c>
      <c r="L430" s="10">
        <f t="shared" si="43"/>
        <v>46070</v>
      </c>
    </row>
    <row r="431" spans="1:12" x14ac:dyDescent="0.25">
      <c r="A431" t="str" cm="1">
        <f t="array" ref="A431">_xlfn.IFS(E431="Adviento","ta", E431="Navidad","tn", E431="Epifania","te", E431="Ordinario","to", E431="Cuaresma","tc", E431="Domingo De Ramos","tc", E431="Semana Santa","ss", E431="Triduo Pascual","tp", E431="Vigilia Pascual","tp", E431="Pascual","tp")</f>
        <v>tc</v>
      </c>
      <c r="B431" s="14" t="str">
        <f t="shared" si="46"/>
        <v>/* FEBRERO        */</v>
      </c>
      <c r="C431" s="15">
        <f t="shared" si="39"/>
        <v>46071</v>
      </c>
      <c r="D431" s="9">
        <f t="shared" si="40"/>
        <v>46071</v>
      </c>
      <c r="E431" t="s">
        <v>49</v>
      </c>
      <c r="F431" t="s">
        <v>43</v>
      </c>
      <c r="G431">
        <v>1</v>
      </c>
      <c r="H431" t="s">
        <v>79</v>
      </c>
      <c r="I431" s="11">
        <f t="shared" si="41"/>
        <v>46071</v>
      </c>
      <c r="J431" t="s">
        <v>44</v>
      </c>
      <c r="K431" t="str">
        <f t="shared" si="42"/>
        <v>/* FEBRERO        */ { nombre: "Cuaresma, Semana I,Miércoles de Ceniza, MIÉRCOLES", archivo: "/ev/tc/1/miércoles.mp3", fecha: `${year}-02-18` },</v>
      </c>
      <c r="L431" s="10">
        <f t="shared" si="43"/>
        <v>46071</v>
      </c>
    </row>
    <row r="432" spans="1:12" x14ac:dyDescent="0.25">
      <c r="A432" t="str" cm="1">
        <f t="array" ref="A432">_xlfn.IFS(E432="Adviento","ta", E432="Navidad","tn", E432="Epifania","te", E432="Ordinario","to", E432="Cuaresma","tc", E432="Domingo De Ramos","tc", E432="Semana Santa","ss", E432="Triduo Pascual","tp", E432="Vigilia Pascual","tp", E432="Pascual","tp")</f>
        <v>tc</v>
      </c>
      <c r="B432" s="14" t="str">
        <f t="shared" si="46"/>
        <v>/* FEBRERO        */</v>
      </c>
      <c r="C432" s="15">
        <f t="shared" si="39"/>
        <v>46072</v>
      </c>
      <c r="D432" s="9">
        <f t="shared" si="40"/>
        <v>46072</v>
      </c>
      <c r="E432" t="s">
        <v>49</v>
      </c>
      <c r="F432" t="s">
        <v>43</v>
      </c>
      <c r="G432">
        <v>1</v>
      </c>
      <c r="H432" t="s">
        <v>81</v>
      </c>
      <c r="I432" s="11">
        <f t="shared" si="41"/>
        <v>46072</v>
      </c>
      <c r="J432" t="s">
        <v>44</v>
      </c>
      <c r="K432" t="str">
        <f t="shared" si="42"/>
        <v>/* FEBRERO        */ { nombre: "Cuaresma, Semana I, Jueves después del Miércoles de Ceniza, JUEVES", archivo: "/ev/tc/1/jueves.mp3", fecha: `${year}-02-19` },</v>
      </c>
      <c r="L432" s="10">
        <f t="shared" si="43"/>
        <v>46072</v>
      </c>
    </row>
    <row r="433" spans="1:12" x14ac:dyDescent="0.25">
      <c r="A433" t="str" cm="1">
        <f t="array" ref="A433">_xlfn.IFS(E433="Adviento","ta", E433="Navidad","tn", E433="Epifania","te", E433="Ordinario","to", E433="Cuaresma","tc", E433="Domingo De Ramos","tc", E433="Semana Santa","ss", E433="Triduo Pascual","tp", E433="Vigilia Pascual","tp", E433="Pascual","tp")</f>
        <v>tc</v>
      </c>
      <c r="B433" s="14" t="str">
        <f t="shared" si="46"/>
        <v>/* FEBRERO        */</v>
      </c>
      <c r="C433" s="15">
        <f t="shared" si="39"/>
        <v>46073</v>
      </c>
      <c r="D433" s="9">
        <f t="shared" si="40"/>
        <v>46073</v>
      </c>
      <c r="E433" t="s">
        <v>49</v>
      </c>
      <c r="F433" t="s">
        <v>43</v>
      </c>
      <c r="G433">
        <v>1</v>
      </c>
      <c r="H433" t="s">
        <v>80</v>
      </c>
      <c r="I433" s="11">
        <f t="shared" si="41"/>
        <v>46073</v>
      </c>
      <c r="J433" t="s">
        <v>44</v>
      </c>
      <c r="K433" t="str">
        <f t="shared" si="42"/>
        <v>/* FEBRERO        */ { nombre: "Cuaresma, Semana I, Viernes después del Miércoles de Ceniza, VIERNES", archivo: "/ev/tc/1/viernes.mp3", fecha: `${year}-02-20` },</v>
      </c>
      <c r="L433" s="10">
        <f t="shared" si="43"/>
        <v>46073</v>
      </c>
    </row>
    <row r="434" spans="1:12" x14ac:dyDescent="0.25">
      <c r="A434" t="str" cm="1">
        <f t="array" ref="A434">_xlfn.IFS(E434="Adviento","ta", E434="Navidad","tn", E434="Epifania","te", E434="Ordinario","to", E434="Cuaresma","tc", E434="Domingo De Ramos","tc", E434="Semana Santa","ss", E434="Triduo Pascual","tp", E434="Vigilia Pascual","tp", E434="Pascual","tp")</f>
        <v>tc</v>
      </c>
      <c r="B434" s="14" t="str">
        <f t="shared" si="46"/>
        <v>/* FEBRERO        */</v>
      </c>
      <c r="C434" s="15">
        <f t="shared" si="39"/>
        <v>46074</v>
      </c>
      <c r="D434" s="9">
        <f t="shared" si="40"/>
        <v>46074</v>
      </c>
      <c r="E434" t="s">
        <v>49</v>
      </c>
      <c r="F434" t="s">
        <v>43</v>
      </c>
      <c r="G434">
        <v>1</v>
      </c>
      <c r="H434" t="s">
        <v>82</v>
      </c>
      <c r="I434" s="11">
        <f t="shared" si="41"/>
        <v>46074</v>
      </c>
      <c r="J434" t="s">
        <v>44</v>
      </c>
      <c r="K434" t="str">
        <f t="shared" si="42"/>
        <v>/* FEBRERO        */ { nombre: "Cuaresma, Semana I, Sábado después del Miércoles de Ceniza, SÁBADO", archivo: "/ev/tc/1/sábado.mp3", fecha: `${year}-02-21` },</v>
      </c>
      <c r="L434" s="10">
        <f t="shared" si="43"/>
        <v>46074</v>
      </c>
    </row>
    <row r="435" spans="1:12" x14ac:dyDescent="0.25">
      <c r="A435" t="str" cm="1">
        <f t="array" ref="A435">_xlfn.IFS(E435="Adviento","ta", E435="Navidad","tn", E435="Epifania","te", E435="Ordinario","to", E435="Cuaresma","tc", E435="Domingo De Ramos","tc", E435="Semana Santa","ss", E435="Triduo Pascual","tp", E435="Vigilia Pascual","tp", E435="Pascual","tp")</f>
        <v>tc</v>
      </c>
      <c r="B435" s="14" t="str">
        <f t="shared" si="46"/>
        <v>/* FEBRERO        */</v>
      </c>
      <c r="C435" s="15">
        <f t="shared" si="39"/>
        <v>46075</v>
      </c>
      <c r="D435" s="9">
        <f t="shared" si="40"/>
        <v>46075</v>
      </c>
      <c r="E435" t="s">
        <v>49</v>
      </c>
      <c r="F435" t="s">
        <v>43</v>
      </c>
      <c r="G435">
        <v>1</v>
      </c>
      <c r="I435" s="11">
        <f t="shared" si="41"/>
        <v>46075</v>
      </c>
      <c r="J435" t="s">
        <v>44</v>
      </c>
      <c r="K435" t="str">
        <f t="shared" si="42"/>
        <v>/* FEBRERO        */ { nombre: "Cuaresma, Semana I, DOMINGO", archivo: "/ev/tc/1/domingo.mp3", fecha: `${year}-02-22` },</v>
      </c>
      <c r="L435" s="10">
        <f t="shared" si="43"/>
        <v>46075</v>
      </c>
    </row>
    <row r="436" spans="1:12" x14ac:dyDescent="0.25">
      <c r="A436" t="str" cm="1">
        <f t="array" ref="A436">_xlfn.IFS(E436="Adviento","ta", E436="Navidad","tn", E436="Epifania","te", E436="Ordinario","to", E436="Cuaresma","tc", E436="Domingo De Ramos","tc", E436="Semana Santa","ss", E436="Triduo Pascual","tp", E436="Vigilia Pascual","tp", E436="Pascual","tp")</f>
        <v>tc</v>
      </c>
      <c r="B436" s="14" t="str">
        <f t="shared" si="46"/>
        <v>/* FEBRERO        */</v>
      </c>
      <c r="C436" s="15">
        <f t="shared" si="39"/>
        <v>46076</v>
      </c>
      <c r="D436" s="9">
        <f t="shared" si="40"/>
        <v>46076</v>
      </c>
      <c r="E436" t="s">
        <v>49</v>
      </c>
      <c r="F436" t="s">
        <v>43</v>
      </c>
      <c r="G436">
        <f>G435</f>
        <v>1</v>
      </c>
      <c r="I436" s="11">
        <f t="shared" si="41"/>
        <v>46076</v>
      </c>
      <c r="J436" t="s">
        <v>44</v>
      </c>
      <c r="K436" t="str">
        <f t="shared" si="42"/>
        <v>/* FEBRERO        */ { nombre: "Cuaresma, Semana I, LUNES", archivo: "/ev/tc/1/lunes.mp3", fecha: `${year}-02-23` },</v>
      </c>
      <c r="L436" s="10">
        <f t="shared" si="43"/>
        <v>46076</v>
      </c>
    </row>
    <row r="437" spans="1:12" x14ac:dyDescent="0.25">
      <c r="A437" t="str" cm="1">
        <f t="array" ref="A437">_xlfn.IFS(E437="Adviento","ta", E437="Navidad","tn", E437="Epifania","te", E437="Ordinario","to", E437="Cuaresma","tc", E437="Domingo De Ramos","tc", E437="Semana Santa","ss", E437="Triduo Pascual","tp", E437="Vigilia Pascual","tp", E437="Pascual","tp")</f>
        <v>tc</v>
      </c>
      <c r="B437" s="14" t="str">
        <f t="shared" si="46"/>
        <v>/* FEBRERO        */</v>
      </c>
      <c r="C437" s="15">
        <f t="shared" ref="C437:C500" si="50">+C436+1</f>
        <v>46077</v>
      </c>
      <c r="D437" s="9">
        <f t="shared" ref="D437:D500" si="51">+D436+1</f>
        <v>46077</v>
      </c>
      <c r="E437" t="s">
        <v>49</v>
      </c>
      <c r="F437" t="s">
        <v>43</v>
      </c>
      <c r="G437">
        <f t="shared" ref="G437:G441" si="52">G436</f>
        <v>1</v>
      </c>
      <c r="I437" s="11">
        <f t="shared" ref="I437:I500" si="53">D437</f>
        <v>46077</v>
      </c>
      <c r="J437" t="s">
        <v>44</v>
      </c>
      <c r="K437" t="str">
        <f t="shared" ref="K437:K500" si="54">_xlfn.CONCAT(B437, " ", "{ nombre: ", CHAR(34), E437, ", ", F437, " ", ROMAN(G437),H437, ", ", UPPER(TEXT(D437, "[$-es-ES]dddd")), CHAR(34), ", archivo: ", CHAR(34), "/ev/", _xlfn.IFS(E437="Adviento","ta", E437="Navidad","tn", E437="Epifania","te", E437="Ordinario","to", E437="Cuaresma","tc", E437="Domingo De Ramos","tc", E437="Semana Santa","ss", E437="Triduo Pascual","tp", E437="Vigilia Pascual","tp", E437="Pascual","tp"), "/", G437, "/", TEXT(D437, "[$-es-ES]dddd"), ".mp3", CHAR(34), ", fecha: `${year}-", TEXT(D437, "mm-dd"), "` },")</f>
        <v>/* FEBRERO        */ { nombre: "Cuaresma, Semana I, MARTES", archivo: "/ev/tc/1/martes.mp3", fecha: `${year}-02-24` },</v>
      </c>
      <c r="L437" s="10">
        <f t="shared" ref="L437:L500" si="55">D437</f>
        <v>46077</v>
      </c>
    </row>
    <row r="438" spans="1:12" x14ac:dyDescent="0.25">
      <c r="A438" t="str" cm="1">
        <f t="array" ref="A438">_xlfn.IFS(E438="Adviento","ta", E438="Navidad","tn", E438="Epifania","te", E438="Ordinario","to", E438="Cuaresma","tc", E438="Domingo De Ramos","tc", E438="Semana Santa","ss", E438="Triduo Pascual","tp", E438="Vigilia Pascual","tp", E438="Pascual","tp")</f>
        <v>tc</v>
      </c>
      <c r="B438" s="14" t="str">
        <f t="shared" si="46"/>
        <v>/* FEBRERO        */</v>
      </c>
      <c r="C438" s="15">
        <f t="shared" si="50"/>
        <v>46078</v>
      </c>
      <c r="D438" s="9">
        <f t="shared" si="51"/>
        <v>46078</v>
      </c>
      <c r="E438" t="s">
        <v>49</v>
      </c>
      <c r="F438" t="s">
        <v>43</v>
      </c>
      <c r="G438">
        <f t="shared" si="52"/>
        <v>1</v>
      </c>
      <c r="I438" s="11">
        <f t="shared" si="53"/>
        <v>46078</v>
      </c>
      <c r="J438" t="s">
        <v>44</v>
      </c>
      <c r="K438" t="str">
        <f t="shared" si="54"/>
        <v>/* FEBRERO        */ { nombre: "Cuaresma, Semana I, MIÉRCOLES", archivo: "/ev/tc/1/miércoles.mp3", fecha: `${year}-02-25` },</v>
      </c>
      <c r="L438" s="10">
        <f t="shared" si="55"/>
        <v>46078</v>
      </c>
    </row>
    <row r="439" spans="1:12" x14ac:dyDescent="0.25">
      <c r="A439" t="str" cm="1">
        <f t="array" ref="A439">_xlfn.IFS(E439="Adviento","ta", E439="Navidad","tn", E439="Epifania","te", E439="Ordinario","to", E439="Cuaresma","tc", E439="Domingo De Ramos","tc", E439="Semana Santa","ss", E439="Triduo Pascual","tp", E439="Vigilia Pascual","tp", E439="Pascual","tp")</f>
        <v>tc</v>
      </c>
      <c r="B439" s="14" t="str">
        <f t="shared" si="46"/>
        <v>/* FEBRERO        */</v>
      </c>
      <c r="C439" s="15">
        <f t="shared" si="50"/>
        <v>46079</v>
      </c>
      <c r="D439" s="9">
        <f t="shared" si="51"/>
        <v>46079</v>
      </c>
      <c r="E439" t="s">
        <v>49</v>
      </c>
      <c r="F439" t="s">
        <v>43</v>
      </c>
      <c r="G439">
        <f t="shared" si="52"/>
        <v>1</v>
      </c>
      <c r="I439" s="11">
        <f t="shared" si="53"/>
        <v>46079</v>
      </c>
      <c r="J439" t="s">
        <v>44</v>
      </c>
      <c r="K439" t="str">
        <f t="shared" si="54"/>
        <v>/* FEBRERO        */ { nombre: "Cuaresma, Semana I, JUEVES", archivo: "/ev/tc/1/jueves.mp3", fecha: `${year}-02-26` },</v>
      </c>
      <c r="L439" s="10">
        <f t="shared" si="55"/>
        <v>46079</v>
      </c>
    </row>
    <row r="440" spans="1:12" x14ac:dyDescent="0.25">
      <c r="A440" t="str" cm="1">
        <f t="array" ref="A440">_xlfn.IFS(E440="Adviento","ta", E440="Navidad","tn", E440="Epifania","te", E440="Ordinario","to", E440="Cuaresma","tc", E440="Domingo De Ramos","tc", E440="Semana Santa","ss", E440="Triduo Pascual","tp", E440="Vigilia Pascual","tp", E440="Pascual","tp")</f>
        <v>tc</v>
      </c>
      <c r="B440" s="14" t="str">
        <f t="shared" si="46"/>
        <v>/* FEBRERO        */</v>
      </c>
      <c r="C440" s="15">
        <f t="shared" si="50"/>
        <v>46080</v>
      </c>
      <c r="D440" s="9">
        <f t="shared" si="51"/>
        <v>46080</v>
      </c>
      <c r="E440" t="s">
        <v>49</v>
      </c>
      <c r="F440" t="s">
        <v>43</v>
      </c>
      <c r="G440">
        <f t="shared" si="52"/>
        <v>1</v>
      </c>
      <c r="I440" s="11">
        <f t="shared" si="53"/>
        <v>46080</v>
      </c>
      <c r="J440" t="s">
        <v>44</v>
      </c>
      <c r="K440" t="str">
        <f t="shared" si="54"/>
        <v>/* FEBRERO        */ { nombre: "Cuaresma, Semana I, VIERNES", archivo: "/ev/tc/1/viernes.mp3", fecha: `${year}-02-27` },</v>
      </c>
      <c r="L440" s="10">
        <f t="shared" si="55"/>
        <v>46080</v>
      </c>
    </row>
    <row r="441" spans="1:12" x14ac:dyDescent="0.25">
      <c r="A441" t="str" cm="1">
        <f t="array" ref="A441">_xlfn.IFS(E441="Adviento","ta", E441="Navidad","tn", E441="Epifania","te", E441="Ordinario","to", E441="Cuaresma","tc", E441="Domingo De Ramos","tc", E441="Semana Santa","ss", E441="Triduo Pascual","tp", E441="Vigilia Pascual","tp", E441="Pascual","tp")</f>
        <v>tc</v>
      </c>
      <c r="B441" s="14" t="str">
        <f t="shared" si="46"/>
        <v>/* FEBRERO        */</v>
      </c>
      <c r="C441" s="15">
        <f t="shared" si="50"/>
        <v>46081</v>
      </c>
      <c r="D441" s="9">
        <f t="shared" si="51"/>
        <v>46081</v>
      </c>
      <c r="E441" t="s">
        <v>49</v>
      </c>
      <c r="F441" t="s">
        <v>43</v>
      </c>
      <c r="G441">
        <f t="shared" si="52"/>
        <v>1</v>
      </c>
      <c r="I441" s="11">
        <f t="shared" si="53"/>
        <v>46081</v>
      </c>
      <c r="J441" t="s">
        <v>44</v>
      </c>
      <c r="K441" t="str">
        <f t="shared" si="54"/>
        <v>/* FEBRERO        */ { nombre: "Cuaresma, Semana I, SÁBADO", archivo: "/ev/tc/1/sábado.mp3", fecha: `${year}-02-28` },</v>
      </c>
      <c r="L441" s="10">
        <f t="shared" si="55"/>
        <v>46081</v>
      </c>
    </row>
    <row r="442" spans="1:12" x14ac:dyDescent="0.25">
      <c r="A442" t="str" cm="1">
        <f t="array" ref="A442">_xlfn.IFS(E442="Adviento","ta", E442="Navidad","tn", E442="Epifania","te", E442="Ordinario","to", E442="Cuaresma","tc", E442="Domingo De Ramos","tc", E442="Semana Santa","ss", E442="Triduo Pascual","tp", E442="Vigilia Pascual","tp", E442="Pascual","tp")</f>
        <v>tc</v>
      </c>
      <c r="B442" s="14" t="str">
        <f t="shared" si="46"/>
        <v>/* MARZO        */</v>
      </c>
      <c r="C442" s="15">
        <f t="shared" si="50"/>
        <v>46082</v>
      </c>
      <c r="D442" s="9">
        <f t="shared" si="51"/>
        <v>46082</v>
      </c>
      <c r="E442" t="s">
        <v>49</v>
      </c>
      <c r="F442" t="s">
        <v>43</v>
      </c>
      <c r="G442">
        <f>+G441+1</f>
        <v>2</v>
      </c>
      <c r="I442" s="11">
        <f t="shared" si="53"/>
        <v>46082</v>
      </c>
      <c r="J442" t="s">
        <v>44</v>
      </c>
      <c r="K442" t="str">
        <f t="shared" si="54"/>
        <v>/* MARZO        */ { nombre: "Cuaresma, Semana II, DOMINGO", archivo: "/ev/tc/2/domingo.mp3", fecha: `${year}-03-01` },</v>
      </c>
      <c r="L442" s="10">
        <f t="shared" si="55"/>
        <v>46082</v>
      </c>
    </row>
    <row r="443" spans="1:12" x14ac:dyDescent="0.25">
      <c r="A443" t="str" cm="1">
        <f t="array" ref="A443">_xlfn.IFS(E443="Adviento","ta", E443="Navidad","tn", E443="Epifania","te", E443="Ordinario","to", E443="Cuaresma","tc", E443="Domingo De Ramos","tc", E443="Semana Santa","ss", E443="Triduo Pascual","tp", E443="Vigilia Pascual","tp", E443="Pascual","tp")</f>
        <v>tc</v>
      </c>
      <c r="B443" s="14" t="str">
        <f t="shared" si="46"/>
        <v>/* MARZO        */</v>
      </c>
      <c r="C443" s="15">
        <f t="shared" si="50"/>
        <v>46083</v>
      </c>
      <c r="D443" s="9">
        <f t="shared" si="51"/>
        <v>46083</v>
      </c>
      <c r="E443" t="s">
        <v>49</v>
      </c>
      <c r="F443" t="s">
        <v>43</v>
      </c>
      <c r="G443">
        <f>G442</f>
        <v>2</v>
      </c>
      <c r="I443" s="11">
        <f t="shared" si="53"/>
        <v>46083</v>
      </c>
      <c r="J443" t="s">
        <v>44</v>
      </c>
      <c r="K443" t="str">
        <f t="shared" si="54"/>
        <v>/* MARZO        */ { nombre: "Cuaresma, Semana II, LUNES", archivo: "/ev/tc/2/lunes.mp3", fecha: `${year}-03-02` },</v>
      </c>
      <c r="L443" s="10">
        <f t="shared" si="55"/>
        <v>46083</v>
      </c>
    </row>
    <row r="444" spans="1:12" x14ac:dyDescent="0.25">
      <c r="A444" t="str" cm="1">
        <f t="array" ref="A444">_xlfn.IFS(E444="Adviento","ta", E444="Navidad","tn", E444="Epifania","te", E444="Ordinario","to", E444="Cuaresma","tc", E444="Domingo De Ramos","tc", E444="Semana Santa","ss", E444="Triduo Pascual","tp", E444="Vigilia Pascual","tp", E444="Pascual","tp")</f>
        <v>tc</v>
      </c>
      <c r="B444" s="14" t="str">
        <f t="shared" si="46"/>
        <v>/* MARZO        */</v>
      </c>
      <c r="C444" s="15">
        <f t="shared" si="50"/>
        <v>46084</v>
      </c>
      <c r="D444" s="9">
        <f t="shared" si="51"/>
        <v>46084</v>
      </c>
      <c r="E444" t="s">
        <v>49</v>
      </c>
      <c r="F444" t="s">
        <v>43</v>
      </c>
      <c r="G444">
        <f t="shared" ref="G444:G448" si="56">G443</f>
        <v>2</v>
      </c>
      <c r="I444" s="11">
        <f t="shared" si="53"/>
        <v>46084</v>
      </c>
      <c r="J444" t="s">
        <v>44</v>
      </c>
      <c r="K444" t="str">
        <f t="shared" si="54"/>
        <v>/* MARZO        */ { nombre: "Cuaresma, Semana II, MARTES", archivo: "/ev/tc/2/martes.mp3", fecha: `${year}-03-03` },</v>
      </c>
      <c r="L444" s="10">
        <f t="shared" si="55"/>
        <v>46084</v>
      </c>
    </row>
    <row r="445" spans="1:12" x14ac:dyDescent="0.25">
      <c r="A445" t="str" cm="1">
        <f t="array" ref="A445">_xlfn.IFS(E445="Adviento","ta", E445="Navidad","tn", E445="Epifania","te", E445="Ordinario","to", E445="Cuaresma","tc", E445="Domingo De Ramos","tc", E445="Semana Santa","ss", E445="Triduo Pascual","tp", E445="Vigilia Pascual","tp", E445="Pascual","tp")</f>
        <v>tc</v>
      </c>
      <c r="B445" s="14" t="str">
        <f t="shared" si="46"/>
        <v>/* MARZO        */</v>
      </c>
      <c r="C445" s="15">
        <f t="shared" si="50"/>
        <v>46085</v>
      </c>
      <c r="D445" s="9">
        <f t="shared" si="51"/>
        <v>46085</v>
      </c>
      <c r="E445" t="s">
        <v>49</v>
      </c>
      <c r="F445" t="s">
        <v>43</v>
      </c>
      <c r="G445">
        <f t="shared" si="56"/>
        <v>2</v>
      </c>
      <c r="I445" s="11">
        <f t="shared" si="53"/>
        <v>46085</v>
      </c>
      <c r="J445" t="s">
        <v>44</v>
      </c>
      <c r="K445" t="str">
        <f t="shared" si="54"/>
        <v>/* MARZO        */ { nombre: "Cuaresma, Semana II, MIÉRCOLES", archivo: "/ev/tc/2/miércoles.mp3", fecha: `${year}-03-04` },</v>
      </c>
      <c r="L445" s="10">
        <f t="shared" si="55"/>
        <v>46085</v>
      </c>
    </row>
    <row r="446" spans="1:12" x14ac:dyDescent="0.25">
      <c r="A446" t="str" cm="1">
        <f t="array" ref="A446">_xlfn.IFS(E446="Adviento","ta", E446="Navidad","tn", E446="Epifania","te", E446="Ordinario","to", E446="Cuaresma","tc", E446="Domingo De Ramos","tc", E446="Semana Santa","ss", E446="Triduo Pascual","tp", E446="Vigilia Pascual","tp", E446="Pascual","tp")</f>
        <v>tc</v>
      </c>
      <c r="B446" s="14" t="str">
        <f t="shared" si="46"/>
        <v>/* MARZO        */</v>
      </c>
      <c r="C446" s="15">
        <f t="shared" si="50"/>
        <v>46086</v>
      </c>
      <c r="D446" s="9">
        <f t="shared" si="51"/>
        <v>46086</v>
      </c>
      <c r="E446" t="s">
        <v>49</v>
      </c>
      <c r="F446" t="s">
        <v>43</v>
      </c>
      <c r="G446">
        <f t="shared" si="56"/>
        <v>2</v>
      </c>
      <c r="I446" s="11">
        <f t="shared" si="53"/>
        <v>46086</v>
      </c>
      <c r="J446" t="s">
        <v>44</v>
      </c>
      <c r="K446" t="str">
        <f t="shared" si="54"/>
        <v>/* MARZO        */ { nombre: "Cuaresma, Semana II, JUEVES", archivo: "/ev/tc/2/jueves.mp3", fecha: `${year}-03-05` },</v>
      </c>
      <c r="L446" s="10">
        <f t="shared" si="55"/>
        <v>46086</v>
      </c>
    </row>
    <row r="447" spans="1:12" x14ac:dyDescent="0.25">
      <c r="A447" t="str" cm="1">
        <f t="array" ref="A447">_xlfn.IFS(E447="Adviento","ta", E447="Navidad","tn", E447="Epifania","te", E447="Ordinario","to", E447="Cuaresma","tc", E447="Domingo De Ramos","tc", E447="Semana Santa","ss", E447="Triduo Pascual","tp", E447="Vigilia Pascual","tp", E447="Pascual","tp")</f>
        <v>tc</v>
      </c>
      <c r="B447" s="14" t="str">
        <f t="shared" si="46"/>
        <v>/* MARZO        */</v>
      </c>
      <c r="C447" s="15">
        <f t="shared" si="50"/>
        <v>46087</v>
      </c>
      <c r="D447" s="9">
        <f t="shared" si="51"/>
        <v>46087</v>
      </c>
      <c r="E447" t="s">
        <v>49</v>
      </c>
      <c r="F447" t="s">
        <v>43</v>
      </c>
      <c r="G447">
        <f t="shared" si="56"/>
        <v>2</v>
      </c>
      <c r="I447" s="11">
        <f t="shared" si="53"/>
        <v>46087</v>
      </c>
      <c r="J447" t="s">
        <v>44</v>
      </c>
      <c r="K447" t="str">
        <f t="shared" si="54"/>
        <v>/* MARZO        */ { nombre: "Cuaresma, Semana II, VIERNES", archivo: "/ev/tc/2/viernes.mp3", fecha: `${year}-03-06` },</v>
      </c>
      <c r="L447" s="10">
        <f t="shared" si="55"/>
        <v>46087</v>
      </c>
    </row>
    <row r="448" spans="1:12" x14ac:dyDescent="0.25">
      <c r="A448" t="str" cm="1">
        <f t="array" ref="A448">_xlfn.IFS(E448="Adviento","ta", E448="Navidad","tn", E448="Epifania","te", E448="Ordinario","to", E448="Cuaresma","tc", E448="Domingo De Ramos","tc", E448="Semana Santa","ss", E448="Triduo Pascual","tp", E448="Vigilia Pascual","tp", E448="Pascual","tp")</f>
        <v>tc</v>
      </c>
      <c r="B448" s="14" t="str">
        <f t="shared" si="46"/>
        <v>/* MARZO        */</v>
      </c>
      <c r="C448" s="15">
        <f t="shared" si="50"/>
        <v>46088</v>
      </c>
      <c r="D448" s="9">
        <f t="shared" si="51"/>
        <v>46088</v>
      </c>
      <c r="E448" t="s">
        <v>49</v>
      </c>
      <c r="F448" t="s">
        <v>43</v>
      </c>
      <c r="G448">
        <f t="shared" si="56"/>
        <v>2</v>
      </c>
      <c r="I448" s="11">
        <f t="shared" si="53"/>
        <v>46088</v>
      </c>
      <c r="J448" t="s">
        <v>44</v>
      </c>
      <c r="K448" t="str">
        <f t="shared" si="54"/>
        <v>/* MARZO        */ { nombre: "Cuaresma, Semana II, SÁBADO", archivo: "/ev/tc/2/sábado.mp3", fecha: `${year}-03-07` },</v>
      </c>
      <c r="L448" s="10">
        <f t="shared" si="55"/>
        <v>46088</v>
      </c>
    </row>
    <row r="449" spans="1:12" x14ac:dyDescent="0.25">
      <c r="A449" t="str" cm="1">
        <f t="array" ref="A449">_xlfn.IFS(E449="Adviento","ta", E449="Navidad","tn", E449="Epifania","te", E449="Ordinario","to", E449="Cuaresma","tc", E449="Domingo De Ramos","tc", E449="Semana Santa","ss", E449="Triduo Pascual","tp", E449="Vigilia Pascual","tp", E449="Pascual","tp")</f>
        <v>tc</v>
      </c>
      <c r="B449" s="14" t="str">
        <f t="shared" si="46"/>
        <v>/* MARZO        */</v>
      </c>
      <c r="C449" s="15">
        <f t="shared" si="50"/>
        <v>46089</v>
      </c>
      <c r="D449" s="9">
        <f t="shared" si="51"/>
        <v>46089</v>
      </c>
      <c r="E449" t="s">
        <v>49</v>
      </c>
      <c r="F449" t="s">
        <v>43</v>
      </c>
      <c r="G449">
        <f>+G448+1</f>
        <v>3</v>
      </c>
      <c r="I449" s="11">
        <f t="shared" si="53"/>
        <v>46089</v>
      </c>
      <c r="J449" t="s">
        <v>44</v>
      </c>
      <c r="K449" t="str">
        <f t="shared" si="54"/>
        <v>/* MARZO        */ { nombre: "Cuaresma, Semana III, DOMINGO", archivo: "/ev/tc/3/domingo.mp3", fecha: `${year}-03-08` },</v>
      </c>
      <c r="L449" s="10">
        <f t="shared" si="55"/>
        <v>46089</v>
      </c>
    </row>
    <row r="450" spans="1:12" x14ac:dyDescent="0.25">
      <c r="A450" t="str" cm="1">
        <f t="array" ref="A450">_xlfn.IFS(E450="Adviento","ta", E450="Navidad","tn", E450="Epifania","te", E450="Ordinario","to", E450="Cuaresma","tc", E450="Domingo De Ramos","tc", E450="Semana Santa","ss", E450="Triduo Pascual","tp", E450="Vigilia Pascual","tp", E450="Pascual","tp")</f>
        <v>tc</v>
      </c>
      <c r="B450" s="14" t="str">
        <f t="shared" si="46"/>
        <v>/* MARZO        */</v>
      </c>
      <c r="C450" s="15">
        <f t="shared" si="50"/>
        <v>46090</v>
      </c>
      <c r="D450" s="9">
        <f t="shared" si="51"/>
        <v>46090</v>
      </c>
      <c r="E450" t="s">
        <v>49</v>
      </c>
      <c r="F450" t="s">
        <v>43</v>
      </c>
      <c r="G450">
        <f>G449</f>
        <v>3</v>
      </c>
      <c r="I450" s="11">
        <f t="shared" si="53"/>
        <v>46090</v>
      </c>
      <c r="J450" t="s">
        <v>44</v>
      </c>
      <c r="K450" t="str">
        <f t="shared" si="54"/>
        <v>/* MARZO        */ { nombre: "Cuaresma, Semana III, LUNES", archivo: "/ev/tc/3/lunes.mp3", fecha: `${year}-03-09` },</v>
      </c>
      <c r="L450" s="10">
        <f t="shared" si="55"/>
        <v>46090</v>
      </c>
    </row>
    <row r="451" spans="1:12" x14ac:dyDescent="0.25">
      <c r="A451" t="str" cm="1">
        <f t="array" ref="A451">_xlfn.IFS(E451="Adviento","ta", E451="Navidad","tn", E451="Epifania","te", E451="Ordinario","to", E451="Cuaresma","tc", E451="Domingo De Ramos","tc", E451="Semana Santa","ss", E451="Triduo Pascual","tp", E451="Vigilia Pascual","tp", E451="Pascual","tp")</f>
        <v>tc</v>
      </c>
      <c r="B451" s="14" t="str">
        <f t="shared" si="46"/>
        <v>/* MARZO        */</v>
      </c>
      <c r="C451" s="15">
        <f t="shared" si="50"/>
        <v>46091</v>
      </c>
      <c r="D451" s="9">
        <f t="shared" si="51"/>
        <v>46091</v>
      </c>
      <c r="E451" t="s">
        <v>49</v>
      </c>
      <c r="F451" t="s">
        <v>43</v>
      </c>
      <c r="G451">
        <f t="shared" ref="G451:G455" si="57">G450</f>
        <v>3</v>
      </c>
      <c r="I451" s="11">
        <f t="shared" si="53"/>
        <v>46091</v>
      </c>
      <c r="J451" t="s">
        <v>44</v>
      </c>
      <c r="K451" t="str">
        <f t="shared" si="54"/>
        <v>/* MARZO        */ { nombre: "Cuaresma, Semana III, MARTES", archivo: "/ev/tc/3/martes.mp3", fecha: `${year}-03-10` },</v>
      </c>
      <c r="L451" s="10">
        <f t="shared" si="55"/>
        <v>46091</v>
      </c>
    </row>
    <row r="452" spans="1:12" x14ac:dyDescent="0.25">
      <c r="A452" t="str" cm="1">
        <f t="array" ref="A452">_xlfn.IFS(E452="Adviento","ta", E452="Navidad","tn", E452="Epifania","te", E452="Ordinario","to", E452="Cuaresma","tc", E452="Domingo De Ramos","tc", E452="Semana Santa","ss", E452="Triduo Pascual","tp", E452="Vigilia Pascual","tp", E452="Pascual","tp")</f>
        <v>tc</v>
      </c>
      <c r="B452" s="14" t="str">
        <f t="shared" si="46"/>
        <v>/* MARZO        */</v>
      </c>
      <c r="C452" s="15">
        <f t="shared" si="50"/>
        <v>46092</v>
      </c>
      <c r="D452" s="9">
        <f t="shared" si="51"/>
        <v>46092</v>
      </c>
      <c r="E452" t="s">
        <v>49</v>
      </c>
      <c r="F452" t="s">
        <v>43</v>
      </c>
      <c r="G452">
        <f t="shared" si="57"/>
        <v>3</v>
      </c>
      <c r="I452" s="11">
        <f t="shared" si="53"/>
        <v>46092</v>
      </c>
      <c r="J452" t="s">
        <v>44</v>
      </c>
      <c r="K452" t="str">
        <f t="shared" si="54"/>
        <v>/* MARZO        */ { nombre: "Cuaresma, Semana III, MIÉRCOLES", archivo: "/ev/tc/3/miércoles.mp3", fecha: `${year}-03-11` },</v>
      </c>
      <c r="L452" s="10">
        <f t="shared" si="55"/>
        <v>46092</v>
      </c>
    </row>
    <row r="453" spans="1:12" x14ac:dyDescent="0.25">
      <c r="A453" t="str" cm="1">
        <f t="array" ref="A453">_xlfn.IFS(E453="Adviento","ta", E453="Navidad","tn", E453="Epifania","te", E453="Ordinario","to", E453="Cuaresma","tc", E453="Domingo De Ramos","tc", E453="Semana Santa","ss", E453="Triduo Pascual","tp", E453="Vigilia Pascual","tp", E453="Pascual","tp")</f>
        <v>tc</v>
      </c>
      <c r="B453" s="14" t="str">
        <f t="shared" si="46"/>
        <v>/* MARZO        */</v>
      </c>
      <c r="C453" s="15">
        <f t="shared" si="50"/>
        <v>46093</v>
      </c>
      <c r="D453" s="9">
        <f t="shared" si="51"/>
        <v>46093</v>
      </c>
      <c r="E453" t="s">
        <v>49</v>
      </c>
      <c r="F453" t="s">
        <v>43</v>
      </c>
      <c r="G453">
        <f t="shared" si="57"/>
        <v>3</v>
      </c>
      <c r="I453" s="11">
        <f t="shared" si="53"/>
        <v>46093</v>
      </c>
      <c r="J453" t="s">
        <v>44</v>
      </c>
      <c r="K453" t="str">
        <f t="shared" si="54"/>
        <v>/* MARZO        */ { nombre: "Cuaresma, Semana III, JUEVES", archivo: "/ev/tc/3/jueves.mp3", fecha: `${year}-03-12` },</v>
      </c>
      <c r="L453" s="10">
        <f t="shared" si="55"/>
        <v>46093</v>
      </c>
    </row>
    <row r="454" spans="1:12" x14ac:dyDescent="0.25">
      <c r="A454" t="str" cm="1">
        <f t="array" ref="A454">_xlfn.IFS(E454="Adviento","ta", E454="Navidad","tn", E454="Epifania","te", E454="Ordinario","to", E454="Cuaresma","tc", E454="Domingo De Ramos","tc", E454="Semana Santa","ss", E454="Triduo Pascual","tp", E454="Vigilia Pascual","tp", E454="Pascual","tp")</f>
        <v>tc</v>
      </c>
      <c r="B454" s="14" t="str">
        <f t="shared" si="46"/>
        <v>/* MARZO        */</v>
      </c>
      <c r="C454" s="15">
        <f t="shared" si="50"/>
        <v>46094</v>
      </c>
      <c r="D454" s="9">
        <f t="shared" si="51"/>
        <v>46094</v>
      </c>
      <c r="E454" t="s">
        <v>49</v>
      </c>
      <c r="F454" t="s">
        <v>43</v>
      </c>
      <c r="G454">
        <f t="shared" si="57"/>
        <v>3</v>
      </c>
      <c r="I454" s="11">
        <f t="shared" si="53"/>
        <v>46094</v>
      </c>
      <c r="J454" t="s">
        <v>44</v>
      </c>
      <c r="K454" t="str">
        <f t="shared" si="54"/>
        <v>/* MARZO        */ { nombre: "Cuaresma, Semana III, VIERNES", archivo: "/ev/tc/3/viernes.mp3", fecha: `${year}-03-13` },</v>
      </c>
      <c r="L454" s="10">
        <f t="shared" si="55"/>
        <v>46094</v>
      </c>
    </row>
    <row r="455" spans="1:12" x14ac:dyDescent="0.25">
      <c r="A455" t="str" cm="1">
        <f t="array" ref="A455">_xlfn.IFS(E455="Adviento","ta", E455="Navidad","tn", E455="Epifania","te", E455="Ordinario","to", E455="Cuaresma","tc", E455="Domingo De Ramos","tc", E455="Semana Santa","ss", E455="Triduo Pascual","tp", E455="Vigilia Pascual","tp", E455="Pascual","tp")</f>
        <v>tc</v>
      </c>
      <c r="B455" s="14" t="str">
        <f t="shared" si="46"/>
        <v>/* MARZO        */</v>
      </c>
      <c r="C455" s="15">
        <f t="shared" si="50"/>
        <v>46095</v>
      </c>
      <c r="D455" s="9">
        <f t="shared" si="51"/>
        <v>46095</v>
      </c>
      <c r="E455" t="s">
        <v>49</v>
      </c>
      <c r="F455" t="s">
        <v>43</v>
      </c>
      <c r="G455">
        <f t="shared" si="57"/>
        <v>3</v>
      </c>
      <c r="I455" s="11">
        <f t="shared" si="53"/>
        <v>46095</v>
      </c>
      <c r="J455" t="s">
        <v>44</v>
      </c>
      <c r="K455" t="str">
        <f t="shared" si="54"/>
        <v>/* MARZO        */ { nombre: "Cuaresma, Semana III, SÁBADO", archivo: "/ev/tc/3/sábado.mp3", fecha: `${year}-03-14` },</v>
      </c>
      <c r="L455" s="10">
        <f t="shared" si="55"/>
        <v>46095</v>
      </c>
    </row>
    <row r="456" spans="1:12" x14ac:dyDescent="0.25">
      <c r="A456" t="str" cm="1">
        <f t="array" ref="A456">_xlfn.IFS(E456="Adviento","ta", E456="Navidad","tn", E456="Epifania","te", E456="Ordinario","to", E456="Cuaresma","tc", E456="Domingo De Ramos","tc", E456="Semana Santa","ss", E456="Triduo Pascual","tp", E456="Vigilia Pascual","tp", E456="Pascual","tp")</f>
        <v>tc</v>
      </c>
      <c r="B456" s="14" t="str">
        <f t="shared" si="46"/>
        <v>/* MARZO        */</v>
      </c>
      <c r="C456" s="15">
        <f t="shared" si="50"/>
        <v>46096</v>
      </c>
      <c r="D456" s="9">
        <f t="shared" si="51"/>
        <v>46096</v>
      </c>
      <c r="E456" t="s">
        <v>49</v>
      </c>
      <c r="F456" t="s">
        <v>43</v>
      </c>
      <c r="G456">
        <f>+G455+1</f>
        <v>4</v>
      </c>
      <c r="H456" t="s">
        <v>83</v>
      </c>
      <c r="I456" s="11">
        <f t="shared" si="53"/>
        <v>46096</v>
      </c>
      <c r="J456" t="s">
        <v>44</v>
      </c>
      <c r="K456" t="str">
        <f t="shared" si="54"/>
        <v>/* MARZO        */ { nombre: "Cuaresma, Semana IV, Domingo «Laetare», DOMINGO", archivo: "/ev/tc/4/domingo.mp3", fecha: `${year}-03-15` },</v>
      </c>
      <c r="L456" s="10">
        <f t="shared" si="55"/>
        <v>46096</v>
      </c>
    </row>
    <row r="457" spans="1:12" x14ac:dyDescent="0.25">
      <c r="A457" t="str" cm="1">
        <f t="array" ref="A457">_xlfn.IFS(E457="Adviento","ta", E457="Navidad","tn", E457="Epifania","te", E457="Ordinario","to", E457="Cuaresma","tc", E457="Domingo De Ramos","tc", E457="Semana Santa","ss", E457="Triduo Pascual","tp", E457="Vigilia Pascual","tp", E457="Pascual","tp")</f>
        <v>tc</v>
      </c>
      <c r="B457" s="14" t="str">
        <f t="shared" si="46"/>
        <v>/* MARZO        */</v>
      </c>
      <c r="C457" s="15">
        <f t="shared" si="50"/>
        <v>46097</v>
      </c>
      <c r="D457" s="9">
        <f t="shared" si="51"/>
        <v>46097</v>
      </c>
      <c r="E457" t="s">
        <v>49</v>
      </c>
      <c r="F457" t="s">
        <v>43</v>
      </c>
      <c r="G457">
        <f>G456</f>
        <v>4</v>
      </c>
      <c r="I457" s="11">
        <f t="shared" si="53"/>
        <v>46097</v>
      </c>
      <c r="J457" t="s">
        <v>44</v>
      </c>
      <c r="K457" t="str">
        <f t="shared" si="54"/>
        <v>/* MARZO        */ { nombre: "Cuaresma, Semana IV, LUNES", archivo: "/ev/tc/4/lunes.mp3", fecha: `${year}-03-16` },</v>
      </c>
      <c r="L457" s="10">
        <f t="shared" si="55"/>
        <v>46097</v>
      </c>
    </row>
    <row r="458" spans="1:12" x14ac:dyDescent="0.25">
      <c r="A458" t="str" cm="1">
        <f t="array" ref="A458">_xlfn.IFS(E458="Adviento","ta", E458="Navidad","tn", E458="Epifania","te", E458="Ordinario","to", E458="Cuaresma","tc", E458="Domingo De Ramos","tc", E458="Semana Santa","ss", E458="Triduo Pascual","tp", E458="Vigilia Pascual","tp", E458="Pascual","tp")</f>
        <v>tc</v>
      </c>
      <c r="B458" s="14" t="str">
        <f t="shared" si="46"/>
        <v>/* MARZO        */</v>
      </c>
      <c r="C458" s="15">
        <f t="shared" si="50"/>
        <v>46098</v>
      </c>
      <c r="D458" s="9">
        <f t="shared" si="51"/>
        <v>46098</v>
      </c>
      <c r="E458" t="s">
        <v>49</v>
      </c>
      <c r="F458" t="s">
        <v>43</v>
      </c>
      <c r="G458">
        <f t="shared" ref="G458:G462" si="58">G457</f>
        <v>4</v>
      </c>
      <c r="I458" s="11">
        <f t="shared" si="53"/>
        <v>46098</v>
      </c>
      <c r="J458" t="s">
        <v>44</v>
      </c>
      <c r="K458" t="str">
        <f t="shared" si="54"/>
        <v>/* MARZO        */ { nombre: "Cuaresma, Semana IV, MARTES", archivo: "/ev/tc/4/martes.mp3", fecha: `${year}-03-17` },</v>
      </c>
      <c r="L458" s="10">
        <f t="shared" si="55"/>
        <v>46098</v>
      </c>
    </row>
    <row r="459" spans="1:12" x14ac:dyDescent="0.25">
      <c r="A459" t="str" cm="1">
        <f t="array" ref="A459">_xlfn.IFS(E459="Adviento","ta", E459="Navidad","tn", E459="Epifania","te", E459="Ordinario","to", E459="Cuaresma","tc", E459="Domingo De Ramos","tc", E459="Semana Santa","ss", E459="Triduo Pascual","tp", E459="Vigilia Pascual","tp", E459="Pascual","tp")</f>
        <v>tc</v>
      </c>
      <c r="B459" s="14" t="str">
        <f t="shared" si="46"/>
        <v>/* MARZO        */</v>
      </c>
      <c r="C459" s="15">
        <f t="shared" si="50"/>
        <v>46099</v>
      </c>
      <c r="D459" s="9">
        <f t="shared" si="51"/>
        <v>46099</v>
      </c>
      <c r="E459" t="s">
        <v>49</v>
      </c>
      <c r="F459" t="s">
        <v>43</v>
      </c>
      <c r="G459">
        <f t="shared" si="58"/>
        <v>4</v>
      </c>
      <c r="I459" s="11">
        <f t="shared" si="53"/>
        <v>46099</v>
      </c>
      <c r="J459" t="s">
        <v>44</v>
      </c>
      <c r="K459" t="str">
        <f t="shared" si="54"/>
        <v>/* MARZO        */ { nombre: "Cuaresma, Semana IV, MIÉRCOLES", archivo: "/ev/tc/4/miércoles.mp3", fecha: `${year}-03-18` },</v>
      </c>
      <c r="L459" s="10">
        <f t="shared" si="55"/>
        <v>46099</v>
      </c>
    </row>
    <row r="460" spans="1:12" x14ac:dyDescent="0.25">
      <c r="A460" t="str" cm="1">
        <f t="array" ref="A460">_xlfn.IFS(E460="Adviento","ta", E460="Navidad","tn", E460="Epifania","te", E460="Ordinario","to", E460="Cuaresma","tc", E460="Domingo De Ramos","tc", E460="Semana Santa","ss", E460="Triduo Pascual","tp", E460="Vigilia Pascual","tp", E460="Pascual","tp")</f>
        <v>tc</v>
      </c>
      <c r="B460" s="14" t="str">
        <f t="shared" si="46"/>
        <v>/* MARZO        */</v>
      </c>
      <c r="C460" s="15">
        <f t="shared" si="50"/>
        <v>46100</v>
      </c>
      <c r="D460" s="9">
        <f t="shared" si="51"/>
        <v>46100</v>
      </c>
      <c r="E460" t="s">
        <v>49</v>
      </c>
      <c r="F460" t="s">
        <v>43</v>
      </c>
      <c r="G460">
        <f t="shared" si="58"/>
        <v>4</v>
      </c>
      <c r="I460" s="11">
        <f t="shared" si="53"/>
        <v>46100</v>
      </c>
      <c r="J460" t="s">
        <v>44</v>
      </c>
      <c r="K460" t="str">
        <f t="shared" si="54"/>
        <v>/* MARZO        */ { nombre: "Cuaresma, Semana IV, JUEVES", archivo: "/ev/tc/4/jueves.mp3", fecha: `${year}-03-19` },</v>
      </c>
      <c r="L460" s="10">
        <f t="shared" si="55"/>
        <v>46100</v>
      </c>
    </row>
    <row r="461" spans="1:12" x14ac:dyDescent="0.25">
      <c r="A461" t="str" cm="1">
        <f t="array" ref="A461">_xlfn.IFS(E461="Adviento","ta", E461="Navidad","tn", E461="Epifania","te", E461="Ordinario","to", E461="Cuaresma","tc", E461="Domingo De Ramos","tc", E461="Semana Santa","ss", E461="Triduo Pascual","tp", E461="Vigilia Pascual","tp", E461="Pascual","tp")</f>
        <v>tc</v>
      </c>
      <c r="B461" s="14" t="str">
        <f t="shared" si="46"/>
        <v>/* MARZO        */</v>
      </c>
      <c r="C461" s="15">
        <f t="shared" si="50"/>
        <v>46101</v>
      </c>
      <c r="D461" s="9">
        <f t="shared" si="51"/>
        <v>46101</v>
      </c>
      <c r="E461" t="s">
        <v>49</v>
      </c>
      <c r="F461" t="s">
        <v>43</v>
      </c>
      <c r="G461">
        <f t="shared" si="58"/>
        <v>4</v>
      </c>
      <c r="I461" s="11">
        <f t="shared" si="53"/>
        <v>46101</v>
      </c>
      <c r="J461" t="s">
        <v>44</v>
      </c>
      <c r="K461" t="str">
        <f t="shared" si="54"/>
        <v>/* MARZO        */ { nombre: "Cuaresma, Semana IV, VIERNES", archivo: "/ev/tc/4/viernes.mp3", fecha: `${year}-03-20` },</v>
      </c>
      <c r="L461" s="10">
        <f t="shared" si="55"/>
        <v>46101</v>
      </c>
    </row>
    <row r="462" spans="1:12" x14ac:dyDescent="0.25">
      <c r="A462" t="str" cm="1">
        <f t="array" ref="A462">_xlfn.IFS(E462="Adviento","ta", E462="Navidad","tn", E462="Epifania","te", E462="Ordinario","to", E462="Cuaresma","tc", E462="Domingo De Ramos","tc", E462="Semana Santa","ss", E462="Triduo Pascual","tp", E462="Vigilia Pascual","tp", E462="Pascual","tp")</f>
        <v>tc</v>
      </c>
      <c r="B462" s="14" t="str">
        <f t="shared" si="46"/>
        <v>/* MARZO        */</v>
      </c>
      <c r="C462" s="15">
        <f t="shared" si="50"/>
        <v>46102</v>
      </c>
      <c r="D462" s="9">
        <f t="shared" si="51"/>
        <v>46102</v>
      </c>
      <c r="E462" t="s">
        <v>49</v>
      </c>
      <c r="F462" t="s">
        <v>43</v>
      </c>
      <c r="G462">
        <f t="shared" si="58"/>
        <v>4</v>
      </c>
      <c r="I462" s="11">
        <f t="shared" si="53"/>
        <v>46102</v>
      </c>
      <c r="J462" t="s">
        <v>44</v>
      </c>
      <c r="K462" t="str">
        <f t="shared" si="54"/>
        <v>/* MARZO        */ { nombre: "Cuaresma, Semana IV, SÁBADO", archivo: "/ev/tc/4/sábado.mp3", fecha: `${year}-03-21` },</v>
      </c>
      <c r="L462" s="10">
        <f t="shared" si="55"/>
        <v>46102</v>
      </c>
    </row>
    <row r="463" spans="1:12" x14ac:dyDescent="0.25">
      <c r="A463" t="str" cm="1">
        <f t="array" ref="A463">_xlfn.IFS(E463="Adviento","ta", E463="Navidad","tn", E463="Epifania","te", E463="Ordinario","to", E463="Cuaresma","tc", E463="Domingo De Ramos","tc", E463="Semana Santa","ss", E463="Triduo Pascual","tp", E463="Vigilia Pascual","tp", E463="Pascual","tp")</f>
        <v>tc</v>
      </c>
      <c r="B463" s="14" t="str">
        <f t="shared" si="46"/>
        <v>/* MARZO        */</v>
      </c>
      <c r="C463" s="15">
        <f t="shared" si="50"/>
        <v>46103</v>
      </c>
      <c r="D463" s="9">
        <f t="shared" si="51"/>
        <v>46103</v>
      </c>
      <c r="E463" t="s">
        <v>49</v>
      </c>
      <c r="F463" t="s">
        <v>43</v>
      </c>
      <c r="G463">
        <f>+G462+1</f>
        <v>5</v>
      </c>
      <c r="I463" s="11">
        <f t="shared" si="53"/>
        <v>46103</v>
      </c>
      <c r="J463" t="s">
        <v>44</v>
      </c>
      <c r="K463" t="str">
        <f t="shared" si="54"/>
        <v>/* MARZO        */ { nombre: "Cuaresma, Semana V, DOMINGO", archivo: "/ev/tc/5/domingo.mp3", fecha: `${year}-03-22` },</v>
      </c>
      <c r="L463" s="10">
        <f t="shared" si="55"/>
        <v>46103</v>
      </c>
    </row>
    <row r="464" spans="1:12" x14ac:dyDescent="0.25">
      <c r="A464" t="str" cm="1">
        <f t="array" ref="A464">_xlfn.IFS(E464="Adviento","ta", E464="Navidad","tn", E464="Epifania","te", E464="Ordinario","to", E464="Cuaresma","tc", E464="Domingo De Ramos","tc", E464="Semana Santa","ss", E464="Triduo Pascual","tp", E464="Vigilia Pascual","tp", E464="Pascual","tp")</f>
        <v>tc</v>
      </c>
      <c r="B464" s="14" t="str">
        <f t="shared" si="46"/>
        <v>/* MARZO        */</v>
      </c>
      <c r="C464" s="15">
        <f t="shared" si="50"/>
        <v>46104</v>
      </c>
      <c r="D464" s="9">
        <f t="shared" si="51"/>
        <v>46104</v>
      </c>
      <c r="E464" t="s">
        <v>49</v>
      </c>
      <c r="F464" t="s">
        <v>43</v>
      </c>
      <c r="G464">
        <f>G463</f>
        <v>5</v>
      </c>
      <c r="I464" s="11">
        <f t="shared" si="53"/>
        <v>46104</v>
      </c>
      <c r="J464" t="s">
        <v>44</v>
      </c>
      <c r="K464" t="str">
        <f t="shared" si="54"/>
        <v>/* MARZO        */ { nombre: "Cuaresma, Semana V, LUNES", archivo: "/ev/tc/5/lunes.mp3", fecha: `${year}-03-23` },</v>
      </c>
      <c r="L464" s="10">
        <f t="shared" si="55"/>
        <v>46104</v>
      </c>
    </row>
    <row r="465" spans="1:12" x14ac:dyDescent="0.25">
      <c r="A465" t="str" cm="1">
        <f t="array" ref="A465">_xlfn.IFS(E465="Adviento","ta", E465="Navidad","tn", E465="Epifania","te", E465="Ordinario","to", E465="Cuaresma","tc", E465="Domingo De Ramos","tc", E465="Semana Santa","ss", E465="Triduo Pascual","tp", E465="Vigilia Pascual","tp", E465="Pascual","tp")</f>
        <v>tc</v>
      </c>
      <c r="B465" s="14" t="str">
        <f t="shared" si="46"/>
        <v>/* MARZO        */</v>
      </c>
      <c r="C465" s="15">
        <f t="shared" si="50"/>
        <v>46105</v>
      </c>
      <c r="D465" s="9">
        <f t="shared" si="51"/>
        <v>46105</v>
      </c>
      <c r="E465" t="s">
        <v>49</v>
      </c>
      <c r="F465" t="s">
        <v>43</v>
      </c>
      <c r="G465">
        <f t="shared" ref="G465:G469" si="59">G464</f>
        <v>5</v>
      </c>
      <c r="I465" s="11">
        <f t="shared" si="53"/>
        <v>46105</v>
      </c>
      <c r="J465" t="s">
        <v>44</v>
      </c>
      <c r="K465" t="str">
        <f t="shared" si="54"/>
        <v>/* MARZO        */ { nombre: "Cuaresma, Semana V, MARTES", archivo: "/ev/tc/5/martes.mp3", fecha: `${year}-03-24` },</v>
      </c>
      <c r="L465" s="10">
        <f t="shared" si="55"/>
        <v>46105</v>
      </c>
    </row>
    <row r="466" spans="1:12" x14ac:dyDescent="0.25">
      <c r="A466" t="str" cm="1">
        <f t="array" ref="A466">_xlfn.IFS(E466="Adviento","ta", E466="Navidad","tn", E466="Epifania","te", E466="Ordinario","to", E466="Cuaresma","tc", E466="Domingo De Ramos","tc", E466="Semana Santa","ss", E466="Triduo Pascual","tp", E466="Vigilia Pascual","tp", E466="Pascual","tp")</f>
        <v>tc</v>
      </c>
      <c r="B466" s="14" t="str">
        <f t="shared" si="46"/>
        <v>/* MARZO        */</v>
      </c>
      <c r="C466" s="15">
        <f t="shared" si="50"/>
        <v>46106</v>
      </c>
      <c r="D466" s="9">
        <f t="shared" si="51"/>
        <v>46106</v>
      </c>
      <c r="E466" t="s">
        <v>49</v>
      </c>
      <c r="F466" t="s">
        <v>43</v>
      </c>
      <c r="G466">
        <f t="shared" si="59"/>
        <v>5</v>
      </c>
      <c r="H466" t="s">
        <v>84</v>
      </c>
      <c r="I466" s="11">
        <f t="shared" si="53"/>
        <v>46106</v>
      </c>
      <c r="J466" t="s">
        <v>44</v>
      </c>
      <c r="K466" t="str">
        <f t="shared" si="54"/>
        <v>/* MARZO        */ { nombre: "Cuaresma, Semana V, La Anunciación del Señor, MIÉRCOLES", archivo: "/ev/tc/5/miércoles.mp3", fecha: `${year}-03-25` },</v>
      </c>
      <c r="L466" s="10">
        <f t="shared" si="55"/>
        <v>46106</v>
      </c>
    </row>
    <row r="467" spans="1:12" x14ac:dyDescent="0.25">
      <c r="A467" t="str" cm="1">
        <f t="array" ref="A467">_xlfn.IFS(E467="Adviento","ta", E467="Navidad","tn", E467="Epifania","te", E467="Ordinario","to", E467="Cuaresma","tc", E467="Domingo De Ramos","tc", E467="Semana Santa","ss", E467="Triduo Pascual","tp", E467="Vigilia Pascual","tp", E467="Pascual","tp")</f>
        <v>tc</v>
      </c>
      <c r="B467" s="14" t="str">
        <f t="shared" si="46"/>
        <v>/* MARZO        */</v>
      </c>
      <c r="C467" s="15">
        <f t="shared" si="50"/>
        <v>46107</v>
      </c>
      <c r="D467" s="9">
        <f t="shared" si="51"/>
        <v>46107</v>
      </c>
      <c r="E467" t="s">
        <v>49</v>
      </c>
      <c r="F467" t="s">
        <v>43</v>
      </c>
      <c r="G467">
        <f t="shared" si="59"/>
        <v>5</v>
      </c>
      <c r="I467" s="11">
        <f t="shared" si="53"/>
        <v>46107</v>
      </c>
      <c r="J467" t="s">
        <v>44</v>
      </c>
      <c r="K467" t="str">
        <f t="shared" si="54"/>
        <v>/* MARZO        */ { nombre: "Cuaresma, Semana V, JUEVES", archivo: "/ev/tc/5/jueves.mp3", fecha: `${year}-03-26` },</v>
      </c>
      <c r="L467" s="10">
        <f t="shared" si="55"/>
        <v>46107</v>
      </c>
    </row>
    <row r="468" spans="1:12" x14ac:dyDescent="0.25">
      <c r="A468" t="str" cm="1">
        <f t="array" ref="A468">_xlfn.IFS(E468="Adviento","ta", E468="Navidad","tn", E468="Epifania","te", E468="Ordinario","to", E468="Cuaresma","tc", E468="Domingo De Ramos","tc", E468="Semana Santa","ss", E468="Triduo Pascual","tp", E468="Vigilia Pascual","tp", E468="Pascual","tp")</f>
        <v>tc</v>
      </c>
      <c r="B468" s="14" t="str">
        <f t="shared" si="46"/>
        <v>/* MARZO        */</v>
      </c>
      <c r="C468" s="15">
        <f t="shared" si="50"/>
        <v>46108</v>
      </c>
      <c r="D468" s="9">
        <f t="shared" si="51"/>
        <v>46108</v>
      </c>
      <c r="E468" t="s">
        <v>49</v>
      </c>
      <c r="F468" t="s">
        <v>43</v>
      </c>
      <c r="G468">
        <f t="shared" si="59"/>
        <v>5</v>
      </c>
      <c r="I468" s="11">
        <f t="shared" si="53"/>
        <v>46108</v>
      </c>
      <c r="J468" t="s">
        <v>44</v>
      </c>
      <c r="K468" t="str">
        <f t="shared" si="54"/>
        <v>/* MARZO        */ { nombre: "Cuaresma, Semana V, VIERNES", archivo: "/ev/tc/5/viernes.mp3", fecha: `${year}-03-27` },</v>
      </c>
      <c r="L468" s="10">
        <f t="shared" si="55"/>
        <v>46108</v>
      </c>
    </row>
    <row r="469" spans="1:12" x14ac:dyDescent="0.25">
      <c r="A469" t="str" cm="1">
        <f t="array" ref="A469">_xlfn.IFS(E469="Adviento","ta", E469="Navidad","tn", E469="Epifania","te", E469="Ordinario","to", E469="Cuaresma","tc", E469="Domingo De Ramos","tc", E469="Semana Santa","ss", E469="Triduo Pascual","tp", E469="Vigilia Pascual","tp", E469="Pascual","tp")</f>
        <v>tc</v>
      </c>
      <c r="B469" s="14" t="str">
        <f t="shared" si="46"/>
        <v>/* MARZO        */</v>
      </c>
      <c r="C469" s="15">
        <f t="shared" si="50"/>
        <v>46109</v>
      </c>
      <c r="D469" s="9">
        <f t="shared" si="51"/>
        <v>46109</v>
      </c>
      <c r="E469" t="s">
        <v>49</v>
      </c>
      <c r="F469" t="s">
        <v>43</v>
      </c>
      <c r="G469">
        <f t="shared" si="59"/>
        <v>5</v>
      </c>
      <c r="I469" s="11">
        <f t="shared" si="53"/>
        <v>46109</v>
      </c>
      <c r="J469" t="s">
        <v>44</v>
      </c>
      <c r="K469" t="str">
        <f t="shared" si="54"/>
        <v>/* MARZO        */ { nombre: "Cuaresma, Semana V, SÁBADO", archivo: "/ev/tc/5/sábado.mp3", fecha: `${year}-03-28` },</v>
      </c>
      <c r="L469" s="10">
        <f t="shared" si="55"/>
        <v>46109</v>
      </c>
    </row>
    <row r="470" spans="1:12" x14ac:dyDescent="0.25">
      <c r="A470" t="str" cm="1">
        <f t="array" ref="A470">_xlfn.IFS(E470="Adviento","ta", E470="Navidad","tn", E470="Epifania","te", E470="Ordinario","to", E470="Cuaresma","tc", E470="Domingo De Ramos","tc", E470="Semana Santa","ss", E470="Triduo Pascual","tp", E470="Vigilia Pascual","tp", E470="Pascual","tp")</f>
        <v>tc</v>
      </c>
      <c r="B470" s="14" t="str">
        <f t="shared" ref="B470:B533" si="60">_xlfn.CONCAT("/* ",UPPER(TEXT(D470,"[$-es-ES]mmmm")),"        */")</f>
        <v>/* MARZO        */</v>
      </c>
      <c r="C470" s="15">
        <f t="shared" si="50"/>
        <v>46110</v>
      </c>
      <c r="D470" s="9">
        <f t="shared" si="51"/>
        <v>46110</v>
      </c>
      <c r="E470" t="s">
        <v>49</v>
      </c>
      <c r="F470" t="s">
        <v>43</v>
      </c>
      <c r="G470">
        <f>+G469+1</f>
        <v>6</v>
      </c>
      <c r="H470" t="s">
        <v>85</v>
      </c>
      <c r="I470" s="11">
        <f t="shared" si="53"/>
        <v>46110</v>
      </c>
      <c r="J470" t="s">
        <v>44</v>
      </c>
      <c r="K470" t="str">
        <f t="shared" si="54"/>
        <v>/* MARZO        */ { nombre: "Cuaresma, Semana VI, Domingo de Ramos en la Pasión del Señor, DOMINGO", archivo: "/ev/tc/6/domingo.mp3", fecha: `${year}-03-29` },</v>
      </c>
      <c r="L470" s="10">
        <f t="shared" si="55"/>
        <v>46110</v>
      </c>
    </row>
    <row r="471" spans="1:12" x14ac:dyDescent="0.25">
      <c r="A471" t="str" cm="1">
        <f t="array" ref="A471">_xlfn.IFS(E471="Adviento","ta", E471="Navidad","tn", E471="Epifania","te", E471="Ordinario","to", E471="Cuaresma","tc", E471="Domingo De Ramos","tc", E471="Semana Santa","ss", E471="Triduo Pascual","tp", E471="Vigilia Pascual","tp", E471="Pascual","tp")</f>
        <v>tc</v>
      </c>
      <c r="B471" s="14" t="str">
        <f t="shared" si="60"/>
        <v>/* MARZO        */</v>
      </c>
      <c r="C471" s="15">
        <f t="shared" si="50"/>
        <v>46111</v>
      </c>
      <c r="D471" s="9">
        <f t="shared" si="51"/>
        <v>46111</v>
      </c>
      <c r="E471" t="s">
        <v>49</v>
      </c>
      <c r="F471" t="s">
        <v>43</v>
      </c>
      <c r="G471">
        <f>G470</f>
        <v>6</v>
      </c>
      <c r="H471" t="s">
        <v>87</v>
      </c>
      <c r="I471" s="11">
        <f t="shared" si="53"/>
        <v>46111</v>
      </c>
      <c r="J471" t="s">
        <v>44</v>
      </c>
      <c r="K471" t="str">
        <f t="shared" si="54"/>
        <v>/* MARZO        */ { nombre: "Cuaresma, Semana VI, Lunes Santo, LUNES", archivo: "/ev/tc/6/lunes.mp3", fecha: `${year}-03-30` },</v>
      </c>
      <c r="L471" s="10">
        <f t="shared" si="55"/>
        <v>46111</v>
      </c>
    </row>
    <row r="472" spans="1:12" x14ac:dyDescent="0.25">
      <c r="A472" t="str" cm="1">
        <f t="array" ref="A472">_xlfn.IFS(E472="Adviento","ta", E472="Navidad","tn", E472="Epifania","te", E472="Ordinario","to", E472="Cuaresma","tc", E472="Domingo De Ramos","tc", E472="Semana Santa","ss", E472="Triduo Pascual","tp", E472="Vigilia Pascual","tp", E472="Pascual","tp")</f>
        <v>tc</v>
      </c>
      <c r="B472" s="14" t="str">
        <f t="shared" si="60"/>
        <v>/* MARZO        */</v>
      </c>
      <c r="C472" s="15">
        <f t="shared" si="50"/>
        <v>46112</v>
      </c>
      <c r="D472" s="9">
        <f t="shared" si="51"/>
        <v>46112</v>
      </c>
      <c r="E472" t="s">
        <v>49</v>
      </c>
      <c r="F472" t="s">
        <v>43</v>
      </c>
      <c r="G472">
        <f t="shared" ref="G472:G476" si="61">G471</f>
        <v>6</v>
      </c>
      <c r="H472" t="s">
        <v>86</v>
      </c>
      <c r="I472" s="11">
        <f t="shared" si="53"/>
        <v>46112</v>
      </c>
      <c r="J472" t="s">
        <v>44</v>
      </c>
      <c r="K472" t="str">
        <f t="shared" si="54"/>
        <v>/* MARZO        */ { nombre: "Cuaresma, Semana VI, Martes Santo, MARTES", archivo: "/ev/tc/6/martes.mp3", fecha: `${year}-03-31` },</v>
      </c>
      <c r="L472" s="10">
        <f t="shared" si="55"/>
        <v>46112</v>
      </c>
    </row>
    <row r="473" spans="1:12" x14ac:dyDescent="0.25">
      <c r="A473" t="str" cm="1">
        <f t="array" ref="A473">_xlfn.IFS(E473="Adviento","ta", E473="Navidad","tn", E473="Epifania","te", E473="Ordinario","to", E473="Cuaresma","tc", E473="Domingo De Ramos","tc", E473="Semana Santa","ss", E473="Triduo Pascual","tp", E473="Vigilia Pascual","tp", E473="Pascual","tp")</f>
        <v>tc</v>
      </c>
      <c r="B473" s="14" t="str">
        <f t="shared" si="60"/>
        <v>/* ABRIL        */</v>
      </c>
      <c r="C473" s="15">
        <f t="shared" si="50"/>
        <v>46113</v>
      </c>
      <c r="D473" s="9">
        <f t="shared" si="51"/>
        <v>46113</v>
      </c>
      <c r="E473" t="s">
        <v>49</v>
      </c>
      <c r="F473" t="s">
        <v>43</v>
      </c>
      <c r="G473">
        <f t="shared" si="61"/>
        <v>6</v>
      </c>
      <c r="H473" t="s">
        <v>88</v>
      </c>
      <c r="I473" s="11">
        <f t="shared" si="53"/>
        <v>46113</v>
      </c>
      <c r="J473" t="s">
        <v>44</v>
      </c>
      <c r="K473" t="str">
        <f t="shared" si="54"/>
        <v>/* ABRIL        */ { nombre: "Cuaresma, Semana VI, Miercoles Santo, MIÉRCOLES", archivo: "/ev/tc/6/miércoles.mp3", fecha: `${year}-04-01` },</v>
      </c>
      <c r="L473" s="10">
        <f t="shared" si="55"/>
        <v>46113</v>
      </c>
    </row>
    <row r="474" spans="1:12" x14ac:dyDescent="0.25">
      <c r="A474" t="str" cm="1">
        <f t="array" ref="A474">_xlfn.IFS(E474="Adviento","ta", E474="Navidad","tn", E474="Epifania","te", E474="Ordinario","to", E474="Cuaresma","tc", E474="Domingo De Ramos","tc", E474="Semana Santa","ss", E474="Triduo Pascual","tp", E474="Vigilia Pascual","tp", E474="Pascual","tp")</f>
        <v>tc</v>
      </c>
      <c r="B474" s="14" t="str">
        <f t="shared" si="60"/>
        <v>/* ABRIL        */</v>
      </c>
      <c r="C474" s="15">
        <f t="shared" si="50"/>
        <v>46114</v>
      </c>
      <c r="D474" s="9">
        <f t="shared" si="51"/>
        <v>46114</v>
      </c>
      <c r="E474" t="s">
        <v>49</v>
      </c>
      <c r="F474" t="s">
        <v>43</v>
      </c>
      <c r="G474">
        <f t="shared" si="61"/>
        <v>6</v>
      </c>
      <c r="H474" t="s">
        <v>74</v>
      </c>
      <c r="I474" s="11">
        <f t="shared" si="53"/>
        <v>46114</v>
      </c>
      <c r="J474" t="s">
        <v>44</v>
      </c>
      <c r="K474" t="str">
        <f t="shared" si="54"/>
        <v>/* ABRIL        */ { nombre: "Cuaresma, Semana VI, Jueves Santo en la Cena del Señor, JUEVES", archivo: "/ev/tc/6/jueves.mp3", fecha: `${year}-04-02` },</v>
      </c>
      <c r="L474" s="10">
        <f t="shared" si="55"/>
        <v>46114</v>
      </c>
    </row>
    <row r="475" spans="1:12" x14ac:dyDescent="0.25">
      <c r="A475" t="str" cm="1">
        <f t="array" ref="A475">_xlfn.IFS(E475="Adviento","ta", E475="Navidad","tn", E475="Epifania","te", E475="Ordinario","to", E475="Cuaresma","tc", E475="Domingo De Ramos","tc", E475="Semana Santa","ss", E475="Triduo Pascual","tp", E475="Vigilia Pascual","tp", E475="Pascual","tp")</f>
        <v>tc</v>
      </c>
      <c r="B475" s="14" t="str">
        <f t="shared" si="60"/>
        <v>/* ABRIL        */</v>
      </c>
      <c r="C475" s="15">
        <f t="shared" si="50"/>
        <v>46115</v>
      </c>
      <c r="D475" s="9">
        <f t="shared" si="51"/>
        <v>46115</v>
      </c>
      <c r="E475" t="s">
        <v>49</v>
      </c>
      <c r="F475" t="s">
        <v>43</v>
      </c>
      <c r="G475">
        <f t="shared" si="61"/>
        <v>6</v>
      </c>
      <c r="H475" t="s">
        <v>89</v>
      </c>
      <c r="I475" s="11">
        <f t="shared" si="53"/>
        <v>46115</v>
      </c>
      <c r="J475" t="s">
        <v>44</v>
      </c>
      <c r="K475" t="str">
        <f t="shared" si="54"/>
        <v>/* ABRIL        */ { nombre: "Cuaresma, Semana VI, Viernes Santo en la Pasión del Señor, VIERNES", archivo: "/ev/tc/6/viernes.mp3", fecha: `${year}-04-03` },</v>
      </c>
      <c r="L475" s="10">
        <f t="shared" si="55"/>
        <v>46115</v>
      </c>
    </row>
    <row r="476" spans="1:12" x14ac:dyDescent="0.25">
      <c r="A476" t="str" cm="1">
        <f t="array" ref="A476">_xlfn.IFS(E476="Adviento","ta", E476="Navidad","tn", E476="Epifania","te", E476="Ordinario","to", E476="Cuaresma","tc", E476="Domingo De Ramos","tc", E476="Semana Santa","ss", E476="Triduo Pascual","tp", E476="Vigilia Pascual","tp", E476="Pascual","tp")</f>
        <v>tc</v>
      </c>
      <c r="B476" s="14" t="str">
        <f t="shared" si="60"/>
        <v>/* ABRIL        */</v>
      </c>
      <c r="C476" s="15">
        <f t="shared" si="50"/>
        <v>46116</v>
      </c>
      <c r="D476" s="9">
        <f t="shared" si="51"/>
        <v>46116</v>
      </c>
      <c r="E476" t="s">
        <v>49</v>
      </c>
      <c r="F476" t="s">
        <v>43</v>
      </c>
      <c r="G476">
        <f t="shared" si="61"/>
        <v>6</v>
      </c>
      <c r="H476" t="s">
        <v>75</v>
      </c>
      <c r="I476" s="11">
        <f t="shared" si="53"/>
        <v>46116</v>
      </c>
      <c r="J476" t="s">
        <v>44</v>
      </c>
      <c r="K476" t="str">
        <f t="shared" si="54"/>
        <v>/* ABRIL        */ { nombre: "Cuaresma, Semana VI, Sábado Santo de la Sepultura del Señor, SÁBADO", archivo: "/ev/tc/6/sábado.mp3", fecha: `${year}-04-04` },</v>
      </c>
      <c r="L476" s="10">
        <f t="shared" si="55"/>
        <v>46116</v>
      </c>
    </row>
    <row r="477" spans="1:12" x14ac:dyDescent="0.25">
      <c r="A477" t="str" cm="1">
        <f t="array" ref="A477">_xlfn.IFS(E477="Adviento","ta", E477="Navidad","tn", E477="Epifania","te", E477="Ordinario","to", E477="Cuaresma","tc", E477="Domingo De Ramos","tc", E477="Semana Santa","ss", E477="Triduo Pascual","tp", E477="Vigilia Pascual","tp", E477="Pascual","tp")</f>
        <v>tp</v>
      </c>
      <c r="B477" s="14" t="str">
        <f t="shared" si="60"/>
        <v>/* ABRIL        */</v>
      </c>
      <c r="C477" s="15">
        <f t="shared" si="50"/>
        <v>46117</v>
      </c>
      <c r="D477" s="9">
        <f t="shared" si="51"/>
        <v>46117</v>
      </c>
      <c r="E477" t="s">
        <v>54</v>
      </c>
      <c r="F477" t="s">
        <v>43</v>
      </c>
      <c r="G477">
        <v>1</v>
      </c>
      <c r="H477" t="s">
        <v>90</v>
      </c>
      <c r="I477" s="11">
        <f t="shared" si="53"/>
        <v>46117</v>
      </c>
      <c r="J477" t="s">
        <v>44</v>
      </c>
      <c r="K477" t="str">
        <f t="shared" si="54"/>
        <v>/* ABRIL        */ { nombre: "Pascual, Semana I, Domingo de Pascua de la Resurrección del Señor, DOMINGO", archivo: "/ev/tp/1/domingo.mp3", fecha: `${year}-04-05` },</v>
      </c>
      <c r="L477" s="10">
        <f t="shared" si="55"/>
        <v>46117</v>
      </c>
    </row>
    <row r="478" spans="1:12" x14ac:dyDescent="0.25">
      <c r="A478" t="str" cm="1">
        <f t="array" ref="A478">_xlfn.IFS(E478="Adviento","ta", E478="Navidad","tn", E478="Epifania","te", E478="Ordinario","to", E478="Cuaresma","tc", E478="Domingo De Ramos","tc", E478="Semana Santa","ss", E478="Triduo Pascual","tp", E478="Vigilia Pascual","tp", E478="Pascual","tp")</f>
        <v>tp</v>
      </c>
      <c r="B478" s="14" t="str">
        <f t="shared" si="60"/>
        <v>/* ABRIL        */</v>
      </c>
      <c r="C478" s="15">
        <f t="shared" si="50"/>
        <v>46118</v>
      </c>
      <c r="D478" s="9">
        <f t="shared" si="51"/>
        <v>46118</v>
      </c>
      <c r="E478" t="s">
        <v>54</v>
      </c>
      <c r="F478" t="s">
        <v>43</v>
      </c>
      <c r="G478">
        <f>G477</f>
        <v>1</v>
      </c>
      <c r="H478" t="s">
        <v>76</v>
      </c>
      <c r="I478" s="11">
        <f t="shared" si="53"/>
        <v>46118</v>
      </c>
      <c r="J478" t="s">
        <v>44</v>
      </c>
      <c r="K478" t="str">
        <f t="shared" si="54"/>
        <v>/* ABRIL        */ { nombre: "Pascual, Semana I,Octava de Pascua, LUNES", archivo: "/ev/tp/1/lunes.mp3", fecha: `${year}-04-06` },</v>
      </c>
      <c r="L478" s="10">
        <f t="shared" si="55"/>
        <v>46118</v>
      </c>
    </row>
    <row r="479" spans="1:12" x14ac:dyDescent="0.25">
      <c r="A479" t="str" cm="1">
        <f t="array" ref="A479">_xlfn.IFS(E479="Adviento","ta", E479="Navidad","tn", E479="Epifania","te", E479="Ordinario","to", E479="Cuaresma","tc", E479="Domingo De Ramos","tc", E479="Semana Santa","ss", E479="Triduo Pascual","tp", E479="Vigilia Pascual","tp", E479="Pascual","tp")</f>
        <v>tp</v>
      </c>
      <c r="B479" s="14" t="str">
        <f t="shared" si="60"/>
        <v>/* ABRIL        */</v>
      </c>
      <c r="C479" s="15">
        <f t="shared" si="50"/>
        <v>46119</v>
      </c>
      <c r="D479" s="9">
        <f t="shared" si="51"/>
        <v>46119</v>
      </c>
      <c r="E479" t="s">
        <v>54</v>
      </c>
      <c r="F479" t="s">
        <v>43</v>
      </c>
      <c r="G479">
        <f t="shared" ref="G479:G483" si="62">G478</f>
        <v>1</v>
      </c>
      <c r="H479" t="s">
        <v>76</v>
      </c>
      <c r="I479" s="11">
        <f t="shared" si="53"/>
        <v>46119</v>
      </c>
      <c r="J479" t="s">
        <v>44</v>
      </c>
      <c r="K479" t="str">
        <f t="shared" si="54"/>
        <v>/* ABRIL        */ { nombre: "Pascual, Semana I,Octava de Pascua, MARTES", archivo: "/ev/tp/1/martes.mp3", fecha: `${year}-04-07` },</v>
      </c>
      <c r="L479" s="10">
        <f t="shared" si="55"/>
        <v>46119</v>
      </c>
    </row>
    <row r="480" spans="1:12" x14ac:dyDescent="0.25">
      <c r="A480" t="str" cm="1">
        <f t="array" ref="A480">_xlfn.IFS(E480="Adviento","ta", E480="Navidad","tn", E480="Epifania","te", E480="Ordinario","to", E480="Cuaresma","tc", E480="Domingo De Ramos","tc", E480="Semana Santa","ss", E480="Triduo Pascual","tp", E480="Vigilia Pascual","tp", E480="Pascual","tp")</f>
        <v>tp</v>
      </c>
      <c r="B480" s="14" t="str">
        <f t="shared" si="60"/>
        <v>/* ABRIL        */</v>
      </c>
      <c r="C480" s="15">
        <f t="shared" si="50"/>
        <v>46120</v>
      </c>
      <c r="D480" s="9">
        <f t="shared" si="51"/>
        <v>46120</v>
      </c>
      <c r="E480" t="s">
        <v>54</v>
      </c>
      <c r="F480" t="s">
        <v>43</v>
      </c>
      <c r="G480">
        <f t="shared" si="62"/>
        <v>1</v>
      </c>
      <c r="H480" t="s">
        <v>76</v>
      </c>
      <c r="I480" s="11">
        <f t="shared" si="53"/>
        <v>46120</v>
      </c>
      <c r="J480" t="s">
        <v>44</v>
      </c>
      <c r="K480" t="str">
        <f t="shared" si="54"/>
        <v>/* ABRIL        */ { nombre: "Pascual, Semana I,Octava de Pascua, MIÉRCOLES", archivo: "/ev/tp/1/miércoles.mp3", fecha: `${year}-04-08` },</v>
      </c>
      <c r="L480" s="10">
        <f t="shared" si="55"/>
        <v>46120</v>
      </c>
    </row>
    <row r="481" spans="1:12" x14ac:dyDescent="0.25">
      <c r="A481" t="str" cm="1">
        <f t="array" ref="A481">_xlfn.IFS(E481="Adviento","ta", E481="Navidad","tn", E481="Epifania","te", E481="Ordinario","to", E481="Cuaresma","tc", E481="Domingo De Ramos","tc", E481="Semana Santa","ss", E481="Triduo Pascual","tp", E481="Vigilia Pascual","tp", E481="Pascual","tp")</f>
        <v>tp</v>
      </c>
      <c r="B481" s="14" t="str">
        <f t="shared" si="60"/>
        <v>/* ABRIL        */</v>
      </c>
      <c r="C481" s="15">
        <f t="shared" si="50"/>
        <v>46121</v>
      </c>
      <c r="D481" s="9">
        <f t="shared" si="51"/>
        <v>46121</v>
      </c>
      <c r="E481" t="s">
        <v>54</v>
      </c>
      <c r="F481" t="s">
        <v>43</v>
      </c>
      <c r="G481">
        <f t="shared" si="62"/>
        <v>1</v>
      </c>
      <c r="H481" t="s">
        <v>76</v>
      </c>
      <c r="I481" s="11">
        <f t="shared" si="53"/>
        <v>46121</v>
      </c>
      <c r="J481" t="s">
        <v>44</v>
      </c>
      <c r="K481" t="str">
        <f t="shared" si="54"/>
        <v>/* ABRIL        */ { nombre: "Pascual, Semana I,Octava de Pascua, JUEVES", archivo: "/ev/tp/1/jueves.mp3", fecha: `${year}-04-09` },</v>
      </c>
      <c r="L481" s="10">
        <f t="shared" si="55"/>
        <v>46121</v>
      </c>
    </row>
    <row r="482" spans="1:12" x14ac:dyDescent="0.25">
      <c r="A482" t="str" cm="1">
        <f t="array" ref="A482">_xlfn.IFS(E482="Adviento","ta", E482="Navidad","tn", E482="Epifania","te", E482="Ordinario","to", E482="Cuaresma","tc", E482="Domingo De Ramos","tc", E482="Semana Santa","ss", E482="Triduo Pascual","tp", E482="Vigilia Pascual","tp", E482="Pascual","tp")</f>
        <v>tp</v>
      </c>
      <c r="B482" s="14" t="str">
        <f t="shared" si="60"/>
        <v>/* ABRIL        */</v>
      </c>
      <c r="C482" s="15">
        <f t="shared" si="50"/>
        <v>46122</v>
      </c>
      <c r="D482" s="9">
        <f t="shared" si="51"/>
        <v>46122</v>
      </c>
      <c r="E482" t="s">
        <v>54</v>
      </c>
      <c r="F482" t="s">
        <v>43</v>
      </c>
      <c r="G482">
        <f t="shared" si="62"/>
        <v>1</v>
      </c>
      <c r="H482" t="s">
        <v>76</v>
      </c>
      <c r="I482" s="11">
        <f t="shared" si="53"/>
        <v>46122</v>
      </c>
      <c r="J482" t="s">
        <v>44</v>
      </c>
      <c r="K482" t="str">
        <f t="shared" si="54"/>
        <v>/* ABRIL        */ { nombre: "Pascual, Semana I,Octava de Pascua, VIERNES", archivo: "/ev/tp/1/viernes.mp3", fecha: `${year}-04-10` },</v>
      </c>
      <c r="L482" s="10">
        <f t="shared" si="55"/>
        <v>46122</v>
      </c>
    </row>
    <row r="483" spans="1:12" x14ac:dyDescent="0.25">
      <c r="A483" t="str" cm="1">
        <f t="array" ref="A483">_xlfn.IFS(E483="Adviento","ta", E483="Navidad","tn", E483="Epifania","te", E483="Ordinario","to", E483="Cuaresma","tc", E483="Domingo De Ramos","tc", E483="Semana Santa","ss", E483="Triduo Pascual","tp", E483="Vigilia Pascual","tp", E483="Pascual","tp")</f>
        <v>tp</v>
      </c>
      <c r="B483" s="14" t="str">
        <f t="shared" si="60"/>
        <v>/* ABRIL        */</v>
      </c>
      <c r="C483" s="15">
        <f t="shared" si="50"/>
        <v>46123</v>
      </c>
      <c r="D483" s="9">
        <f t="shared" si="51"/>
        <v>46123</v>
      </c>
      <c r="E483" t="s">
        <v>54</v>
      </c>
      <c r="F483" t="s">
        <v>43</v>
      </c>
      <c r="G483">
        <f t="shared" si="62"/>
        <v>1</v>
      </c>
      <c r="H483" t="s">
        <v>76</v>
      </c>
      <c r="I483" s="11">
        <f t="shared" si="53"/>
        <v>46123</v>
      </c>
      <c r="J483" t="s">
        <v>44</v>
      </c>
      <c r="K483" t="str">
        <f t="shared" si="54"/>
        <v>/* ABRIL        */ { nombre: "Pascual, Semana I,Octava de Pascua, SÁBADO", archivo: "/ev/tp/1/sábado.mp3", fecha: `${year}-04-11` },</v>
      </c>
      <c r="L483" s="10">
        <f t="shared" si="55"/>
        <v>46123</v>
      </c>
    </row>
    <row r="484" spans="1:12" x14ac:dyDescent="0.25">
      <c r="A484" t="str" cm="1">
        <f t="array" ref="A484">_xlfn.IFS(E484="Adviento","ta", E484="Navidad","tn", E484="Epifania","te", E484="Ordinario","to", E484="Cuaresma","tc", E484="Domingo De Ramos","tc", E484="Semana Santa","ss", E484="Triduo Pascual","tp", E484="Vigilia Pascual","tp", E484="Pascual","tp")</f>
        <v>tp</v>
      </c>
      <c r="B484" s="14" t="str">
        <f t="shared" si="60"/>
        <v>/* ABRIL        */</v>
      </c>
      <c r="C484" s="15">
        <f t="shared" si="50"/>
        <v>46124</v>
      </c>
      <c r="D484" s="9">
        <f t="shared" si="51"/>
        <v>46124</v>
      </c>
      <c r="E484" t="s">
        <v>54</v>
      </c>
      <c r="F484" t="s">
        <v>43</v>
      </c>
      <c r="G484">
        <f>+G483+1</f>
        <v>2</v>
      </c>
      <c r="H484" t="s">
        <v>77</v>
      </c>
      <c r="I484" s="11">
        <f t="shared" si="53"/>
        <v>46124</v>
      </c>
      <c r="J484" t="s">
        <v>44</v>
      </c>
      <c r="K484" t="str">
        <f t="shared" si="54"/>
        <v>/* ABRIL        */ { nombre: "Pascual, Semana II,Divina Misericordia, DOMINGO", archivo: "/ev/tp/2/domingo.mp3", fecha: `${year}-04-12` },</v>
      </c>
      <c r="L484" s="10">
        <f t="shared" si="55"/>
        <v>46124</v>
      </c>
    </row>
    <row r="485" spans="1:12" x14ac:dyDescent="0.25">
      <c r="A485" t="str" cm="1">
        <f t="array" ref="A485">_xlfn.IFS(E485="Adviento","ta", E485="Navidad","tn", E485="Epifania","te", E485="Ordinario","to", E485="Cuaresma","tc", E485="Domingo De Ramos","tc", E485="Semana Santa","ss", E485="Triduo Pascual","tp", E485="Vigilia Pascual","tp", E485="Pascual","tp")</f>
        <v>tp</v>
      </c>
      <c r="B485" s="14" t="str">
        <f t="shared" si="60"/>
        <v>/* ABRIL        */</v>
      </c>
      <c r="C485" s="15">
        <f t="shared" si="50"/>
        <v>46125</v>
      </c>
      <c r="D485" s="9">
        <f t="shared" si="51"/>
        <v>46125</v>
      </c>
      <c r="E485" t="s">
        <v>54</v>
      </c>
      <c r="F485" t="s">
        <v>43</v>
      </c>
      <c r="G485">
        <f>G484</f>
        <v>2</v>
      </c>
      <c r="I485" s="11">
        <f t="shared" si="53"/>
        <v>46125</v>
      </c>
      <c r="J485" t="s">
        <v>44</v>
      </c>
      <c r="K485" t="str">
        <f t="shared" si="54"/>
        <v>/* ABRIL        */ { nombre: "Pascual, Semana II, LUNES", archivo: "/ev/tp/2/lunes.mp3", fecha: `${year}-04-13` },</v>
      </c>
      <c r="L485" s="10">
        <f t="shared" si="55"/>
        <v>46125</v>
      </c>
    </row>
    <row r="486" spans="1:12" x14ac:dyDescent="0.25">
      <c r="A486" t="str" cm="1">
        <f t="array" ref="A486">_xlfn.IFS(E486="Adviento","ta", E486="Navidad","tn", E486="Epifania","te", E486="Ordinario","to", E486="Cuaresma","tc", E486="Domingo De Ramos","tc", E486="Semana Santa","ss", E486="Triduo Pascual","tp", E486="Vigilia Pascual","tp", E486="Pascual","tp")</f>
        <v>tp</v>
      </c>
      <c r="B486" s="14" t="str">
        <f t="shared" si="60"/>
        <v>/* ABRIL        */</v>
      </c>
      <c r="C486" s="15">
        <f t="shared" si="50"/>
        <v>46126</v>
      </c>
      <c r="D486" s="9">
        <f t="shared" si="51"/>
        <v>46126</v>
      </c>
      <c r="E486" t="s">
        <v>54</v>
      </c>
      <c r="F486" t="s">
        <v>43</v>
      </c>
      <c r="G486">
        <f t="shared" ref="G486:G490" si="63">G485</f>
        <v>2</v>
      </c>
      <c r="I486" s="11">
        <f t="shared" si="53"/>
        <v>46126</v>
      </c>
      <c r="J486" t="s">
        <v>44</v>
      </c>
      <c r="K486" t="str">
        <f t="shared" si="54"/>
        <v>/* ABRIL        */ { nombre: "Pascual, Semana II, MARTES", archivo: "/ev/tp/2/martes.mp3", fecha: `${year}-04-14` },</v>
      </c>
      <c r="L486" s="10">
        <f t="shared" si="55"/>
        <v>46126</v>
      </c>
    </row>
    <row r="487" spans="1:12" x14ac:dyDescent="0.25">
      <c r="A487" t="str" cm="1">
        <f t="array" ref="A487">_xlfn.IFS(E487="Adviento","ta", E487="Navidad","tn", E487="Epifania","te", E487="Ordinario","to", E487="Cuaresma","tc", E487="Domingo De Ramos","tc", E487="Semana Santa","ss", E487="Triduo Pascual","tp", E487="Vigilia Pascual","tp", E487="Pascual","tp")</f>
        <v>tp</v>
      </c>
      <c r="B487" s="14" t="str">
        <f t="shared" si="60"/>
        <v>/* ABRIL        */</v>
      </c>
      <c r="C487" s="15">
        <f t="shared" si="50"/>
        <v>46127</v>
      </c>
      <c r="D487" s="9">
        <f t="shared" si="51"/>
        <v>46127</v>
      </c>
      <c r="E487" t="s">
        <v>54</v>
      </c>
      <c r="F487" t="s">
        <v>43</v>
      </c>
      <c r="G487">
        <f t="shared" si="63"/>
        <v>2</v>
      </c>
      <c r="I487" s="11">
        <f t="shared" si="53"/>
        <v>46127</v>
      </c>
      <c r="J487" t="s">
        <v>44</v>
      </c>
      <c r="K487" t="str">
        <f t="shared" si="54"/>
        <v>/* ABRIL        */ { nombre: "Pascual, Semana II, MIÉRCOLES", archivo: "/ev/tp/2/miércoles.mp3", fecha: `${year}-04-15` },</v>
      </c>
      <c r="L487" s="10">
        <f t="shared" si="55"/>
        <v>46127</v>
      </c>
    </row>
    <row r="488" spans="1:12" x14ac:dyDescent="0.25">
      <c r="A488" t="str" cm="1">
        <f t="array" ref="A488">_xlfn.IFS(E488="Adviento","ta", E488="Navidad","tn", E488="Epifania","te", E488="Ordinario","to", E488="Cuaresma","tc", E488="Domingo De Ramos","tc", E488="Semana Santa","ss", E488="Triduo Pascual","tp", E488="Vigilia Pascual","tp", E488="Pascual","tp")</f>
        <v>tp</v>
      </c>
      <c r="B488" s="14" t="str">
        <f t="shared" si="60"/>
        <v>/* ABRIL        */</v>
      </c>
      <c r="C488" s="15">
        <f t="shared" si="50"/>
        <v>46128</v>
      </c>
      <c r="D488" s="9">
        <f t="shared" si="51"/>
        <v>46128</v>
      </c>
      <c r="E488" t="s">
        <v>54</v>
      </c>
      <c r="F488" t="s">
        <v>43</v>
      </c>
      <c r="G488">
        <f t="shared" si="63"/>
        <v>2</v>
      </c>
      <c r="I488" s="11">
        <f t="shared" si="53"/>
        <v>46128</v>
      </c>
      <c r="J488" t="s">
        <v>44</v>
      </c>
      <c r="K488" t="str">
        <f t="shared" si="54"/>
        <v>/* ABRIL        */ { nombre: "Pascual, Semana II, JUEVES", archivo: "/ev/tp/2/jueves.mp3", fecha: `${year}-04-16` },</v>
      </c>
      <c r="L488" s="10">
        <f t="shared" si="55"/>
        <v>46128</v>
      </c>
    </row>
    <row r="489" spans="1:12" x14ac:dyDescent="0.25">
      <c r="A489" t="str" cm="1">
        <f t="array" ref="A489">_xlfn.IFS(E489="Adviento","ta", E489="Navidad","tn", E489="Epifania","te", E489="Ordinario","to", E489="Cuaresma","tc", E489="Domingo De Ramos","tc", E489="Semana Santa","ss", E489="Triduo Pascual","tp", E489="Vigilia Pascual","tp", E489="Pascual","tp")</f>
        <v>tp</v>
      </c>
      <c r="B489" s="14" t="str">
        <f t="shared" si="60"/>
        <v>/* ABRIL        */</v>
      </c>
      <c r="C489" s="15">
        <f t="shared" si="50"/>
        <v>46129</v>
      </c>
      <c r="D489" s="9">
        <f t="shared" si="51"/>
        <v>46129</v>
      </c>
      <c r="E489" t="s">
        <v>54</v>
      </c>
      <c r="F489" t="s">
        <v>43</v>
      </c>
      <c r="G489">
        <f t="shared" si="63"/>
        <v>2</v>
      </c>
      <c r="I489" s="11">
        <f t="shared" si="53"/>
        <v>46129</v>
      </c>
      <c r="J489" t="s">
        <v>44</v>
      </c>
      <c r="K489" t="str">
        <f t="shared" si="54"/>
        <v>/* ABRIL        */ { nombre: "Pascual, Semana II, VIERNES", archivo: "/ev/tp/2/viernes.mp3", fecha: `${year}-04-17` },</v>
      </c>
      <c r="L489" s="10">
        <f t="shared" si="55"/>
        <v>46129</v>
      </c>
    </row>
    <row r="490" spans="1:12" x14ac:dyDescent="0.25">
      <c r="A490" t="str" cm="1">
        <f t="array" ref="A490">_xlfn.IFS(E490="Adviento","ta", E490="Navidad","tn", E490="Epifania","te", E490="Ordinario","to", E490="Cuaresma","tc", E490="Domingo De Ramos","tc", E490="Semana Santa","ss", E490="Triduo Pascual","tp", E490="Vigilia Pascual","tp", E490="Pascual","tp")</f>
        <v>tp</v>
      </c>
      <c r="B490" s="14" t="str">
        <f t="shared" si="60"/>
        <v>/* ABRIL        */</v>
      </c>
      <c r="C490" s="15">
        <f t="shared" si="50"/>
        <v>46130</v>
      </c>
      <c r="D490" s="9">
        <f t="shared" si="51"/>
        <v>46130</v>
      </c>
      <c r="E490" t="s">
        <v>54</v>
      </c>
      <c r="F490" t="s">
        <v>43</v>
      </c>
      <c r="G490">
        <f t="shared" si="63"/>
        <v>2</v>
      </c>
      <c r="I490" s="11">
        <f t="shared" si="53"/>
        <v>46130</v>
      </c>
      <c r="J490" t="s">
        <v>44</v>
      </c>
      <c r="K490" t="str">
        <f t="shared" si="54"/>
        <v>/* ABRIL        */ { nombre: "Pascual, Semana II, SÁBADO", archivo: "/ev/tp/2/sábado.mp3", fecha: `${year}-04-18` },</v>
      </c>
      <c r="L490" s="10">
        <f t="shared" si="55"/>
        <v>46130</v>
      </c>
    </row>
    <row r="491" spans="1:12" x14ac:dyDescent="0.25">
      <c r="A491" t="str" cm="1">
        <f t="array" ref="A491">_xlfn.IFS(E491="Adviento","ta", E491="Navidad","tn", E491="Epifania","te", E491="Ordinario","to", E491="Cuaresma","tc", E491="Domingo De Ramos","tc", E491="Semana Santa","ss", E491="Triduo Pascual","tp", E491="Vigilia Pascual","tp", E491="Pascual","tp")</f>
        <v>tp</v>
      </c>
      <c r="B491" s="14" t="str">
        <f t="shared" si="60"/>
        <v>/* ABRIL        */</v>
      </c>
      <c r="C491" s="15">
        <f t="shared" si="50"/>
        <v>46131</v>
      </c>
      <c r="D491" s="9">
        <f t="shared" si="51"/>
        <v>46131</v>
      </c>
      <c r="E491" t="s">
        <v>54</v>
      </c>
      <c r="F491" t="s">
        <v>43</v>
      </c>
      <c r="G491">
        <f>+G490+1</f>
        <v>3</v>
      </c>
      <c r="I491" s="11">
        <f t="shared" si="53"/>
        <v>46131</v>
      </c>
      <c r="J491" t="s">
        <v>44</v>
      </c>
      <c r="K491" t="str">
        <f t="shared" si="54"/>
        <v>/* ABRIL        */ { nombre: "Pascual, Semana III, DOMINGO", archivo: "/ev/tp/3/domingo.mp3", fecha: `${year}-04-19` },</v>
      </c>
      <c r="L491" s="10">
        <f t="shared" si="55"/>
        <v>46131</v>
      </c>
    </row>
    <row r="492" spans="1:12" x14ac:dyDescent="0.25">
      <c r="A492" t="str" cm="1">
        <f t="array" ref="A492">_xlfn.IFS(E492="Adviento","ta", E492="Navidad","tn", E492="Epifania","te", E492="Ordinario","to", E492="Cuaresma","tc", E492="Domingo De Ramos","tc", E492="Semana Santa","ss", E492="Triduo Pascual","tp", E492="Vigilia Pascual","tp", E492="Pascual","tp")</f>
        <v>tp</v>
      </c>
      <c r="B492" s="14" t="str">
        <f t="shared" si="60"/>
        <v>/* ABRIL        */</v>
      </c>
      <c r="C492" s="15">
        <f t="shared" si="50"/>
        <v>46132</v>
      </c>
      <c r="D492" s="9">
        <f t="shared" si="51"/>
        <v>46132</v>
      </c>
      <c r="E492" t="s">
        <v>54</v>
      </c>
      <c r="F492" t="s">
        <v>43</v>
      </c>
      <c r="G492">
        <f>G491</f>
        <v>3</v>
      </c>
      <c r="I492" s="11">
        <f t="shared" si="53"/>
        <v>46132</v>
      </c>
      <c r="J492" t="s">
        <v>44</v>
      </c>
      <c r="K492" t="str">
        <f t="shared" si="54"/>
        <v>/* ABRIL        */ { nombre: "Pascual, Semana III, LUNES", archivo: "/ev/tp/3/lunes.mp3", fecha: `${year}-04-20` },</v>
      </c>
      <c r="L492" s="10">
        <f t="shared" si="55"/>
        <v>46132</v>
      </c>
    </row>
    <row r="493" spans="1:12" x14ac:dyDescent="0.25">
      <c r="A493" t="str" cm="1">
        <f t="array" ref="A493">_xlfn.IFS(E493="Adviento","ta", E493="Navidad","tn", E493="Epifania","te", E493="Ordinario","to", E493="Cuaresma","tc", E493="Domingo De Ramos","tc", E493="Semana Santa","ss", E493="Triduo Pascual","tp", E493="Vigilia Pascual","tp", E493="Pascual","tp")</f>
        <v>tp</v>
      </c>
      <c r="B493" s="14" t="str">
        <f t="shared" si="60"/>
        <v>/* ABRIL        */</v>
      </c>
      <c r="C493" s="15">
        <f t="shared" si="50"/>
        <v>46133</v>
      </c>
      <c r="D493" s="9">
        <f t="shared" si="51"/>
        <v>46133</v>
      </c>
      <c r="E493" t="s">
        <v>54</v>
      </c>
      <c r="F493" t="s">
        <v>43</v>
      </c>
      <c r="G493">
        <f t="shared" ref="G493:G497" si="64">G492</f>
        <v>3</v>
      </c>
      <c r="I493" s="11">
        <f t="shared" si="53"/>
        <v>46133</v>
      </c>
      <c r="J493" t="s">
        <v>44</v>
      </c>
      <c r="K493" t="str">
        <f t="shared" si="54"/>
        <v>/* ABRIL        */ { nombre: "Pascual, Semana III, MARTES", archivo: "/ev/tp/3/martes.mp3", fecha: `${year}-04-21` },</v>
      </c>
      <c r="L493" s="10">
        <f t="shared" si="55"/>
        <v>46133</v>
      </c>
    </row>
    <row r="494" spans="1:12" x14ac:dyDescent="0.25">
      <c r="A494" t="str" cm="1">
        <f t="array" ref="A494">_xlfn.IFS(E494="Adviento","ta", E494="Navidad","tn", E494="Epifania","te", E494="Ordinario","to", E494="Cuaresma","tc", E494="Domingo De Ramos","tc", E494="Semana Santa","ss", E494="Triduo Pascual","tp", E494="Vigilia Pascual","tp", E494="Pascual","tp")</f>
        <v>tp</v>
      </c>
      <c r="B494" s="14" t="str">
        <f t="shared" si="60"/>
        <v>/* ABRIL        */</v>
      </c>
      <c r="C494" s="15">
        <f t="shared" si="50"/>
        <v>46134</v>
      </c>
      <c r="D494" s="9">
        <f t="shared" si="51"/>
        <v>46134</v>
      </c>
      <c r="E494" t="s">
        <v>54</v>
      </c>
      <c r="F494" t="s">
        <v>43</v>
      </c>
      <c r="G494">
        <f t="shared" si="64"/>
        <v>3</v>
      </c>
      <c r="I494" s="11">
        <f t="shared" si="53"/>
        <v>46134</v>
      </c>
      <c r="J494" t="s">
        <v>44</v>
      </c>
      <c r="K494" t="str">
        <f t="shared" si="54"/>
        <v>/* ABRIL        */ { nombre: "Pascual, Semana III, MIÉRCOLES", archivo: "/ev/tp/3/miércoles.mp3", fecha: `${year}-04-22` },</v>
      </c>
      <c r="L494" s="10">
        <f t="shared" si="55"/>
        <v>46134</v>
      </c>
    </row>
    <row r="495" spans="1:12" x14ac:dyDescent="0.25">
      <c r="A495" t="str" cm="1">
        <f t="array" ref="A495">_xlfn.IFS(E495="Adviento","ta", E495="Navidad","tn", E495="Epifania","te", E495="Ordinario","to", E495="Cuaresma","tc", E495="Domingo De Ramos","tc", E495="Semana Santa","ss", E495="Triduo Pascual","tp", E495="Vigilia Pascual","tp", E495="Pascual","tp")</f>
        <v>tp</v>
      </c>
      <c r="B495" s="14" t="str">
        <f t="shared" si="60"/>
        <v>/* ABRIL        */</v>
      </c>
      <c r="C495" s="15">
        <f t="shared" si="50"/>
        <v>46135</v>
      </c>
      <c r="D495" s="9">
        <f t="shared" si="51"/>
        <v>46135</v>
      </c>
      <c r="E495" t="s">
        <v>54</v>
      </c>
      <c r="F495" t="s">
        <v>43</v>
      </c>
      <c r="G495">
        <f t="shared" si="64"/>
        <v>3</v>
      </c>
      <c r="I495" s="11">
        <f t="shared" si="53"/>
        <v>46135</v>
      </c>
      <c r="J495" t="s">
        <v>44</v>
      </c>
      <c r="K495" t="str">
        <f t="shared" si="54"/>
        <v>/* ABRIL        */ { nombre: "Pascual, Semana III, JUEVES", archivo: "/ev/tp/3/jueves.mp3", fecha: `${year}-04-23` },</v>
      </c>
      <c r="L495" s="10">
        <f t="shared" si="55"/>
        <v>46135</v>
      </c>
    </row>
    <row r="496" spans="1:12" x14ac:dyDescent="0.25">
      <c r="A496" t="str" cm="1">
        <f t="array" ref="A496">_xlfn.IFS(E496="Adviento","ta", E496="Navidad","tn", E496="Epifania","te", E496="Ordinario","to", E496="Cuaresma","tc", E496="Domingo De Ramos","tc", E496="Semana Santa","ss", E496="Triduo Pascual","tp", E496="Vigilia Pascual","tp", E496="Pascual","tp")</f>
        <v>tp</v>
      </c>
      <c r="B496" s="14" t="str">
        <f t="shared" si="60"/>
        <v>/* ABRIL        */</v>
      </c>
      <c r="C496" s="15">
        <f t="shared" si="50"/>
        <v>46136</v>
      </c>
      <c r="D496" s="9">
        <f t="shared" si="51"/>
        <v>46136</v>
      </c>
      <c r="E496" t="s">
        <v>54</v>
      </c>
      <c r="F496" t="s">
        <v>43</v>
      </c>
      <c r="G496">
        <f t="shared" si="64"/>
        <v>3</v>
      </c>
      <c r="I496" s="11">
        <f t="shared" si="53"/>
        <v>46136</v>
      </c>
      <c r="J496" t="s">
        <v>44</v>
      </c>
      <c r="K496" t="str">
        <f t="shared" si="54"/>
        <v>/* ABRIL        */ { nombre: "Pascual, Semana III, VIERNES", archivo: "/ev/tp/3/viernes.mp3", fecha: `${year}-04-24` },</v>
      </c>
      <c r="L496" s="10">
        <f t="shared" si="55"/>
        <v>46136</v>
      </c>
    </row>
    <row r="497" spans="1:12" x14ac:dyDescent="0.25">
      <c r="A497" t="str" cm="1">
        <f t="array" ref="A497">_xlfn.IFS(E497="Adviento","ta", E497="Navidad","tn", E497="Epifania","te", E497="Ordinario","to", E497="Cuaresma","tc", E497="Domingo De Ramos","tc", E497="Semana Santa","ss", E497="Triduo Pascual","tp", E497="Vigilia Pascual","tp", E497="Pascual","tp")</f>
        <v>tp</v>
      </c>
      <c r="B497" s="14" t="str">
        <f t="shared" si="60"/>
        <v>/* ABRIL        */</v>
      </c>
      <c r="C497" s="15">
        <f t="shared" si="50"/>
        <v>46137</v>
      </c>
      <c r="D497" s="9">
        <f t="shared" si="51"/>
        <v>46137</v>
      </c>
      <c r="E497" t="s">
        <v>54</v>
      </c>
      <c r="F497" t="s">
        <v>43</v>
      </c>
      <c r="G497">
        <f t="shared" si="64"/>
        <v>3</v>
      </c>
      <c r="I497" s="11">
        <f t="shared" si="53"/>
        <v>46137</v>
      </c>
      <c r="J497" t="s">
        <v>44</v>
      </c>
      <c r="K497" t="str">
        <f t="shared" si="54"/>
        <v>/* ABRIL        */ { nombre: "Pascual, Semana III, SÁBADO", archivo: "/ev/tp/3/sábado.mp3", fecha: `${year}-04-25` },</v>
      </c>
      <c r="L497" s="10">
        <f t="shared" si="55"/>
        <v>46137</v>
      </c>
    </row>
    <row r="498" spans="1:12" x14ac:dyDescent="0.25">
      <c r="A498" t="str" cm="1">
        <f t="array" ref="A498">_xlfn.IFS(E498="Adviento","ta", E498="Navidad","tn", E498="Epifania","te", E498="Ordinario","to", E498="Cuaresma","tc", E498="Domingo De Ramos","tc", E498="Semana Santa","ss", E498="Triduo Pascual","tp", E498="Vigilia Pascual","tp", E498="Pascual","tp")</f>
        <v>tp</v>
      </c>
      <c r="B498" s="14" t="str">
        <f t="shared" si="60"/>
        <v>/* ABRIL        */</v>
      </c>
      <c r="C498" s="15">
        <f t="shared" si="50"/>
        <v>46138</v>
      </c>
      <c r="D498" s="9">
        <f t="shared" si="51"/>
        <v>46138</v>
      </c>
      <c r="E498" t="s">
        <v>54</v>
      </c>
      <c r="F498" t="s">
        <v>43</v>
      </c>
      <c r="G498">
        <f>+G497+1</f>
        <v>4</v>
      </c>
      <c r="I498" s="11">
        <f t="shared" si="53"/>
        <v>46138</v>
      </c>
      <c r="J498" t="s">
        <v>44</v>
      </c>
      <c r="K498" t="str">
        <f t="shared" si="54"/>
        <v>/* ABRIL        */ { nombre: "Pascual, Semana IV, DOMINGO", archivo: "/ev/tp/4/domingo.mp3", fecha: `${year}-04-26` },</v>
      </c>
      <c r="L498" s="10">
        <f t="shared" si="55"/>
        <v>46138</v>
      </c>
    </row>
    <row r="499" spans="1:12" x14ac:dyDescent="0.25">
      <c r="A499" t="str" cm="1">
        <f t="array" ref="A499">_xlfn.IFS(E499="Adviento","ta", E499="Navidad","tn", E499="Epifania","te", E499="Ordinario","to", E499="Cuaresma","tc", E499="Domingo De Ramos","tc", E499="Semana Santa","ss", E499="Triduo Pascual","tp", E499="Vigilia Pascual","tp", E499="Pascual","tp")</f>
        <v>tp</v>
      </c>
      <c r="B499" s="14" t="str">
        <f t="shared" si="60"/>
        <v>/* ABRIL        */</v>
      </c>
      <c r="C499" s="15">
        <f t="shared" si="50"/>
        <v>46139</v>
      </c>
      <c r="D499" s="9">
        <f t="shared" si="51"/>
        <v>46139</v>
      </c>
      <c r="E499" t="s">
        <v>54</v>
      </c>
      <c r="F499" t="s">
        <v>43</v>
      </c>
      <c r="G499">
        <f>G498</f>
        <v>4</v>
      </c>
      <c r="I499" s="11">
        <f t="shared" si="53"/>
        <v>46139</v>
      </c>
      <c r="J499" t="s">
        <v>44</v>
      </c>
      <c r="K499" t="str">
        <f t="shared" si="54"/>
        <v>/* ABRIL        */ { nombre: "Pascual, Semana IV, LUNES", archivo: "/ev/tp/4/lunes.mp3", fecha: `${year}-04-27` },</v>
      </c>
      <c r="L499" s="10">
        <f t="shared" si="55"/>
        <v>46139</v>
      </c>
    </row>
    <row r="500" spans="1:12" x14ac:dyDescent="0.25">
      <c r="A500" t="str" cm="1">
        <f t="array" ref="A500">_xlfn.IFS(E500="Adviento","ta", E500="Navidad","tn", E500="Epifania","te", E500="Ordinario","to", E500="Cuaresma","tc", E500="Domingo De Ramos","tc", E500="Semana Santa","ss", E500="Triduo Pascual","tp", E500="Vigilia Pascual","tp", E500="Pascual","tp")</f>
        <v>tp</v>
      </c>
      <c r="B500" s="14" t="str">
        <f t="shared" si="60"/>
        <v>/* ABRIL        */</v>
      </c>
      <c r="C500" s="15">
        <f t="shared" si="50"/>
        <v>46140</v>
      </c>
      <c r="D500" s="9">
        <f t="shared" si="51"/>
        <v>46140</v>
      </c>
      <c r="E500" t="s">
        <v>54</v>
      </c>
      <c r="F500" t="s">
        <v>43</v>
      </c>
      <c r="G500">
        <f t="shared" ref="G500:G504" si="65">G499</f>
        <v>4</v>
      </c>
      <c r="I500" s="11">
        <f t="shared" si="53"/>
        <v>46140</v>
      </c>
      <c r="J500" t="s">
        <v>44</v>
      </c>
      <c r="K500" t="str">
        <f t="shared" si="54"/>
        <v>/* ABRIL        */ { nombre: "Pascual, Semana IV, MARTES", archivo: "/ev/tp/4/martes.mp3", fecha: `${year}-04-28` },</v>
      </c>
      <c r="L500" s="10">
        <f t="shared" si="55"/>
        <v>46140</v>
      </c>
    </row>
    <row r="501" spans="1:12" x14ac:dyDescent="0.25">
      <c r="A501" t="str" cm="1">
        <f t="array" ref="A501">_xlfn.IFS(E501="Adviento","ta", E501="Navidad","tn", E501="Epifania","te", E501="Ordinario","to", E501="Cuaresma","tc", E501="Domingo De Ramos","tc", E501="Semana Santa","ss", E501="Triduo Pascual","tp", E501="Vigilia Pascual","tp", E501="Pascual","tp")</f>
        <v>tp</v>
      </c>
      <c r="B501" s="14" t="str">
        <f t="shared" si="60"/>
        <v>/* ABRIL        */</v>
      </c>
      <c r="C501" s="15">
        <f t="shared" ref="C501:C564" si="66">+C500+1</f>
        <v>46141</v>
      </c>
      <c r="D501" s="9">
        <f t="shared" ref="D501:D564" si="67">+D500+1</f>
        <v>46141</v>
      </c>
      <c r="E501" t="s">
        <v>54</v>
      </c>
      <c r="F501" t="s">
        <v>43</v>
      </c>
      <c r="G501">
        <f t="shared" si="65"/>
        <v>4</v>
      </c>
      <c r="I501" s="11">
        <f t="shared" ref="I501:I564" si="68">D501</f>
        <v>46141</v>
      </c>
      <c r="J501" t="s">
        <v>44</v>
      </c>
      <c r="K501" t="str">
        <f t="shared" ref="K501:K564" si="69">_xlfn.CONCAT(B501, " ", "{ nombre: ", CHAR(34), E501, ", ", F501, " ", ROMAN(G501),H501, ", ", UPPER(TEXT(D501, "[$-es-ES]dddd")), CHAR(34), ", archivo: ", CHAR(34), "/ev/", _xlfn.IFS(E501="Adviento","ta", E501="Navidad","tn", E501="Epifania","te", E501="Ordinario","to", E501="Cuaresma","tc", E501="Domingo De Ramos","tc", E501="Semana Santa","ss", E501="Triduo Pascual","tp", E501="Vigilia Pascual","tp", E501="Pascual","tp"), "/", G501, "/", TEXT(D501, "[$-es-ES]dddd"), ".mp3", CHAR(34), ", fecha: `${year}-", TEXT(D501, "mm-dd"), "` },")</f>
        <v>/* ABRIL        */ { nombre: "Pascual, Semana IV, MIÉRCOLES", archivo: "/ev/tp/4/miércoles.mp3", fecha: `${year}-04-29` },</v>
      </c>
      <c r="L501" s="10">
        <f t="shared" ref="L501:L564" si="70">D501</f>
        <v>46141</v>
      </c>
    </row>
    <row r="502" spans="1:12" x14ac:dyDescent="0.25">
      <c r="A502" t="str" cm="1">
        <f t="array" ref="A502">_xlfn.IFS(E502="Adviento","ta", E502="Navidad","tn", E502="Epifania","te", E502="Ordinario","to", E502="Cuaresma","tc", E502="Domingo De Ramos","tc", E502="Semana Santa","ss", E502="Triduo Pascual","tp", E502="Vigilia Pascual","tp", E502="Pascual","tp")</f>
        <v>tp</v>
      </c>
      <c r="B502" s="14" t="str">
        <f t="shared" si="60"/>
        <v>/* ABRIL        */</v>
      </c>
      <c r="C502" s="15">
        <f t="shared" si="66"/>
        <v>46142</v>
      </c>
      <c r="D502" s="9">
        <f t="shared" si="67"/>
        <v>46142</v>
      </c>
      <c r="E502" t="s">
        <v>54</v>
      </c>
      <c r="F502" t="s">
        <v>43</v>
      </c>
      <c r="G502">
        <f t="shared" si="65"/>
        <v>4</v>
      </c>
      <c r="I502" s="11">
        <f t="shared" si="68"/>
        <v>46142</v>
      </c>
      <c r="J502" t="s">
        <v>44</v>
      </c>
      <c r="K502" t="str">
        <f t="shared" si="69"/>
        <v>/* ABRIL        */ { nombre: "Pascual, Semana IV, JUEVES", archivo: "/ev/tp/4/jueves.mp3", fecha: `${year}-04-30` },</v>
      </c>
      <c r="L502" s="10">
        <f t="shared" si="70"/>
        <v>46142</v>
      </c>
    </row>
    <row r="503" spans="1:12" x14ac:dyDescent="0.25">
      <c r="A503" t="str" cm="1">
        <f t="array" ref="A503">_xlfn.IFS(E503="Adviento","ta", E503="Navidad","tn", E503="Epifania","te", E503="Ordinario","to", E503="Cuaresma","tc", E503="Domingo De Ramos","tc", E503="Semana Santa","ss", E503="Triduo Pascual","tp", E503="Vigilia Pascual","tp", E503="Pascual","tp")</f>
        <v>tp</v>
      </c>
      <c r="B503" s="14" t="str">
        <f t="shared" si="60"/>
        <v>/* MAYO        */</v>
      </c>
      <c r="C503" s="15">
        <f t="shared" si="66"/>
        <v>46143</v>
      </c>
      <c r="D503" s="9">
        <f t="shared" si="67"/>
        <v>46143</v>
      </c>
      <c r="E503" t="s">
        <v>54</v>
      </c>
      <c r="F503" t="s">
        <v>43</v>
      </c>
      <c r="G503">
        <f t="shared" si="65"/>
        <v>4</v>
      </c>
      <c r="I503" s="11">
        <f t="shared" si="68"/>
        <v>46143</v>
      </c>
      <c r="J503" t="s">
        <v>44</v>
      </c>
      <c r="K503" t="str">
        <f t="shared" si="69"/>
        <v>/* MAYO        */ { nombre: "Pascual, Semana IV, VIERNES", archivo: "/ev/tp/4/viernes.mp3", fecha: `${year}-05-01` },</v>
      </c>
      <c r="L503" s="10">
        <f t="shared" si="70"/>
        <v>46143</v>
      </c>
    </row>
    <row r="504" spans="1:12" x14ac:dyDescent="0.25">
      <c r="A504" t="str" cm="1">
        <f t="array" ref="A504">_xlfn.IFS(E504="Adviento","ta", E504="Navidad","tn", E504="Epifania","te", E504="Ordinario","to", E504="Cuaresma","tc", E504="Domingo De Ramos","tc", E504="Semana Santa","ss", E504="Triduo Pascual","tp", E504="Vigilia Pascual","tp", E504="Pascual","tp")</f>
        <v>tp</v>
      </c>
      <c r="B504" s="14" t="str">
        <f t="shared" si="60"/>
        <v>/* MAYO        */</v>
      </c>
      <c r="C504" s="15">
        <f t="shared" si="66"/>
        <v>46144</v>
      </c>
      <c r="D504" s="9">
        <f t="shared" si="67"/>
        <v>46144</v>
      </c>
      <c r="E504" t="s">
        <v>54</v>
      </c>
      <c r="F504" t="s">
        <v>43</v>
      </c>
      <c r="G504">
        <f t="shared" si="65"/>
        <v>4</v>
      </c>
      <c r="I504" s="11">
        <f t="shared" si="68"/>
        <v>46144</v>
      </c>
      <c r="J504" t="s">
        <v>44</v>
      </c>
      <c r="K504" t="str">
        <f t="shared" si="69"/>
        <v>/* MAYO        */ { nombre: "Pascual, Semana IV, SÁBADO", archivo: "/ev/tp/4/sábado.mp3", fecha: `${year}-05-02` },</v>
      </c>
      <c r="L504" s="10">
        <f t="shared" si="70"/>
        <v>46144</v>
      </c>
    </row>
    <row r="505" spans="1:12" x14ac:dyDescent="0.25">
      <c r="A505" t="str" cm="1">
        <f t="array" ref="A505">_xlfn.IFS(E505="Adviento","ta", E505="Navidad","tn", E505="Epifania","te", E505="Ordinario","to", E505="Cuaresma","tc", E505="Domingo De Ramos","tc", E505="Semana Santa","ss", E505="Triduo Pascual","tp", E505="Vigilia Pascual","tp", E505="Pascual","tp")</f>
        <v>tp</v>
      </c>
      <c r="B505" s="14" t="str">
        <f t="shared" si="60"/>
        <v>/* MAYO        */</v>
      </c>
      <c r="C505" s="15">
        <f t="shared" si="66"/>
        <v>46145</v>
      </c>
      <c r="D505" s="9">
        <f t="shared" si="67"/>
        <v>46145</v>
      </c>
      <c r="E505" t="s">
        <v>54</v>
      </c>
      <c r="F505" t="s">
        <v>43</v>
      </c>
      <c r="G505">
        <f>+G504+1</f>
        <v>5</v>
      </c>
      <c r="I505" s="11">
        <f t="shared" si="68"/>
        <v>46145</v>
      </c>
      <c r="J505" t="s">
        <v>44</v>
      </c>
      <c r="K505" t="str">
        <f t="shared" si="69"/>
        <v>/* MAYO        */ { nombre: "Pascual, Semana V, DOMINGO", archivo: "/ev/tp/5/domingo.mp3", fecha: `${year}-05-03` },</v>
      </c>
      <c r="L505" s="10">
        <f t="shared" si="70"/>
        <v>46145</v>
      </c>
    </row>
    <row r="506" spans="1:12" x14ac:dyDescent="0.25">
      <c r="A506" t="str" cm="1">
        <f t="array" ref="A506">_xlfn.IFS(E506="Adviento","ta", E506="Navidad","tn", E506="Epifania","te", E506="Ordinario","to", E506="Cuaresma","tc", E506="Domingo De Ramos","tc", E506="Semana Santa","ss", E506="Triduo Pascual","tp", E506="Vigilia Pascual","tp", E506="Pascual","tp")</f>
        <v>tp</v>
      </c>
      <c r="B506" s="14" t="str">
        <f t="shared" si="60"/>
        <v>/* MAYO        */</v>
      </c>
      <c r="C506" s="15">
        <f t="shared" si="66"/>
        <v>46146</v>
      </c>
      <c r="D506" s="9">
        <f t="shared" si="67"/>
        <v>46146</v>
      </c>
      <c r="E506" t="s">
        <v>54</v>
      </c>
      <c r="F506" t="s">
        <v>43</v>
      </c>
      <c r="G506">
        <f>G505</f>
        <v>5</v>
      </c>
      <c r="I506" s="11">
        <f t="shared" si="68"/>
        <v>46146</v>
      </c>
      <c r="J506" t="s">
        <v>44</v>
      </c>
      <c r="K506" t="str">
        <f t="shared" si="69"/>
        <v>/* MAYO        */ { nombre: "Pascual, Semana V, LUNES", archivo: "/ev/tp/5/lunes.mp3", fecha: `${year}-05-04` },</v>
      </c>
      <c r="L506" s="10">
        <f t="shared" si="70"/>
        <v>46146</v>
      </c>
    </row>
    <row r="507" spans="1:12" x14ac:dyDescent="0.25">
      <c r="A507" t="str" cm="1">
        <f t="array" ref="A507">_xlfn.IFS(E507="Adviento","ta", E507="Navidad","tn", E507="Epifania","te", E507="Ordinario","to", E507="Cuaresma","tc", E507="Domingo De Ramos","tc", E507="Semana Santa","ss", E507="Triduo Pascual","tp", E507="Vigilia Pascual","tp", E507="Pascual","tp")</f>
        <v>tp</v>
      </c>
      <c r="B507" s="14" t="str">
        <f t="shared" si="60"/>
        <v>/* MAYO        */</v>
      </c>
      <c r="C507" s="15">
        <f t="shared" si="66"/>
        <v>46147</v>
      </c>
      <c r="D507" s="9">
        <f t="shared" si="67"/>
        <v>46147</v>
      </c>
      <c r="E507" t="s">
        <v>54</v>
      </c>
      <c r="F507" t="s">
        <v>43</v>
      </c>
      <c r="G507">
        <f t="shared" ref="G507:G511" si="71">G506</f>
        <v>5</v>
      </c>
      <c r="I507" s="11">
        <f t="shared" si="68"/>
        <v>46147</v>
      </c>
      <c r="J507" t="s">
        <v>44</v>
      </c>
      <c r="K507" t="str">
        <f t="shared" si="69"/>
        <v>/* MAYO        */ { nombre: "Pascual, Semana V, MARTES", archivo: "/ev/tp/5/martes.mp3", fecha: `${year}-05-05` },</v>
      </c>
      <c r="L507" s="10">
        <f t="shared" si="70"/>
        <v>46147</v>
      </c>
    </row>
    <row r="508" spans="1:12" x14ac:dyDescent="0.25">
      <c r="A508" t="str" cm="1">
        <f t="array" ref="A508">_xlfn.IFS(E508="Adviento","ta", E508="Navidad","tn", E508="Epifania","te", E508="Ordinario","to", E508="Cuaresma","tc", E508="Domingo De Ramos","tc", E508="Semana Santa","ss", E508="Triduo Pascual","tp", E508="Vigilia Pascual","tp", E508="Pascual","tp")</f>
        <v>tp</v>
      </c>
      <c r="B508" s="14" t="str">
        <f t="shared" si="60"/>
        <v>/* MAYO        */</v>
      </c>
      <c r="C508" s="15">
        <f t="shared" si="66"/>
        <v>46148</v>
      </c>
      <c r="D508" s="9">
        <f t="shared" si="67"/>
        <v>46148</v>
      </c>
      <c r="E508" t="s">
        <v>54</v>
      </c>
      <c r="F508" t="s">
        <v>43</v>
      </c>
      <c r="G508">
        <f t="shared" si="71"/>
        <v>5</v>
      </c>
      <c r="I508" s="11">
        <f t="shared" si="68"/>
        <v>46148</v>
      </c>
      <c r="J508" t="s">
        <v>44</v>
      </c>
      <c r="K508" t="str">
        <f t="shared" si="69"/>
        <v>/* MAYO        */ { nombre: "Pascual, Semana V, MIÉRCOLES", archivo: "/ev/tp/5/miércoles.mp3", fecha: `${year}-05-06` },</v>
      </c>
      <c r="L508" s="10">
        <f t="shared" si="70"/>
        <v>46148</v>
      </c>
    </row>
    <row r="509" spans="1:12" x14ac:dyDescent="0.25">
      <c r="A509" t="str" cm="1">
        <f t="array" ref="A509">_xlfn.IFS(E509="Adviento","ta", E509="Navidad","tn", E509="Epifania","te", E509="Ordinario","to", E509="Cuaresma","tc", E509="Domingo De Ramos","tc", E509="Semana Santa","ss", E509="Triduo Pascual","tp", E509="Vigilia Pascual","tp", E509="Pascual","tp")</f>
        <v>tp</v>
      </c>
      <c r="B509" s="14" t="str">
        <f t="shared" si="60"/>
        <v>/* MAYO        */</v>
      </c>
      <c r="C509" s="15">
        <f t="shared" si="66"/>
        <v>46149</v>
      </c>
      <c r="D509" s="9">
        <f t="shared" si="67"/>
        <v>46149</v>
      </c>
      <c r="E509" t="s">
        <v>54</v>
      </c>
      <c r="F509" t="s">
        <v>43</v>
      </c>
      <c r="G509">
        <f t="shared" si="71"/>
        <v>5</v>
      </c>
      <c r="I509" s="11">
        <f t="shared" si="68"/>
        <v>46149</v>
      </c>
      <c r="J509" t="s">
        <v>44</v>
      </c>
      <c r="K509" t="str">
        <f t="shared" si="69"/>
        <v>/* MAYO        */ { nombre: "Pascual, Semana V, JUEVES", archivo: "/ev/tp/5/jueves.mp3", fecha: `${year}-05-07` },</v>
      </c>
      <c r="L509" s="10">
        <f t="shared" si="70"/>
        <v>46149</v>
      </c>
    </row>
    <row r="510" spans="1:12" x14ac:dyDescent="0.25">
      <c r="A510" t="str" cm="1">
        <f t="array" ref="A510">_xlfn.IFS(E510="Adviento","ta", E510="Navidad","tn", E510="Epifania","te", E510="Ordinario","to", E510="Cuaresma","tc", E510="Domingo De Ramos","tc", E510="Semana Santa","ss", E510="Triduo Pascual","tp", E510="Vigilia Pascual","tp", E510="Pascual","tp")</f>
        <v>tp</v>
      </c>
      <c r="B510" s="14" t="str">
        <f t="shared" si="60"/>
        <v>/* MAYO        */</v>
      </c>
      <c r="C510" s="15">
        <f t="shared" si="66"/>
        <v>46150</v>
      </c>
      <c r="D510" s="9">
        <f t="shared" si="67"/>
        <v>46150</v>
      </c>
      <c r="E510" t="s">
        <v>54</v>
      </c>
      <c r="F510" t="s">
        <v>43</v>
      </c>
      <c r="G510">
        <f t="shared" si="71"/>
        <v>5</v>
      </c>
      <c r="I510" s="11">
        <f t="shared" si="68"/>
        <v>46150</v>
      </c>
      <c r="J510" t="s">
        <v>44</v>
      </c>
      <c r="K510" t="str">
        <f t="shared" si="69"/>
        <v>/* MAYO        */ { nombre: "Pascual, Semana V, VIERNES", archivo: "/ev/tp/5/viernes.mp3", fecha: `${year}-05-08` },</v>
      </c>
      <c r="L510" s="10">
        <f t="shared" si="70"/>
        <v>46150</v>
      </c>
    </row>
    <row r="511" spans="1:12" x14ac:dyDescent="0.25">
      <c r="A511" t="str" cm="1">
        <f t="array" ref="A511">_xlfn.IFS(E511="Adviento","ta", E511="Navidad","tn", E511="Epifania","te", E511="Ordinario","to", E511="Cuaresma","tc", E511="Domingo De Ramos","tc", E511="Semana Santa","ss", E511="Triduo Pascual","tp", E511="Vigilia Pascual","tp", E511="Pascual","tp")</f>
        <v>tp</v>
      </c>
      <c r="B511" s="14" t="str">
        <f t="shared" si="60"/>
        <v>/* MAYO        */</v>
      </c>
      <c r="C511" s="15">
        <f t="shared" si="66"/>
        <v>46151</v>
      </c>
      <c r="D511" s="9">
        <f t="shared" si="67"/>
        <v>46151</v>
      </c>
      <c r="E511" t="s">
        <v>54</v>
      </c>
      <c r="F511" t="s">
        <v>43</v>
      </c>
      <c r="G511">
        <f t="shared" si="71"/>
        <v>5</v>
      </c>
      <c r="I511" s="11">
        <f t="shared" si="68"/>
        <v>46151</v>
      </c>
      <c r="J511" t="s">
        <v>44</v>
      </c>
      <c r="K511" t="str">
        <f t="shared" si="69"/>
        <v>/* MAYO        */ { nombre: "Pascual, Semana V, SÁBADO", archivo: "/ev/tp/5/sábado.mp3", fecha: `${year}-05-09` },</v>
      </c>
      <c r="L511" s="10">
        <f t="shared" si="70"/>
        <v>46151</v>
      </c>
    </row>
    <row r="512" spans="1:12" x14ac:dyDescent="0.25">
      <c r="A512" t="str" cm="1">
        <f t="array" ref="A512">_xlfn.IFS(E512="Adviento","ta", E512="Navidad","tn", E512="Epifania","te", E512="Ordinario","to", E512="Cuaresma","tc", E512="Domingo De Ramos","tc", E512="Semana Santa","ss", E512="Triduo Pascual","tp", E512="Vigilia Pascual","tp", E512="Pascual","tp")</f>
        <v>tp</v>
      </c>
      <c r="B512" s="14" t="str">
        <f t="shared" si="60"/>
        <v>/* MAYO        */</v>
      </c>
      <c r="C512" s="15">
        <f t="shared" si="66"/>
        <v>46152</v>
      </c>
      <c r="D512" s="9">
        <f t="shared" si="67"/>
        <v>46152</v>
      </c>
      <c r="E512" t="s">
        <v>54</v>
      </c>
      <c r="F512" t="s">
        <v>43</v>
      </c>
      <c r="G512">
        <f>+G511+1</f>
        <v>6</v>
      </c>
      <c r="I512" s="11">
        <f t="shared" si="68"/>
        <v>46152</v>
      </c>
      <c r="J512" t="s">
        <v>44</v>
      </c>
      <c r="K512" t="str">
        <f t="shared" si="69"/>
        <v>/* MAYO        */ { nombre: "Pascual, Semana VI, DOMINGO", archivo: "/ev/tp/6/domingo.mp3", fecha: `${year}-05-10` },</v>
      </c>
      <c r="L512" s="10">
        <f t="shared" si="70"/>
        <v>46152</v>
      </c>
    </row>
    <row r="513" spans="1:12" x14ac:dyDescent="0.25">
      <c r="A513" t="str" cm="1">
        <f t="array" ref="A513">_xlfn.IFS(E513="Adviento","ta", E513="Navidad","tn", E513="Epifania","te", E513="Ordinario","to", E513="Cuaresma","tc", E513="Domingo De Ramos","tc", E513="Semana Santa","ss", E513="Triduo Pascual","tp", E513="Vigilia Pascual","tp", E513="Pascual","tp")</f>
        <v>tp</v>
      </c>
      <c r="B513" s="14" t="str">
        <f t="shared" si="60"/>
        <v>/* MAYO        */</v>
      </c>
      <c r="C513" s="15">
        <f t="shared" si="66"/>
        <v>46153</v>
      </c>
      <c r="D513" s="9">
        <f t="shared" si="67"/>
        <v>46153</v>
      </c>
      <c r="E513" t="s">
        <v>54</v>
      </c>
      <c r="F513" t="s">
        <v>43</v>
      </c>
      <c r="G513">
        <f>G512</f>
        <v>6</v>
      </c>
      <c r="I513" s="11">
        <f t="shared" si="68"/>
        <v>46153</v>
      </c>
      <c r="J513" t="s">
        <v>44</v>
      </c>
      <c r="K513" t="str">
        <f t="shared" si="69"/>
        <v>/* MAYO        */ { nombre: "Pascual, Semana VI, LUNES", archivo: "/ev/tp/6/lunes.mp3", fecha: `${year}-05-11` },</v>
      </c>
      <c r="L513" s="10">
        <f t="shared" si="70"/>
        <v>46153</v>
      </c>
    </row>
    <row r="514" spans="1:12" x14ac:dyDescent="0.25">
      <c r="A514" t="str" cm="1">
        <f t="array" ref="A514">_xlfn.IFS(E514="Adviento","ta", E514="Navidad","tn", E514="Epifania","te", E514="Ordinario","to", E514="Cuaresma","tc", E514="Domingo De Ramos","tc", E514="Semana Santa","ss", E514="Triduo Pascual","tp", E514="Vigilia Pascual","tp", E514="Pascual","tp")</f>
        <v>tp</v>
      </c>
      <c r="B514" s="14" t="str">
        <f t="shared" si="60"/>
        <v>/* MAYO        */</v>
      </c>
      <c r="C514" s="15">
        <f t="shared" si="66"/>
        <v>46154</v>
      </c>
      <c r="D514" s="9">
        <f t="shared" si="67"/>
        <v>46154</v>
      </c>
      <c r="E514" t="s">
        <v>54</v>
      </c>
      <c r="F514" t="s">
        <v>43</v>
      </c>
      <c r="G514">
        <f t="shared" ref="G514:G518" si="72">G513</f>
        <v>6</v>
      </c>
      <c r="I514" s="11">
        <f t="shared" si="68"/>
        <v>46154</v>
      </c>
      <c r="J514" t="s">
        <v>44</v>
      </c>
      <c r="K514" t="str">
        <f t="shared" si="69"/>
        <v>/* MAYO        */ { nombre: "Pascual, Semana VI, MARTES", archivo: "/ev/tp/6/martes.mp3", fecha: `${year}-05-12` },</v>
      </c>
      <c r="L514" s="10">
        <f t="shared" si="70"/>
        <v>46154</v>
      </c>
    </row>
    <row r="515" spans="1:12" x14ac:dyDescent="0.25">
      <c r="A515" t="str" cm="1">
        <f t="array" ref="A515">_xlfn.IFS(E515="Adviento","ta", E515="Navidad","tn", E515="Epifania","te", E515="Ordinario","to", E515="Cuaresma","tc", E515="Domingo De Ramos","tc", E515="Semana Santa","ss", E515="Triduo Pascual","tp", E515="Vigilia Pascual","tp", E515="Pascual","tp")</f>
        <v>tp</v>
      </c>
      <c r="B515" s="14" t="str">
        <f t="shared" si="60"/>
        <v>/* MAYO        */</v>
      </c>
      <c r="C515" s="15">
        <f t="shared" si="66"/>
        <v>46155</v>
      </c>
      <c r="D515" s="9">
        <f t="shared" si="67"/>
        <v>46155</v>
      </c>
      <c r="E515" t="s">
        <v>54</v>
      </c>
      <c r="F515" t="s">
        <v>43</v>
      </c>
      <c r="G515">
        <f t="shared" si="72"/>
        <v>6</v>
      </c>
      <c r="I515" s="11">
        <f t="shared" si="68"/>
        <v>46155</v>
      </c>
      <c r="J515" t="s">
        <v>44</v>
      </c>
      <c r="K515" t="str">
        <f t="shared" si="69"/>
        <v>/* MAYO        */ { nombre: "Pascual, Semana VI, MIÉRCOLES", archivo: "/ev/tp/6/miércoles.mp3", fecha: `${year}-05-13` },</v>
      </c>
      <c r="L515" s="10">
        <f t="shared" si="70"/>
        <v>46155</v>
      </c>
    </row>
    <row r="516" spans="1:12" x14ac:dyDescent="0.25">
      <c r="A516" t="str" cm="1">
        <f t="array" ref="A516">_xlfn.IFS(E516="Adviento","ta", E516="Navidad","tn", E516="Epifania","te", E516="Ordinario","to", E516="Cuaresma","tc", E516="Domingo De Ramos","tc", E516="Semana Santa","ss", E516="Triduo Pascual","tp", E516="Vigilia Pascual","tp", E516="Pascual","tp")</f>
        <v>tp</v>
      </c>
      <c r="B516" s="14" t="str">
        <f t="shared" si="60"/>
        <v>/* MAYO        */</v>
      </c>
      <c r="C516" s="15">
        <f t="shared" si="66"/>
        <v>46156</v>
      </c>
      <c r="D516" s="9">
        <f t="shared" si="67"/>
        <v>46156</v>
      </c>
      <c r="E516" t="s">
        <v>54</v>
      </c>
      <c r="F516" t="s">
        <v>43</v>
      </c>
      <c r="G516">
        <f t="shared" si="72"/>
        <v>6</v>
      </c>
      <c r="I516" s="11">
        <f t="shared" si="68"/>
        <v>46156</v>
      </c>
      <c r="J516" t="s">
        <v>44</v>
      </c>
      <c r="K516" t="str">
        <f t="shared" si="69"/>
        <v>/* MAYO        */ { nombre: "Pascual, Semana VI, JUEVES", archivo: "/ev/tp/6/jueves.mp3", fecha: `${year}-05-14` },</v>
      </c>
      <c r="L516" s="10">
        <f t="shared" si="70"/>
        <v>46156</v>
      </c>
    </row>
    <row r="517" spans="1:12" x14ac:dyDescent="0.25">
      <c r="A517" t="str" cm="1">
        <f t="array" ref="A517">_xlfn.IFS(E517="Adviento","ta", E517="Navidad","tn", E517="Epifania","te", E517="Ordinario","to", E517="Cuaresma","tc", E517="Domingo De Ramos","tc", E517="Semana Santa","ss", E517="Triduo Pascual","tp", E517="Vigilia Pascual","tp", E517="Pascual","tp")</f>
        <v>tp</v>
      </c>
      <c r="B517" s="14" t="str">
        <f t="shared" si="60"/>
        <v>/* MAYO        */</v>
      </c>
      <c r="C517" s="15">
        <f t="shared" si="66"/>
        <v>46157</v>
      </c>
      <c r="D517" s="9">
        <f t="shared" si="67"/>
        <v>46157</v>
      </c>
      <c r="E517" t="s">
        <v>54</v>
      </c>
      <c r="F517" t="s">
        <v>43</v>
      </c>
      <c r="G517">
        <f t="shared" si="72"/>
        <v>6</v>
      </c>
      <c r="I517" s="11">
        <f t="shared" si="68"/>
        <v>46157</v>
      </c>
      <c r="J517" t="s">
        <v>44</v>
      </c>
      <c r="K517" t="str">
        <f t="shared" si="69"/>
        <v>/* MAYO        */ { nombre: "Pascual, Semana VI, VIERNES", archivo: "/ev/tp/6/viernes.mp3", fecha: `${year}-05-15` },</v>
      </c>
      <c r="L517" s="10">
        <f t="shared" si="70"/>
        <v>46157</v>
      </c>
    </row>
    <row r="518" spans="1:12" x14ac:dyDescent="0.25">
      <c r="A518" t="str" cm="1">
        <f t="array" ref="A518">_xlfn.IFS(E518="Adviento","ta", E518="Navidad","tn", E518="Epifania","te", E518="Ordinario","to", E518="Cuaresma","tc", E518="Domingo De Ramos","tc", E518="Semana Santa","ss", E518="Triduo Pascual","tp", E518="Vigilia Pascual","tp", E518="Pascual","tp")</f>
        <v>tp</v>
      </c>
      <c r="B518" s="14" t="str">
        <f t="shared" si="60"/>
        <v>/* MAYO        */</v>
      </c>
      <c r="C518" s="15">
        <f t="shared" si="66"/>
        <v>46158</v>
      </c>
      <c r="D518" s="9">
        <f t="shared" si="67"/>
        <v>46158</v>
      </c>
      <c r="E518" t="s">
        <v>54</v>
      </c>
      <c r="F518" t="s">
        <v>43</v>
      </c>
      <c r="G518">
        <f t="shared" si="72"/>
        <v>6</v>
      </c>
      <c r="I518" s="11">
        <f t="shared" si="68"/>
        <v>46158</v>
      </c>
      <c r="J518" t="s">
        <v>44</v>
      </c>
      <c r="K518" t="str">
        <f t="shared" si="69"/>
        <v>/* MAYO        */ { nombre: "Pascual, Semana VI, SÁBADO", archivo: "/ev/tp/6/sábado.mp3", fecha: `${year}-05-16` },</v>
      </c>
      <c r="L518" s="10">
        <f t="shared" si="70"/>
        <v>46158</v>
      </c>
    </row>
    <row r="519" spans="1:12" x14ac:dyDescent="0.25">
      <c r="A519" t="str" cm="1">
        <f t="array" ref="A519">_xlfn.IFS(E519="Adviento","ta", E519="Navidad","tn", E519="Epifania","te", E519="Ordinario","to", E519="Cuaresma","tc", E519="Domingo De Ramos","tc", E519="Semana Santa","ss", E519="Triduo Pascual","tp", E519="Vigilia Pascual","tp", E519="Pascual","tp")</f>
        <v>tp</v>
      </c>
      <c r="B519" s="14" t="str">
        <f t="shared" si="60"/>
        <v>/* MAYO        */</v>
      </c>
      <c r="C519" s="15">
        <f t="shared" si="66"/>
        <v>46159</v>
      </c>
      <c r="D519" s="9">
        <f t="shared" si="67"/>
        <v>46159</v>
      </c>
      <c r="E519" t="s">
        <v>54</v>
      </c>
      <c r="F519" t="s">
        <v>43</v>
      </c>
      <c r="G519">
        <f>+G518+1</f>
        <v>7</v>
      </c>
      <c r="H519" t="s">
        <v>91</v>
      </c>
      <c r="I519" s="11">
        <f t="shared" si="68"/>
        <v>46159</v>
      </c>
      <c r="J519" t="s">
        <v>44</v>
      </c>
      <c r="K519" t="str">
        <f t="shared" si="69"/>
        <v>/* MAYO        */ { nombre: "Pascual, Semana VII, La Ascensión del Señor, DOMINGO", archivo: "/ev/tp/7/domingo.mp3", fecha: `${year}-05-17` },</v>
      </c>
      <c r="L519" s="10">
        <f t="shared" si="70"/>
        <v>46159</v>
      </c>
    </row>
    <row r="520" spans="1:12" x14ac:dyDescent="0.25">
      <c r="A520" t="str" cm="1">
        <f t="array" ref="A520">_xlfn.IFS(E520="Adviento","ta", E520="Navidad","tn", E520="Epifania","te", E520="Ordinario","to", E520="Cuaresma","tc", E520="Domingo De Ramos","tc", E520="Semana Santa","ss", E520="Triduo Pascual","tp", E520="Vigilia Pascual","tp", E520="Pascual","tp")</f>
        <v>tp</v>
      </c>
      <c r="B520" s="14" t="str">
        <f t="shared" si="60"/>
        <v>/* MAYO        */</v>
      </c>
      <c r="C520" s="15">
        <f t="shared" si="66"/>
        <v>46160</v>
      </c>
      <c r="D520" s="9">
        <f t="shared" si="67"/>
        <v>46160</v>
      </c>
      <c r="E520" t="s">
        <v>54</v>
      </c>
      <c r="F520" t="s">
        <v>43</v>
      </c>
      <c r="G520">
        <f>G519</f>
        <v>7</v>
      </c>
      <c r="I520" s="11">
        <f t="shared" si="68"/>
        <v>46160</v>
      </c>
      <c r="J520" t="s">
        <v>44</v>
      </c>
      <c r="K520" t="str">
        <f t="shared" si="69"/>
        <v>/* MAYO        */ { nombre: "Pascual, Semana VII, LUNES", archivo: "/ev/tp/7/lunes.mp3", fecha: `${year}-05-18` },</v>
      </c>
      <c r="L520" s="10">
        <f t="shared" si="70"/>
        <v>46160</v>
      </c>
    </row>
    <row r="521" spans="1:12" x14ac:dyDescent="0.25">
      <c r="A521" t="str" cm="1">
        <f t="array" ref="A521">_xlfn.IFS(E521="Adviento","ta", E521="Navidad","tn", E521="Epifania","te", E521="Ordinario","to", E521="Cuaresma","tc", E521="Domingo De Ramos","tc", E521="Semana Santa","ss", E521="Triduo Pascual","tp", E521="Vigilia Pascual","tp", E521="Pascual","tp")</f>
        <v>tp</v>
      </c>
      <c r="B521" s="14" t="str">
        <f t="shared" si="60"/>
        <v>/* MAYO        */</v>
      </c>
      <c r="C521" s="15">
        <f t="shared" si="66"/>
        <v>46161</v>
      </c>
      <c r="D521" s="9">
        <f t="shared" si="67"/>
        <v>46161</v>
      </c>
      <c r="E521" t="s">
        <v>54</v>
      </c>
      <c r="F521" t="s">
        <v>43</v>
      </c>
      <c r="G521">
        <f t="shared" ref="G521:G525" si="73">G520</f>
        <v>7</v>
      </c>
      <c r="I521" s="11">
        <f t="shared" si="68"/>
        <v>46161</v>
      </c>
      <c r="J521" t="s">
        <v>44</v>
      </c>
      <c r="K521" t="str">
        <f t="shared" si="69"/>
        <v>/* MAYO        */ { nombre: "Pascual, Semana VII, MARTES", archivo: "/ev/tp/7/martes.mp3", fecha: `${year}-05-19` },</v>
      </c>
      <c r="L521" s="10">
        <f t="shared" si="70"/>
        <v>46161</v>
      </c>
    </row>
    <row r="522" spans="1:12" x14ac:dyDescent="0.25">
      <c r="A522" t="str" cm="1">
        <f t="array" ref="A522">_xlfn.IFS(E522="Adviento","ta", E522="Navidad","tn", E522="Epifania","te", E522="Ordinario","to", E522="Cuaresma","tc", E522="Domingo De Ramos","tc", E522="Semana Santa","ss", E522="Triduo Pascual","tp", E522="Vigilia Pascual","tp", E522="Pascual","tp")</f>
        <v>tp</v>
      </c>
      <c r="B522" s="14" t="str">
        <f t="shared" si="60"/>
        <v>/* MAYO        */</v>
      </c>
      <c r="C522" s="15">
        <f t="shared" si="66"/>
        <v>46162</v>
      </c>
      <c r="D522" s="9">
        <f t="shared" si="67"/>
        <v>46162</v>
      </c>
      <c r="E522" t="s">
        <v>54</v>
      </c>
      <c r="F522" t="s">
        <v>43</v>
      </c>
      <c r="G522">
        <f t="shared" si="73"/>
        <v>7</v>
      </c>
      <c r="I522" s="11">
        <f t="shared" si="68"/>
        <v>46162</v>
      </c>
      <c r="J522" t="s">
        <v>44</v>
      </c>
      <c r="K522" t="str">
        <f t="shared" si="69"/>
        <v>/* MAYO        */ { nombre: "Pascual, Semana VII, MIÉRCOLES", archivo: "/ev/tp/7/miércoles.mp3", fecha: `${year}-05-20` },</v>
      </c>
      <c r="L522" s="10">
        <f t="shared" si="70"/>
        <v>46162</v>
      </c>
    </row>
    <row r="523" spans="1:12" x14ac:dyDescent="0.25">
      <c r="A523" t="str" cm="1">
        <f t="array" ref="A523">_xlfn.IFS(E523="Adviento","ta", E523="Navidad","tn", E523="Epifania","te", E523="Ordinario","to", E523="Cuaresma","tc", E523="Domingo De Ramos","tc", E523="Semana Santa","ss", E523="Triduo Pascual","tp", E523="Vigilia Pascual","tp", E523="Pascual","tp")</f>
        <v>tp</v>
      </c>
      <c r="B523" s="14" t="str">
        <f t="shared" si="60"/>
        <v>/* MAYO        */</v>
      </c>
      <c r="C523" s="15">
        <f t="shared" si="66"/>
        <v>46163</v>
      </c>
      <c r="D523" s="9">
        <f t="shared" si="67"/>
        <v>46163</v>
      </c>
      <c r="E523" t="s">
        <v>54</v>
      </c>
      <c r="F523" t="s">
        <v>43</v>
      </c>
      <c r="G523">
        <f t="shared" si="73"/>
        <v>7</v>
      </c>
      <c r="I523" s="11">
        <f t="shared" si="68"/>
        <v>46163</v>
      </c>
      <c r="J523" t="s">
        <v>44</v>
      </c>
      <c r="K523" t="str">
        <f t="shared" si="69"/>
        <v>/* MAYO        */ { nombre: "Pascual, Semana VII, JUEVES", archivo: "/ev/tp/7/jueves.mp3", fecha: `${year}-05-21` },</v>
      </c>
      <c r="L523" s="10">
        <f t="shared" si="70"/>
        <v>46163</v>
      </c>
    </row>
    <row r="524" spans="1:12" x14ac:dyDescent="0.25">
      <c r="A524" t="str" cm="1">
        <f t="array" ref="A524">_xlfn.IFS(E524="Adviento","ta", E524="Navidad","tn", E524="Epifania","te", E524="Ordinario","to", E524="Cuaresma","tc", E524="Domingo De Ramos","tc", E524="Semana Santa","ss", E524="Triduo Pascual","tp", E524="Vigilia Pascual","tp", E524="Pascual","tp")</f>
        <v>tp</v>
      </c>
      <c r="B524" s="14" t="str">
        <f t="shared" si="60"/>
        <v>/* MAYO        */</v>
      </c>
      <c r="C524" s="15">
        <f t="shared" si="66"/>
        <v>46164</v>
      </c>
      <c r="D524" s="9">
        <f t="shared" si="67"/>
        <v>46164</v>
      </c>
      <c r="E524" t="s">
        <v>54</v>
      </c>
      <c r="F524" t="s">
        <v>43</v>
      </c>
      <c r="G524">
        <f t="shared" si="73"/>
        <v>7</v>
      </c>
      <c r="I524" s="11">
        <f t="shared" si="68"/>
        <v>46164</v>
      </c>
      <c r="J524" t="s">
        <v>44</v>
      </c>
      <c r="K524" t="str">
        <f t="shared" si="69"/>
        <v>/* MAYO        */ { nombre: "Pascual, Semana VII, VIERNES", archivo: "/ev/tp/7/viernes.mp3", fecha: `${year}-05-22` },</v>
      </c>
      <c r="L524" s="10">
        <f t="shared" si="70"/>
        <v>46164</v>
      </c>
    </row>
    <row r="525" spans="1:12" x14ac:dyDescent="0.25">
      <c r="A525" t="str" cm="1">
        <f t="array" ref="A525">_xlfn.IFS(E525="Adviento","ta", E525="Navidad","tn", E525="Epifania","te", E525="Ordinario","to", E525="Cuaresma","tc", E525="Domingo De Ramos","tc", E525="Semana Santa","ss", E525="Triduo Pascual","tp", E525="Vigilia Pascual","tp", E525="Pascual","tp")</f>
        <v>tp</v>
      </c>
      <c r="B525" s="14" t="str">
        <f t="shared" si="60"/>
        <v>/* MAYO        */</v>
      </c>
      <c r="C525" s="15">
        <f t="shared" si="66"/>
        <v>46165</v>
      </c>
      <c r="D525" s="9">
        <f t="shared" si="67"/>
        <v>46165</v>
      </c>
      <c r="E525" t="s">
        <v>54</v>
      </c>
      <c r="F525" t="s">
        <v>43</v>
      </c>
      <c r="G525">
        <f t="shared" si="73"/>
        <v>7</v>
      </c>
      <c r="I525" s="11">
        <f t="shared" si="68"/>
        <v>46165</v>
      </c>
      <c r="J525" t="s">
        <v>44</v>
      </c>
      <c r="K525" t="str">
        <f t="shared" si="69"/>
        <v>/* MAYO        */ { nombre: "Pascual, Semana VII, SÁBADO", archivo: "/ev/tp/7/sábado.mp3", fecha: `${year}-05-23` },</v>
      </c>
      <c r="L525" s="10">
        <f t="shared" si="70"/>
        <v>46165</v>
      </c>
    </row>
    <row r="526" spans="1:12" x14ac:dyDescent="0.25">
      <c r="A526" t="str" cm="1">
        <f t="array" ref="A526">_xlfn.IFS(E526="Adviento","ta", E526="Navidad","tn", E526="Epifania","te", E526="Ordinario","to", E526="Cuaresma","tc", E526="Domingo De Ramos","tc", E526="Semana Santa","ss", E526="Triduo Pascual","tp", E526="Vigilia Pascual","tp", E526="Pascual","tp")</f>
        <v>to</v>
      </c>
      <c r="B526" s="14" t="str">
        <f t="shared" si="60"/>
        <v>/* MAYO        */</v>
      </c>
      <c r="C526" s="15">
        <f t="shared" si="66"/>
        <v>46166</v>
      </c>
      <c r="D526" s="9">
        <f t="shared" si="67"/>
        <v>46166</v>
      </c>
      <c r="E526" t="s">
        <v>47</v>
      </c>
      <c r="F526" t="s">
        <v>43</v>
      </c>
      <c r="G526">
        <f>+G525+1</f>
        <v>8</v>
      </c>
      <c r="H526" t="s">
        <v>78</v>
      </c>
      <c r="I526" s="11">
        <f t="shared" si="68"/>
        <v>46166</v>
      </c>
      <c r="J526" t="s">
        <v>44</v>
      </c>
      <c r="K526" t="str">
        <f t="shared" si="69"/>
        <v>/* MAYO        */ { nombre: "Ordinario, Semana VIII,Domingo de Pentecostés, DOMINGO", archivo: "/ev/to/8/domingo.mp3", fecha: `${year}-05-24` },</v>
      </c>
      <c r="L526" s="10">
        <f t="shared" si="70"/>
        <v>46166</v>
      </c>
    </row>
    <row r="527" spans="1:12" x14ac:dyDescent="0.25">
      <c r="A527" t="str" cm="1">
        <f t="array" ref="A527">_xlfn.IFS(E527="Adviento","ta", E527="Navidad","tn", E527="Epifania","te", E527="Ordinario","to", E527="Cuaresma","tc", E527="Domingo De Ramos","tc", E527="Semana Santa","ss", E527="Triduo Pascual","tp", E527="Vigilia Pascual","tp", E527="Pascual","tp")</f>
        <v>to</v>
      </c>
      <c r="B527" s="14" t="str">
        <f t="shared" si="60"/>
        <v>/* MAYO        */</v>
      </c>
      <c r="C527" s="15">
        <f t="shared" si="66"/>
        <v>46167</v>
      </c>
      <c r="D527" s="9">
        <f t="shared" si="67"/>
        <v>46167</v>
      </c>
      <c r="E527" t="s">
        <v>47</v>
      </c>
      <c r="F527" t="s">
        <v>43</v>
      </c>
      <c r="G527">
        <f>G526</f>
        <v>8</v>
      </c>
      <c r="I527" s="11">
        <f t="shared" si="68"/>
        <v>46167</v>
      </c>
      <c r="J527" t="s">
        <v>44</v>
      </c>
      <c r="K527" t="str">
        <f t="shared" si="69"/>
        <v>/* MAYO        */ { nombre: "Ordinario, Semana VIII, LUNES", archivo: "/ev/to/8/lunes.mp3", fecha: `${year}-05-25` },</v>
      </c>
      <c r="L527" s="10">
        <f t="shared" si="70"/>
        <v>46167</v>
      </c>
    </row>
    <row r="528" spans="1:12" x14ac:dyDescent="0.25">
      <c r="A528" t="str" cm="1">
        <f t="array" ref="A528">_xlfn.IFS(E528="Adviento","ta", E528="Navidad","tn", E528="Epifania","te", E528="Ordinario","to", E528="Cuaresma","tc", E528="Domingo De Ramos","tc", E528="Semana Santa","ss", E528="Triduo Pascual","tp", E528="Vigilia Pascual","tp", E528="Pascual","tp")</f>
        <v>to</v>
      </c>
      <c r="B528" s="14" t="str">
        <f t="shared" si="60"/>
        <v>/* MAYO        */</v>
      </c>
      <c r="C528" s="15">
        <f t="shared" si="66"/>
        <v>46168</v>
      </c>
      <c r="D528" s="9">
        <f t="shared" si="67"/>
        <v>46168</v>
      </c>
      <c r="E528" t="s">
        <v>47</v>
      </c>
      <c r="F528" t="s">
        <v>43</v>
      </c>
      <c r="G528">
        <f t="shared" ref="G528:G532" si="74">G527</f>
        <v>8</v>
      </c>
      <c r="I528" s="11">
        <f t="shared" si="68"/>
        <v>46168</v>
      </c>
      <c r="J528" t="s">
        <v>44</v>
      </c>
      <c r="K528" t="str">
        <f t="shared" si="69"/>
        <v>/* MAYO        */ { nombre: "Ordinario, Semana VIII, MARTES", archivo: "/ev/to/8/martes.mp3", fecha: `${year}-05-26` },</v>
      </c>
      <c r="L528" s="10">
        <f t="shared" si="70"/>
        <v>46168</v>
      </c>
    </row>
    <row r="529" spans="1:12" x14ac:dyDescent="0.25">
      <c r="A529" t="str" cm="1">
        <f t="array" ref="A529">_xlfn.IFS(E529="Adviento","ta", E529="Navidad","tn", E529="Epifania","te", E529="Ordinario","to", E529="Cuaresma","tc", E529="Domingo De Ramos","tc", E529="Semana Santa","ss", E529="Triduo Pascual","tp", E529="Vigilia Pascual","tp", E529="Pascual","tp")</f>
        <v>to</v>
      </c>
      <c r="B529" s="14" t="str">
        <f t="shared" si="60"/>
        <v>/* MAYO        */</v>
      </c>
      <c r="C529" s="15">
        <f t="shared" si="66"/>
        <v>46169</v>
      </c>
      <c r="D529" s="9">
        <f t="shared" si="67"/>
        <v>46169</v>
      </c>
      <c r="E529" t="s">
        <v>47</v>
      </c>
      <c r="F529" t="s">
        <v>43</v>
      </c>
      <c r="G529">
        <f t="shared" si="74"/>
        <v>8</v>
      </c>
      <c r="I529" s="11">
        <f t="shared" si="68"/>
        <v>46169</v>
      </c>
      <c r="J529" t="s">
        <v>44</v>
      </c>
      <c r="K529" t="str">
        <f t="shared" si="69"/>
        <v>/* MAYO        */ { nombre: "Ordinario, Semana VIII, MIÉRCOLES", archivo: "/ev/to/8/miércoles.mp3", fecha: `${year}-05-27` },</v>
      </c>
      <c r="L529" s="10">
        <f t="shared" si="70"/>
        <v>46169</v>
      </c>
    </row>
    <row r="530" spans="1:12" x14ac:dyDescent="0.25">
      <c r="A530" t="str" cm="1">
        <f t="array" ref="A530">_xlfn.IFS(E530="Adviento","ta", E530="Navidad","tn", E530="Epifania","te", E530="Ordinario","to", E530="Cuaresma","tc", E530="Domingo De Ramos","tc", E530="Semana Santa","ss", E530="Triduo Pascual","tp", E530="Vigilia Pascual","tp", E530="Pascual","tp")</f>
        <v>to</v>
      </c>
      <c r="B530" s="14" t="str">
        <f t="shared" si="60"/>
        <v>/* MAYO        */</v>
      </c>
      <c r="C530" s="15">
        <f t="shared" si="66"/>
        <v>46170</v>
      </c>
      <c r="D530" s="9">
        <f t="shared" si="67"/>
        <v>46170</v>
      </c>
      <c r="E530" t="s">
        <v>47</v>
      </c>
      <c r="F530" t="s">
        <v>43</v>
      </c>
      <c r="G530">
        <f t="shared" si="74"/>
        <v>8</v>
      </c>
      <c r="I530" s="11">
        <f t="shared" si="68"/>
        <v>46170</v>
      </c>
      <c r="J530" t="s">
        <v>44</v>
      </c>
      <c r="K530" t="str">
        <f t="shared" si="69"/>
        <v>/* MAYO        */ { nombre: "Ordinario, Semana VIII, JUEVES", archivo: "/ev/to/8/jueves.mp3", fecha: `${year}-05-28` },</v>
      </c>
      <c r="L530" s="10">
        <f t="shared" si="70"/>
        <v>46170</v>
      </c>
    </row>
    <row r="531" spans="1:12" x14ac:dyDescent="0.25">
      <c r="A531" t="str" cm="1">
        <f t="array" ref="A531">_xlfn.IFS(E531="Adviento","ta", E531="Navidad","tn", E531="Epifania","te", E531="Ordinario","to", E531="Cuaresma","tc", E531="Domingo De Ramos","tc", E531="Semana Santa","ss", E531="Triduo Pascual","tp", E531="Vigilia Pascual","tp", E531="Pascual","tp")</f>
        <v>to</v>
      </c>
      <c r="B531" s="14" t="str">
        <f t="shared" si="60"/>
        <v>/* MAYO        */</v>
      </c>
      <c r="C531" s="15">
        <f t="shared" si="66"/>
        <v>46171</v>
      </c>
      <c r="D531" s="9">
        <f t="shared" si="67"/>
        <v>46171</v>
      </c>
      <c r="E531" t="s">
        <v>47</v>
      </c>
      <c r="F531" t="s">
        <v>43</v>
      </c>
      <c r="G531">
        <f t="shared" si="74"/>
        <v>8</v>
      </c>
      <c r="I531" s="11">
        <f t="shared" si="68"/>
        <v>46171</v>
      </c>
      <c r="J531" t="s">
        <v>44</v>
      </c>
      <c r="K531" t="str">
        <f t="shared" si="69"/>
        <v>/* MAYO        */ { nombre: "Ordinario, Semana VIII, VIERNES", archivo: "/ev/to/8/viernes.mp3", fecha: `${year}-05-29` },</v>
      </c>
      <c r="L531" s="10">
        <f t="shared" si="70"/>
        <v>46171</v>
      </c>
    </row>
    <row r="532" spans="1:12" x14ac:dyDescent="0.25">
      <c r="A532" t="str" cm="1">
        <f t="array" ref="A532">_xlfn.IFS(E532="Adviento","ta", E532="Navidad","tn", E532="Epifania","te", E532="Ordinario","to", E532="Cuaresma","tc", E532="Domingo De Ramos","tc", E532="Semana Santa","ss", E532="Triduo Pascual","tp", E532="Vigilia Pascual","tp", E532="Pascual","tp")</f>
        <v>to</v>
      </c>
      <c r="B532" s="14" t="str">
        <f t="shared" si="60"/>
        <v>/* MAYO        */</v>
      </c>
      <c r="C532" s="15">
        <f t="shared" si="66"/>
        <v>46172</v>
      </c>
      <c r="D532" s="9">
        <f t="shared" si="67"/>
        <v>46172</v>
      </c>
      <c r="E532" t="s">
        <v>47</v>
      </c>
      <c r="F532" t="s">
        <v>43</v>
      </c>
      <c r="G532">
        <f t="shared" si="74"/>
        <v>8</v>
      </c>
      <c r="I532" s="11">
        <f t="shared" si="68"/>
        <v>46172</v>
      </c>
      <c r="J532" t="s">
        <v>44</v>
      </c>
      <c r="K532" t="str">
        <f t="shared" si="69"/>
        <v>/* MAYO        */ { nombre: "Ordinario, Semana VIII, SÁBADO", archivo: "/ev/to/8/sábado.mp3", fecha: `${year}-05-30` },</v>
      </c>
      <c r="L532" s="10">
        <f t="shared" si="70"/>
        <v>46172</v>
      </c>
    </row>
    <row r="533" spans="1:12" x14ac:dyDescent="0.25">
      <c r="A533" t="str" cm="1">
        <f t="array" ref="A533">_xlfn.IFS(E533="Adviento","ta", E533="Navidad","tn", E533="Epifania","te", E533="Ordinario","to", E533="Cuaresma","tc", E533="Domingo De Ramos","tc", E533="Semana Santa","ss", E533="Triduo Pascual","tp", E533="Vigilia Pascual","tp", E533="Pascual","tp")</f>
        <v>to</v>
      </c>
      <c r="B533" s="14" t="str">
        <f t="shared" si="60"/>
        <v>/* MAYO        */</v>
      </c>
      <c r="C533" s="15">
        <f t="shared" si="66"/>
        <v>46173</v>
      </c>
      <c r="D533" s="9">
        <f t="shared" si="67"/>
        <v>46173</v>
      </c>
      <c r="E533" t="s">
        <v>47</v>
      </c>
      <c r="F533" t="s">
        <v>43</v>
      </c>
      <c r="G533">
        <f>+G532+1</f>
        <v>9</v>
      </c>
      <c r="H533" t="s">
        <v>92</v>
      </c>
      <c r="I533" s="11">
        <f t="shared" si="68"/>
        <v>46173</v>
      </c>
      <c r="J533" t="s">
        <v>44</v>
      </c>
      <c r="K533" t="str">
        <f t="shared" si="69"/>
        <v>/* MAYO        */ { nombre: "Ordinario, Semana IX, La Santísima Trinidad, DOMINGO", archivo: "/ev/to/9/domingo.mp3", fecha: `${year}-05-31` },</v>
      </c>
      <c r="L533" s="10">
        <f t="shared" si="70"/>
        <v>46173</v>
      </c>
    </row>
    <row r="534" spans="1:12" x14ac:dyDescent="0.25">
      <c r="A534" t="str" cm="1">
        <f t="array" ref="A534">_xlfn.IFS(E534="Adviento","ta", E534="Navidad","tn", E534="Epifania","te", E534="Ordinario","to", E534="Cuaresma","tc", E534="Domingo De Ramos","tc", E534="Semana Santa","ss", E534="Triduo Pascual","tp", E534="Vigilia Pascual","tp", E534="Pascual","tp")</f>
        <v>to</v>
      </c>
      <c r="B534" s="14" t="str">
        <f t="shared" ref="B534:B597" si="75">_xlfn.CONCAT("/* ",UPPER(TEXT(D534,"[$-es-ES]mmmm")),"        */")</f>
        <v>/* JUNIO        */</v>
      </c>
      <c r="C534" s="15">
        <f t="shared" si="66"/>
        <v>46174</v>
      </c>
      <c r="D534" s="9">
        <f t="shared" si="67"/>
        <v>46174</v>
      </c>
      <c r="E534" t="s">
        <v>47</v>
      </c>
      <c r="F534" t="s">
        <v>43</v>
      </c>
      <c r="G534">
        <f>G533</f>
        <v>9</v>
      </c>
      <c r="I534" s="11">
        <f t="shared" si="68"/>
        <v>46174</v>
      </c>
      <c r="J534" t="s">
        <v>44</v>
      </c>
      <c r="K534" t="str">
        <f t="shared" si="69"/>
        <v>/* JUNIO        */ { nombre: "Ordinario, Semana IX, LUNES", archivo: "/ev/to/9/lunes.mp3", fecha: `${year}-06-01` },</v>
      </c>
      <c r="L534" s="10">
        <f t="shared" si="70"/>
        <v>46174</v>
      </c>
    </row>
    <row r="535" spans="1:12" x14ac:dyDescent="0.25">
      <c r="A535" t="str" cm="1">
        <f t="array" ref="A535">_xlfn.IFS(E535="Adviento","ta", E535="Navidad","tn", E535="Epifania","te", E535="Ordinario","to", E535="Cuaresma","tc", E535="Domingo De Ramos","tc", E535="Semana Santa","ss", E535="Triduo Pascual","tp", E535="Vigilia Pascual","tp", E535="Pascual","tp")</f>
        <v>to</v>
      </c>
      <c r="B535" s="14" t="str">
        <f t="shared" si="75"/>
        <v>/* JUNIO        */</v>
      </c>
      <c r="C535" s="15">
        <f t="shared" si="66"/>
        <v>46175</v>
      </c>
      <c r="D535" s="9">
        <f t="shared" si="67"/>
        <v>46175</v>
      </c>
      <c r="E535" t="s">
        <v>47</v>
      </c>
      <c r="F535" t="s">
        <v>43</v>
      </c>
      <c r="G535">
        <f t="shared" ref="G535:G539" si="76">G534</f>
        <v>9</v>
      </c>
      <c r="I535" s="11">
        <f t="shared" si="68"/>
        <v>46175</v>
      </c>
      <c r="J535" t="s">
        <v>44</v>
      </c>
      <c r="K535" t="str">
        <f t="shared" si="69"/>
        <v>/* JUNIO        */ { nombre: "Ordinario, Semana IX, MARTES", archivo: "/ev/to/9/martes.mp3", fecha: `${year}-06-02` },</v>
      </c>
      <c r="L535" s="10">
        <f t="shared" si="70"/>
        <v>46175</v>
      </c>
    </row>
    <row r="536" spans="1:12" x14ac:dyDescent="0.25">
      <c r="A536" t="str" cm="1">
        <f t="array" ref="A536">_xlfn.IFS(E536="Adviento","ta", E536="Navidad","tn", E536="Epifania","te", E536="Ordinario","to", E536="Cuaresma","tc", E536="Domingo De Ramos","tc", E536="Semana Santa","ss", E536="Triduo Pascual","tp", E536="Vigilia Pascual","tp", E536="Pascual","tp")</f>
        <v>to</v>
      </c>
      <c r="B536" s="14" t="str">
        <f t="shared" si="75"/>
        <v>/* JUNIO        */</v>
      </c>
      <c r="C536" s="15">
        <f t="shared" si="66"/>
        <v>46176</v>
      </c>
      <c r="D536" s="9">
        <f t="shared" si="67"/>
        <v>46176</v>
      </c>
      <c r="E536" t="s">
        <v>47</v>
      </c>
      <c r="F536" t="s">
        <v>43</v>
      </c>
      <c r="G536">
        <f t="shared" si="76"/>
        <v>9</v>
      </c>
      <c r="I536" s="11">
        <f t="shared" si="68"/>
        <v>46176</v>
      </c>
      <c r="J536" t="s">
        <v>44</v>
      </c>
      <c r="K536" t="str">
        <f t="shared" si="69"/>
        <v>/* JUNIO        */ { nombre: "Ordinario, Semana IX, MIÉRCOLES", archivo: "/ev/to/9/miércoles.mp3", fecha: `${year}-06-03` },</v>
      </c>
      <c r="L536" s="10">
        <f t="shared" si="70"/>
        <v>46176</v>
      </c>
    </row>
    <row r="537" spans="1:12" x14ac:dyDescent="0.25">
      <c r="A537" t="str" cm="1">
        <f t="array" ref="A537">_xlfn.IFS(E537="Adviento","ta", E537="Navidad","tn", E537="Epifania","te", E537="Ordinario","to", E537="Cuaresma","tc", E537="Domingo De Ramos","tc", E537="Semana Santa","ss", E537="Triduo Pascual","tp", E537="Vigilia Pascual","tp", E537="Pascual","tp")</f>
        <v>to</v>
      </c>
      <c r="B537" s="14" t="str">
        <f t="shared" si="75"/>
        <v>/* JUNIO        */</v>
      </c>
      <c r="C537" s="15">
        <f t="shared" si="66"/>
        <v>46177</v>
      </c>
      <c r="D537" s="9">
        <f t="shared" si="67"/>
        <v>46177</v>
      </c>
      <c r="E537" t="s">
        <v>47</v>
      </c>
      <c r="F537" t="s">
        <v>43</v>
      </c>
      <c r="G537">
        <f t="shared" si="76"/>
        <v>9</v>
      </c>
      <c r="I537" s="11">
        <f t="shared" si="68"/>
        <v>46177</v>
      </c>
      <c r="J537" t="s">
        <v>44</v>
      </c>
      <c r="K537" t="str">
        <f t="shared" si="69"/>
        <v>/* JUNIO        */ { nombre: "Ordinario, Semana IX, JUEVES", archivo: "/ev/to/9/jueves.mp3", fecha: `${year}-06-04` },</v>
      </c>
      <c r="L537" s="10">
        <f t="shared" si="70"/>
        <v>46177</v>
      </c>
    </row>
    <row r="538" spans="1:12" x14ac:dyDescent="0.25">
      <c r="A538" t="str" cm="1">
        <f t="array" ref="A538">_xlfn.IFS(E538="Adviento","ta", E538="Navidad","tn", E538="Epifania","te", E538="Ordinario","to", E538="Cuaresma","tc", E538="Domingo De Ramos","tc", E538="Semana Santa","ss", E538="Triduo Pascual","tp", E538="Vigilia Pascual","tp", E538="Pascual","tp")</f>
        <v>to</v>
      </c>
      <c r="B538" s="14" t="str">
        <f t="shared" si="75"/>
        <v>/* JUNIO        */</v>
      </c>
      <c r="C538" s="15">
        <f t="shared" si="66"/>
        <v>46178</v>
      </c>
      <c r="D538" s="9">
        <f t="shared" si="67"/>
        <v>46178</v>
      </c>
      <c r="E538" t="s">
        <v>47</v>
      </c>
      <c r="F538" t="s">
        <v>43</v>
      </c>
      <c r="G538">
        <f t="shared" si="76"/>
        <v>9</v>
      </c>
      <c r="I538" s="11">
        <f t="shared" si="68"/>
        <v>46178</v>
      </c>
      <c r="J538" t="s">
        <v>44</v>
      </c>
      <c r="K538" t="str">
        <f t="shared" si="69"/>
        <v>/* JUNIO        */ { nombre: "Ordinario, Semana IX, VIERNES", archivo: "/ev/to/9/viernes.mp3", fecha: `${year}-06-05` },</v>
      </c>
      <c r="L538" s="10">
        <f t="shared" si="70"/>
        <v>46178</v>
      </c>
    </row>
    <row r="539" spans="1:12" x14ac:dyDescent="0.25">
      <c r="A539" t="str" cm="1">
        <f t="array" ref="A539">_xlfn.IFS(E539="Adviento","ta", E539="Navidad","tn", E539="Epifania","te", E539="Ordinario","to", E539="Cuaresma","tc", E539="Domingo De Ramos","tc", E539="Semana Santa","ss", E539="Triduo Pascual","tp", E539="Vigilia Pascual","tp", E539="Pascual","tp")</f>
        <v>to</v>
      </c>
      <c r="B539" s="14" t="str">
        <f t="shared" si="75"/>
        <v>/* JUNIO        */</v>
      </c>
      <c r="C539" s="15">
        <f t="shared" si="66"/>
        <v>46179</v>
      </c>
      <c r="D539" s="9">
        <f t="shared" si="67"/>
        <v>46179</v>
      </c>
      <c r="E539" t="s">
        <v>47</v>
      </c>
      <c r="F539" t="s">
        <v>43</v>
      </c>
      <c r="G539">
        <f t="shared" si="76"/>
        <v>9</v>
      </c>
      <c r="I539" s="11">
        <f t="shared" si="68"/>
        <v>46179</v>
      </c>
      <c r="J539" t="s">
        <v>44</v>
      </c>
      <c r="K539" t="str">
        <f t="shared" si="69"/>
        <v>/* JUNIO        */ { nombre: "Ordinario, Semana IX, SÁBADO", archivo: "/ev/to/9/sábado.mp3", fecha: `${year}-06-06` },</v>
      </c>
      <c r="L539" s="10">
        <f t="shared" si="70"/>
        <v>46179</v>
      </c>
    </row>
    <row r="540" spans="1:12" x14ac:dyDescent="0.25">
      <c r="A540" t="str" cm="1">
        <f t="array" ref="A540">_xlfn.IFS(E540="Adviento","ta", E540="Navidad","tn", E540="Epifania","te", E540="Ordinario","to", E540="Cuaresma","tc", E540="Domingo De Ramos","tc", E540="Semana Santa","ss", E540="Triduo Pascual","tp", E540="Vigilia Pascual","tp", E540="Pascual","tp")</f>
        <v>to</v>
      </c>
      <c r="B540" s="14" t="str">
        <f t="shared" si="75"/>
        <v>/* JUNIO        */</v>
      </c>
      <c r="C540" s="15">
        <f t="shared" si="66"/>
        <v>46180</v>
      </c>
      <c r="D540" s="9">
        <f t="shared" si="67"/>
        <v>46180</v>
      </c>
      <c r="E540" t="s">
        <v>47</v>
      </c>
      <c r="F540" t="s">
        <v>43</v>
      </c>
      <c r="G540">
        <f>+G539+1</f>
        <v>10</v>
      </c>
      <c r="H540" t="s">
        <v>93</v>
      </c>
      <c r="I540" s="11">
        <f t="shared" si="68"/>
        <v>46180</v>
      </c>
      <c r="J540" t="s">
        <v>44</v>
      </c>
      <c r="K540" t="str">
        <f t="shared" si="69"/>
        <v>/* JUNIO        */ { nombre: "Ordinario, Semana X, El Cuerpo y la Sangre Santísimos de Cristo, DOMINGO", archivo: "/ev/to/10/domingo.mp3", fecha: `${year}-06-07` },</v>
      </c>
      <c r="L540" s="10">
        <f t="shared" si="70"/>
        <v>46180</v>
      </c>
    </row>
    <row r="541" spans="1:12" x14ac:dyDescent="0.25">
      <c r="A541" t="str" cm="1">
        <f t="array" ref="A541">_xlfn.IFS(E541="Adviento","ta", E541="Navidad","tn", E541="Epifania","te", E541="Ordinario","to", E541="Cuaresma","tc", E541="Domingo De Ramos","tc", E541="Semana Santa","ss", E541="Triduo Pascual","tp", E541="Vigilia Pascual","tp", E541="Pascual","tp")</f>
        <v>to</v>
      </c>
      <c r="B541" s="14" t="str">
        <f t="shared" si="75"/>
        <v>/* JUNIO        */</v>
      </c>
      <c r="C541" s="15">
        <f t="shared" si="66"/>
        <v>46181</v>
      </c>
      <c r="D541" s="9">
        <f t="shared" si="67"/>
        <v>46181</v>
      </c>
      <c r="E541" t="s">
        <v>47</v>
      </c>
      <c r="F541" t="s">
        <v>43</v>
      </c>
      <c r="G541">
        <f>G540</f>
        <v>10</v>
      </c>
      <c r="I541" s="11">
        <f t="shared" si="68"/>
        <v>46181</v>
      </c>
      <c r="J541" t="s">
        <v>44</v>
      </c>
      <c r="K541" t="str">
        <f t="shared" si="69"/>
        <v>/* JUNIO        */ { nombre: "Ordinario, Semana X, LUNES", archivo: "/ev/to/10/lunes.mp3", fecha: `${year}-06-08` },</v>
      </c>
      <c r="L541" s="10">
        <f t="shared" si="70"/>
        <v>46181</v>
      </c>
    </row>
    <row r="542" spans="1:12" x14ac:dyDescent="0.25">
      <c r="A542" t="str" cm="1">
        <f t="array" ref="A542">_xlfn.IFS(E542="Adviento","ta", E542="Navidad","tn", E542="Epifania","te", E542="Ordinario","to", E542="Cuaresma","tc", E542="Domingo De Ramos","tc", E542="Semana Santa","ss", E542="Triduo Pascual","tp", E542="Vigilia Pascual","tp", E542="Pascual","tp")</f>
        <v>to</v>
      </c>
      <c r="B542" s="14" t="str">
        <f t="shared" si="75"/>
        <v>/* JUNIO        */</v>
      </c>
      <c r="C542" s="15">
        <f t="shared" si="66"/>
        <v>46182</v>
      </c>
      <c r="D542" s="9">
        <f t="shared" si="67"/>
        <v>46182</v>
      </c>
      <c r="E542" t="s">
        <v>47</v>
      </c>
      <c r="F542" t="s">
        <v>43</v>
      </c>
      <c r="G542">
        <f t="shared" ref="G542:G546" si="77">G541</f>
        <v>10</v>
      </c>
      <c r="I542" s="11">
        <f t="shared" si="68"/>
        <v>46182</v>
      </c>
      <c r="J542" t="s">
        <v>44</v>
      </c>
      <c r="K542" t="str">
        <f t="shared" si="69"/>
        <v>/* JUNIO        */ { nombre: "Ordinario, Semana X, MARTES", archivo: "/ev/to/10/martes.mp3", fecha: `${year}-06-09` },</v>
      </c>
      <c r="L542" s="10">
        <f t="shared" si="70"/>
        <v>46182</v>
      </c>
    </row>
    <row r="543" spans="1:12" x14ac:dyDescent="0.25">
      <c r="A543" t="str" cm="1">
        <f t="array" ref="A543">_xlfn.IFS(E543="Adviento","ta", E543="Navidad","tn", E543="Epifania","te", E543="Ordinario","to", E543="Cuaresma","tc", E543="Domingo De Ramos","tc", E543="Semana Santa","ss", E543="Triduo Pascual","tp", E543="Vigilia Pascual","tp", E543="Pascual","tp")</f>
        <v>to</v>
      </c>
      <c r="B543" s="14" t="str">
        <f t="shared" si="75"/>
        <v>/* JUNIO        */</v>
      </c>
      <c r="C543" s="15">
        <f t="shared" si="66"/>
        <v>46183</v>
      </c>
      <c r="D543" s="9">
        <f t="shared" si="67"/>
        <v>46183</v>
      </c>
      <c r="E543" t="s">
        <v>47</v>
      </c>
      <c r="F543" t="s">
        <v>43</v>
      </c>
      <c r="G543">
        <f t="shared" si="77"/>
        <v>10</v>
      </c>
      <c r="I543" s="11">
        <f t="shared" si="68"/>
        <v>46183</v>
      </c>
      <c r="J543" t="s">
        <v>44</v>
      </c>
      <c r="K543" t="str">
        <f t="shared" si="69"/>
        <v>/* JUNIO        */ { nombre: "Ordinario, Semana X, MIÉRCOLES", archivo: "/ev/to/10/miércoles.mp3", fecha: `${year}-06-10` },</v>
      </c>
      <c r="L543" s="10">
        <f t="shared" si="70"/>
        <v>46183</v>
      </c>
    </row>
    <row r="544" spans="1:12" x14ac:dyDescent="0.25">
      <c r="A544" t="str" cm="1">
        <f t="array" ref="A544">_xlfn.IFS(E544="Adviento","ta", E544="Navidad","tn", E544="Epifania","te", E544="Ordinario","to", E544="Cuaresma","tc", E544="Domingo De Ramos","tc", E544="Semana Santa","ss", E544="Triduo Pascual","tp", E544="Vigilia Pascual","tp", E544="Pascual","tp")</f>
        <v>to</v>
      </c>
      <c r="B544" s="14" t="str">
        <f t="shared" si="75"/>
        <v>/* JUNIO        */</v>
      </c>
      <c r="C544" s="15">
        <f t="shared" si="66"/>
        <v>46184</v>
      </c>
      <c r="D544" s="9">
        <f t="shared" si="67"/>
        <v>46184</v>
      </c>
      <c r="E544" t="s">
        <v>47</v>
      </c>
      <c r="F544" t="s">
        <v>43</v>
      </c>
      <c r="G544">
        <f t="shared" si="77"/>
        <v>10</v>
      </c>
      <c r="I544" s="11">
        <f t="shared" si="68"/>
        <v>46184</v>
      </c>
      <c r="J544" t="s">
        <v>44</v>
      </c>
      <c r="K544" t="str">
        <f t="shared" si="69"/>
        <v>/* JUNIO        */ { nombre: "Ordinario, Semana X, JUEVES", archivo: "/ev/to/10/jueves.mp3", fecha: `${year}-06-11` },</v>
      </c>
      <c r="L544" s="10">
        <f t="shared" si="70"/>
        <v>46184</v>
      </c>
    </row>
    <row r="545" spans="1:12" x14ac:dyDescent="0.25">
      <c r="A545" t="str" cm="1">
        <f t="array" ref="A545">_xlfn.IFS(E545="Adviento","ta", E545="Navidad","tn", E545="Epifania","te", E545="Ordinario","to", E545="Cuaresma","tc", E545="Domingo De Ramos","tc", E545="Semana Santa","ss", E545="Triduo Pascual","tp", E545="Vigilia Pascual","tp", E545="Pascual","tp")</f>
        <v>to</v>
      </c>
      <c r="B545" s="14" t="str">
        <f t="shared" si="75"/>
        <v>/* JUNIO        */</v>
      </c>
      <c r="C545" s="15">
        <f t="shared" si="66"/>
        <v>46185</v>
      </c>
      <c r="D545" s="9">
        <f t="shared" si="67"/>
        <v>46185</v>
      </c>
      <c r="E545" t="s">
        <v>47</v>
      </c>
      <c r="F545" t="s">
        <v>43</v>
      </c>
      <c r="G545">
        <f t="shared" si="77"/>
        <v>10</v>
      </c>
      <c r="H545" t="s">
        <v>94</v>
      </c>
      <c r="I545" s="11">
        <f t="shared" si="68"/>
        <v>46185</v>
      </c>
      <c r="J545" t="s">
        <v>44</v>
      </c>
      <c r="K545" t="str">
        <f t="shared" si="69"/>
        <v>/* JUNIO        */ { nombre: "Ordinario, Semana X, El Sagrado Corazón de Jesús, VIERNES", archivo: "/ev/to/10/viernes.mp3", fecha: `${year}-06-12` },</v>
      </c>
      <c r="L545" s="10">
        <f t="shared" si="70"/>
        <v>46185</v>
      </c>
    </row>
    <row r="546" spans="1:12" x14ac:dyDescent="0.25">
      <c r="A546" t="str" cm="1">
        <f t="array" ref="A546">_xlfn.IFS(E546="Adviento","ta", E546="Navidad","tn", E546="Epifania","te", E546="Ordinario","to", E546="Cuaresma","tc", E546="Domingo De Ramos","tc", E546="Semana Santa","ss", E546="Triduo Pascual","tp", E546="Vigilia Pascual","tp", E546="Pascual","tp")</f>
        <v>to</v>
      </c>
      <c r="B546" s="14" t="str">
        <f t="shared" si="75"/>
        <v>/* JUNIO        */</v>
      </c>
      <c r="C546" s="15">
        <f t="shared" si="66"/>
        <v>46186</v>
      </c>
      <c r="D546" s="9">
        <f t="shared" si="67"/>
        <v>46186</v>
      </c>
      <c r="E546" t="s">
        <v>47</v>
      </c>
      <c r="F546" t="s">
        <v>43</v>
      </c>
      <c r="G546">
        <f t="shared" si="77"/>
        <v>10</v>
      </c>
      <c r="I546" s="11">
        <f t="shared" si="68"/>
        <v>46186</v>
      </c>
      <c r="J546" t="s">
        <v>44</v>
      </c>
      <c r="K546" t="str">
        <f t="shared" si="69"/>
        <v>/* JUNIO        */ { nombre: "Ordinario, Semana X, SÁBADO", archivo: "/ev/to/10/sábado.mp3", fecha: `${year}-06-13` },</v>
      </c>
      <c r="L546" s="10">
        <f t="shared" si="70"/>
        <v>46186</v>
      </c>
    </row>
    <row r="547" spans="1:12" x14ac:dyDescent="0.25">
      <c r="A547" t="str" cm="1">
        <f t="array" ref="A547">_xlfn.IFS(E547="Adviento","ta", E547="Navidad","tn", E547="Epifania","te", E547="Ordinario","to", E547="Cuaresma","tc", E547="Domingo De Ramos","tc", E547="Semana Santa","ss", E547="Triduo Pascual","tp", E547="Vigilia Pascual","tp", E547="Pascual","tp")</f>
        <v>to</v>
      </c>
      <c r="B547" s="14" t="str">
        <f t="shared" si="75"/>
        <v>/* JUNIO        */</v>
      </c>
      <c r="C547" s="15">
        <f t="shared" si="66"/>
        <v>46187</v>
      </c>
      <c r="D547" s="9">
        <f t="shared" si="67"/>
        <v>46187</v>
      </c>
      <c r="E547" t="s">
        <v>47</v>
      </c>
      <c r="F547" t="s">
        <v>43</v>
      </c>
      <c r="G547">
        <f>+G546+1</f>
        <v>11</v>
      </c>
      <c r="I547" s="11">
        <f t="shared" si="68"/>
        <v>46187</v>
      </c>
      <c r="J547" t="s">
        <v>44</v>
      </c>
      <c r="K547" t="str">
        <f t="shared" si="69"/>
        <v>/* JUNIO        */ { nombre: "Ordinario, Semana XI, DOMINGO", archivo: "/ev/to/11/domingo.mp3", fecha: `${year}-06-14` },</v>
      </c>
      <c r="L547" s="10">
        <f t="shared" si="70"/>
        <v>46187</v>
      </c>
    </row>
    <row r="548" spans="1:12" x14ac:dyDescent="0.25">
      <c r="A548" t="str" cm="1">
        <f t="array" ref="A548">_xlfn.IFS(E548="Adviento","ta", E548="Navidad","tn", E548="Epifania","te", E548="Ordinario","to", E548="Cuaresma","tc", E548="Domingo De Ramos","tc", E548="Semana Santa","ss", E548="Triduo Pascual","tp", E548="Vigilia Pascual","tp", E548="Pascual","tp")</f>
        <v>to</v>
      </c>
      <c r="B548" s="14" t="str">
        <f t="shared" si="75"/>
        <v>/* JUNIO        */</v>
      </c>
      <c r="C548" s="15">
        <f t="shared" si="66"/>
        <v>46188</v>
      </c>
      <c r="D548" s="9">
        <f t="shared" si="67"/>
        <v>46188</v>
      </c>
      <c r="E548" t="s">
        <v>47</v>
      </c>
      <c r="F548" t="s">
        <v>43</v>
      </c>
      <c r="G548">
        <f>G547</f>
        <v>11</v>
      </c>
      <c r="I548" s="11">
        <f t="shared" si="68"/>
        <v>46188</v>
      </c>
      <c r="J548" t="s">
        <v>44</v>
      </c>
      <c r="K548" t="str">
        <f t="shared" si="69"/>
        <v>/* JUNIO        */ { nombre: "Ordinario, Semana XI, LUNES", archivo: "/ev/to/11/lunes.mp3", fecha: `${year}-06-15` },</v>
      </c>
      <c r="L548" s="10">
        <f t="shared" si="70"/>
        <v>46188</v>
      </c>
    </row>
    <row r="549" spans="1:12" x14ac:dyDescent="0.25">
      <c r="A549" t="str" cm="1">
        <f t="array" ref="A549">_xlfn.IFS(E549="Adviento","ta", E549="Navidad","tn", E549="Epifania","te", E549="Ordinario","to", E549="Cuaresma","tc", E549="Domingo De Ramos","tc", E549="Semana Santa","ss", E549="Triduo Pascual","tp", E549="Vigilia Pascual","tp", E549="Pascual","tp")</f>
        <v>to</v>
      </c>
      <c r="B549" s="14" t="str">
        <f t="shared" si="75"/>
        <v>/* JUNIO        */</v>
      </c>
      <c r="C549" s="15">
        <f t="shared" si="66"/>
        <v>46189</v>
      </c>
      <c r="D549" s="9">
        <f t="shared" si="67"/>
        <v>46189</v>
      </c>
      <c r="E549" t="s">
        <v>47</v>
      </c>
      <c r="F549" t="s">
        <v>43</v>
      </c>
      <c r="G549">
        <f t="shared" ref="G549:G553" si="78">G548</f>
        <v>11</v>
      </c>
      <c r="I549" s="11">
        <f t="shared" si="68"/>
        <v>46189</v>
      </c>
      <c r="J549" t="s">
        <v>44</v>
      </c>
      <c r="K549" t="str">
        <f t="shared" si="69"/>
        <v>/* JUNIO        */ { nombre: "Ordinario, Semana XI, MARTES", archivo: "/ev/to/11/martes.mp3", fecha: `${year}-06-16` },</v>
      </c>
      <c r="L549" s="10">
        <f t="shared" si="70"/>
        <v>46189</v>
      </c>
    </row>
    <row r="550" spans="1:12" x14ac:dyDescent="0.25">
      <c r="A550" t="str" cm="1">
        <f t="array" ref="A550">_xlfn.IFS(E550="Adviento","ta", E550="Navidad","tn", E550="Epifania","te", E550="Ordinario","to", E550="Cuaresma","tc", E550="Domingo De Ramos","tc", E550="Semana Santa","ss", E550="Triduo Pascual","tp", E550="Vigilia Pascual","tp", E550="Pascual","tp")</f>
        <v>to</v>
      </c>
      <c r="B550" s="14" t="str">
        <f t="shared" si="75"/>
        <v>/* JUNIO        */</v>
      </c>
      <c r="C550" s="15">
        <f t="shared" si="66"/>
        <v>46190</v>
      </c>
      <c r="D550" s="9">
        <f t="shared" si="67"/>
        <v>46190</v>
      </c>
      <c r="E550" t="s">
        <v>47</v>
      </c>
      <c r="F550" t="s">
        <v>43</v>
      </c>
      <c r="G550">
        <f t="shared" si="78"/>
        <v>11</v>
      </c>
      <c r="I550" s="11">
        <f t="shared" si="68"/>
        <v>46190</v>
      </c>
      <c r="J550" t="s">
        <v>44</v>
      </c>
      <c r="K550" t="str">
        <f t="shared" si="69"/>
        <v>/* JUNIO        */ { nombre: "Ordinario, Semana XI, MIÉRCOLES", archivo: "/ev/to/11/miércoles.mp3", fecha: `${year}-06-17` },</v>
      </c>
      <c r="L550" s="10">
        <f t="shared" si="70"/>
        <v>46190</v>
      </c>
    </row>
    <row r="551" spans="1:12" x14ac:dyDescent="0.25">
      <c r="A551" t="str" cm="1">
        <f t="array" ref="A551">_xlfn.IFS(E551="Adviento","ta", E551="Navidad","tn", E551="Epifania","te", E551="Ordinario","to", E551="Cuaresma","tc", E551="Domingo De Ramos","tc", E551="Semana Santa","ss", E551="Triduo Pascual","tp", E551="Vigilia Pascual","tp", E551="Pascual","tp")</f>
        <v>to</v>
      </c>
      <c r="B551" s="14" t="str">
        <f t="shared" si="75"/>
        <v>/* JUNIO        */</v>
      </c>
      <c r="C551" s="15">
        <f t="shared" si="66"/>
        <v>46191</v>
      </c>
      <c r="D551" s="9">
        <f t="shared" si="67"/>
        <v>46191</v>
      </c>
      <c r="E551" t="s">
        <v>47</v>
      </c>
      <c r="F551" t="s">
        <v>43</v>
      </c>
      <c r="G551">
        <f t="shared" si="78"/>
        <v>11</v>
      </c>
      <c r="I551" s="11">
        <f t="shared" si="68"/>
        <v>46191</v>
      </c>
      <c r="J551" t="s">
        <v>44</v>
      </c>
      <c r="K551" t="str">
        <f t="shared" si="69"/>
        <v>/* JUNIO        */ { nombre: "Ordinario, Semana XI, JUEVES", archivo: "/ev/to/11/jueves.mp3", fecha: `${year}-06-18` },</v>
      </c>
      <c r="L551" s="10">
        <f t="shared" si="70"/>
        <v>46191</v>
      </c>
    </row>
    <row r="552" spans="1:12" x14ac:dyDescent="0.25">
      <c r="A552" t="str" cm="1">
        <f t="array" ref="A552">_xlfn.IFS(E552="Adviento","ta", E552="Navidad","tn", E552="Epifania","te", E552="Ordinario","to", E552="Cuaresma","tc", E552="Domingo De Ramos","tc", E552="Semana Santa","ss", E552="Triduo Pascual","tp", E552="Vigilia Pascual","tp", E552="Pascual","tp")</f>
        <v>to</v>
      </c>
      <c r="B552" s="14" t="str">
        <f t="shared" si="75"/>
        <v>/* JUNIO        */</v>
      </c>
      <c r="C552" s="15">
        <f t="shared" si="66"/>
        <v>46192</v>
      </c>
      <c r="D552" s="9">
        <f t="shared" si="67"/>
        <v>46192</v>
      </c>
      <c r="E552" t="s">
        <v>47</v>
      </c>
      <c r="F552" t="s">
        <v>43</v>
      </c>
      <c r="G552">
        <f t="shared" si="78"/>
        <v>11</v>
      </c>
      <c r="I552" s="11">
        <f t="shared" si="68"/>
        <v>46192</v>
      </c>
      <c r="J552" t="s">
        <v>44</v>
      </c>
      <c r="K552" t="str">
        <f t="shared" si="69"/>
        <v>/* JUNIO        */ { nombre: "Ordinario, Semana XI, VIERNES", archivo: "/ev/to/11/viernes.mp3", fecha: `${year}-06-19` },</v>
      </c>
      <c r="L552" s="10">
        <f t="shared" si="70"/>
        <v>46192</v>
      </c>
    </row>
    <row r="553" spans="1:12" x14ac:dyDescent="0.25">
      <c r="A553" t="str" cm="1">
        <f t="array" ref="A553">_xlfn.IFS(E553="Adviento","ta", E553="Navidad","tn", E553="Epifania","te", E553="Ordinario","to", E553="Cuaresma","tc", E553="Domingo De Ramos","tc", E553="Semana Santa","ss", E553="Triduo Pascual","tp", E553="Vigilia Pascual","tp", E553="Pascual","tp")</f>
        <v>to</v>
      </c>
      <c r="B553" s="14" t="str">
        <f t="shared" si="75"/>
        <v>/* JUNIO        */</v>
      </c>
      <c r="C553" s="15">
        <f t="shared" si="66"/>
        <v>46193</v>
      </c>
      <c r="D553" s="9">
        <f t="shared" si="67"/>
        <v>46193</v>
      </c>
      <c r="E553" t="s">
        <v>47</v>
      </c>
      <c r="F553" t="s">
        <v>43</v>
      </c>
      <c r="G553">
        <f t="shared" si="78"/>
        <v>11</v>
      </c>
      <c r="I553" s="11">
        <f t="shared" si="68"/>
        <v>46193</v>
      </c>
      <c r="J553" t="s">
        <v>44</v>
      </c>
      <c r="K553" t="str">
        <f t="shared" si="69"/>
        <v>/* JUNIO        */ { nombre: "Ordinario, Semana XI, SÁBADO", archivo: "/ev/to/11/sábado.mp3", fecha: `${year}-06-20` },</v>
      </c>
      <c r="L553" s="10">
        <f t="shared" si="70"/>
        <v>46193</v>
      </c>
    </row>
    <row r="554" spans="1:12" x14ac:dyDescent="0.25">
      <c r="A554" t="str" cm="1">
        <f t="array" ref="A554">_xlfn.IFS(E554="Adviento","ta", E554="Navidad","tn", E554="Epifania","te", E554="Ordinario","to", E554="Cuaresma","tc", E554="Domingo De Ramos","tc", E554="Semana Santa","ss", E554="Triduo Pascual","tp", E554="Vigilia Pascual","tp", E554="Pascual","tp")</f>
        <v>to</v>
      </c>
      <c r="B554" s="14" t="str">
        <f t="shared" si="75"/>
        <v>/* JUNIO        */</v>
      </c>
      <c r="C554" s="15">
        <f t="shared" si="66"/>
        <v>46194</v>
      </c>
      <c r="D554" s="9">
        <f t="shared" si="67"/>
        <v>46194</v>
      </c>
      <c r="E554" t="s">
        <v>47</v>
      </c>
      <c r="F554" t="s">
        <v>43</v>
      </c>
      <c r="G554">
        <f>+G553+1</f>
        <v>12</v>
      </c>
      <c r="I554" s="11">
        <f t="shared" si="68"/>
        <v>46194</v>
      </c>
      <c r="J554" t="s">
        <v>44</v>
      </c>
      <c r="K554" t="str">
        <f t="shared" si="69"/>
        <v>/* JUNIO        */ { nombre: "Ordinario, Semana XII, DOMINGO", archivo: "/ev/to/12/domingo.mp3", fecha: `${year}-06-21` },</v>
      </c>
      <c r="L554" s="10">
        <f t="shared" si="70"/>
        <v>46194</v>
      </c>
    </row>
    <row r="555" spans="1:12" x14ac:dyDescent="0.25">
      <c r="A555" t="str" cm="1">
        <f t="array" ref="A555">_xlfn.IFS(E555="Adviento","ta", E555="Navidad","tn", E555="Epifania","te", E555="Ordinario","to", E555="Cuaresma","tc", E555="Domingo De Ramos","tc", E555="Semana Santa","ss", E555="Triduo Pascual","tp", E555="Vigilia Pascual","tp", E555="Pascual","tp")</f>
        <v>to</v>
      </c>
      <c r="B555" s="14" t="str">
        <f t="shared" si="75"/>
        <v>/* JUNIO        */</v>
      </c>
      <c r="C555" s="15">
        <f t="shared" si="66"/>
        <v>46195</v>
      </c>
      <c r="D555" s="9">
        <f t="shared" si="67"/>
        <v>46195</v>
      </c>
      <c r="E555" t="s">
        <v>47</v>
      </c>
      <c r="F555" t="s">
        <v>43</v>
      </c>
      <c r="G555">
        <f>G554</f>
        <v>12</v>
      </c>
      <c r="I555" s="11">
        <f t="shared" si="68"/>
        <v>46195</v>
      </c>
      <c r="J555" t="s">
        <v>44</v>
      </c>
      <c r="K555" t="str">
        <f t="shared" si="69"/>
        <v>/* JUNIO        */ { nombre: "Ordinario, Semana XII, LUNES", archivo: "/ev/to/12/lunes.mp3", fecha: `${year}-06-22` },</v>
      </c>
      <c r="L555" s="10">
        <f t="shared" si="70"/>
        <v>46195</v>
      </c>
    </row>
    <row r="556" spans="1:12" x14ac:dyDescent="0.25">
      <c r="A556" t="str" cm="1">
        <f t="array" ref="A556">_xlfn.IFS(E556="Adviento","ta", E556="Navidad","tn", E556="Epifania","te", E556="Ordinario","to", E556="Cuaresma","tc", E556="Domingo De Ramos","tc", E556="Semana Santa","ss", E556="Triduo Pascual","tp", E556="Vigilia Pascual","tp", E556="Pascual","tp")</f>
        <v>to</v>
      </c>
      <c r="B556" s="14" t="str">
        <f t="shared" si="75"/>
        <v>/* JUNIO        */</v>
      </c>
      <c r="C556" s="15">
        <f t="shared" si="66"/>
        <v>46196</v>
      </c>
      <c r="D556" s="9">
        <f t="shared" si="67"/>
        <v>46196</v>
      </c>
      <c r="E556" t="s">
        <v>47</v>
      </c>
      <c r="F556" t="s">
        <v>43</v>
      </c>
      <c r="G556">
        <f t="shared" ref="G556:G560" si="79">G555</f>
        <v>12</v>
      </c>
      <c r="I556" s="11">
        <f t="shared" si="68"/>
        <v>46196</v>
      </c>
      <c r="J556" t="s">
        <v>44</v>
      </c>
      <c r="K556" t="str">
        <f t="shared" si="69"/>
        <v>/* JUNIO        */ { nombre: "Ordinario, Semana XII, MARTES", archivo: "/ev/to/12/martes.mp3", fecha: `${year}-06-23` },</v>
      </c>
      <c r="L556" s="10">
        <f t="shared" si="70"/>
        <v>46196</v>
      </c>
    </row>
    <row r="557" spans="1:12" x14ac:dyDescent="0.25">
      <c r="A557" t="str" cm="1">
        <f t="array" ref="A557">_xlfn.IFS(E557="Adviento","ta", E557="Navidad","tn", E557="Epifania","te", E557="Ordinario","to", E557="Cuaresma","tc", E557="Domingo De Ramos","tc", E557="Semana Santa","ss", E557="Triduo Pascual","tp", E557="Vigilia Pascual","tp", E557="Pascual","tp")</f>
        <v>to</v>
      </c>
      <c r="B557" s="14" t="str">
        <f t="shared" si="75"/>
        <v>/* JUNIO        */</v>
      </c>
      <c r="C557" s="15">
        <f t="shared" si="66"/>
        <v>46197</v>
      </c>
      <c r="D557" s="9">
        <f t="shared" si="67"/>
        <v>46197</v>
      </c>
      <c r="E557" t="s">
        <v>47</v>
      </c>
      <c r="F557" t="s">
        <v>43</v>
      </c>
      <c r="G557">
        <f t="shared" si="79"/>
        <v>12</v>
      </c>
      <c r="H557" t="s">
        <v>95</v>
      </c>
      <c r="I557" s="11">
        <f t="shared" si="68"/>
        <v>46197</v>
      </c>
      <c r="J557" t="s">
        <v>44</v>
      </c>
      <c r="K557" t="str">
        <f t="shared" si="69"/>
        <v>/* JUNIO        */ { nombre: "Ordinario, Semana XII, El Nacimiento de San Juan Bautista, MIÉRCOLES", archivo: "/ev/to/12/miércoles.mp3", fecha: `${year}-06-24` },</v>
      </c>
      <c r="L557" s="10">
        <f t="shared" si="70"/>
        <v>46197</v>
      </c>
    </row>
    <row r="558" spans="1:12" x14ac:dyDescent="0.25">
      <c r="A558" t="str" cm="1">
        <f t="array" ref="A558">_xlfn.IFS(E558="Adviento","ta", E558="Navidad","tn", E558="Epifania","te", E558="Ordinario","to", E558="Cuaresma","tc", E558="Domingo De Ramos","tc", E558="Semana Santa","ss", E558="Triduo Pascual","tp", E558="Vigilia Pascual","tp", E558="Pascual","tp")</f>
        <v>to</v>
      </c>
      <c r="B558" s="14" t="str">
        <f t="shared" si="75"/>
        <v>/* JUNIO        */</v>
      </c>
      <c r="C558" s="15">
        <f t="shared" si="66"/>
        <v>46198</v>
      </c>
      <c r="D558" s="9">
        <f t="shared" si="67"/>
        <v>46198</v>
      </c>
      <c r="E558" t="s">
        <v>47</v>
      </c>
      <c r="F558" t="s">
        <v>43</v>
      </c>
      <c r="G558">
        <f t="shared" si="79"/>
        <v>12</v>
      </c>
      <c r="I558" s="11">
        <f t="shared" si="68"/>
        <v>46198</v>
      </c>
      <c r="J558" t="s">
        <v>44</v>
      </c>
      <c r="K558" t="str">
        <f t="shared" si="69"/>
        <v>/* JUNIO        */ { nombre: "Ordinario, Semana XII, JUEVES", archivo: "/ev/to/12/jueves.mp3", fecha: `${year}-06-25` },</v>
      </c>
      <c r="L558" s="10">
        <f t="shared" si="70"/>
        <v>46198</v>
      </c>
    </row>
    <row r="559" spans="1:12" x14ac:dyDescent="0.25">
      <c r="A559" t="str" cm="1">
        <f t="array" ref="A559">_xlfn.IFS(E559="Adviento","ta", E559="Navidad","tn", E559="Epifania","te", E559="Ordinario","to", E559="Cuaresma","tc", E559="Domingo De Ramos","tc", E559="Semana Santa","ss", E559="Triduo Pascual","tp", E559="Vigilia Pascual","tp", E559="Pascual","tp")</f>
        <v>to</v>
      </c>
      <c r="B559" s="14" t="str">
        <f t="shared" si="75"/>
        <v>/* JUNIO        */</v>
      </c>
      <c r="C559" s="15">
        <f t="shared" si="66"/>
        <v>46199</v>
      </c>
      <c r="D559" s="9">
        <f t="shared" si="67"/>
        <v>46199</v>
      </c>
      <c r="E559" t="s">
        <v>47</v>
      </c>
      <c r="F559" t="s">
        <v>43</v>
      </c>
      <c r="G559">
        <f t="shared" si="79"/>
        <v>12</v>
      </c>
      <c r="I559" s="11">
        <f t="shared" si="68"/>
        <v>46199</v>
      </c>
      <c r="J559" t="s">
        <v>44</v>
      </c>
      <c r="K559" t="str">
        <f t="shared" si="69"/>
        <v>/* JUNIO        */ { nombre: "Ordinario, Semana XII, VIERNES", archivo: "/ev/to/12/viernes.mp3", fecha: `${year}-06-26` },</v>
      </c>
      <c r="L559" s="10">
        <f t="shared" si="70"/>
        <v>46199</v>
      </c>
    </row>
    <row r="560" spans="1:12" x14ac:dyDescent="0.25">
      <c r="A560" t="str" cm="1">
        <f t="array" ref="A560">_xlfn.IFS(E560="Adviento","ta", E560="Navidad","tn", E560="Epifania","te", E560="Ordinario","to", E560="Cuaresma","tc", E560="Domingo De Ramos","tc", E560="Semana Santa","ss", E560="Triduo Pascual","tp", E560="Vigilia Pascual","tp", E560="Pascual","tp")</f>
        <v>to</v>
      </c>
      <c r="B560" s="14" t="str">
        <f t="shared" si="75"/>
        <v>/* JUNIO        */</v>
      </c>
      <c r="C560" s="15">
        <f t="shared" si="66"/>
        <v>46200</v>
      </c>
      <c r="D560" s="9">
        <f t="shared" si="67"/>
        <v>46200</v>
      </c>
      <c r="E560" t="s">
        <v>47</v>
      </c>
      <c r="F560" t="s">
        <v>43</v>
      </c>
      <c r="G560">
        <f t="shared" si="79"/>
        <v>12</v>
      </c>
      <c r="I560" s="11">
        <f t="shared" si="68"/>
        <v>46200</v>
      </c>
      <c r="J560" t="s">
        <v>44</v>
      </c>
      <c r="K560" t="str">
        <f t="shared" si="69"/>
        <v>/* JUNIO        */ { nombre: "Ordinario, Semana XII, SÁBADO", archivo: "/ev/to/12/sábado.mp3", fecha: `${year}-06-27` },</v>
      </c>
      <c r="L560" s="10">
        <f t="shared" si="70"/>
        <v>46200</v>
      </c>
    </row>
    <row r="561" spans="1:12" x14ac:dyDescent="0.25">
      <c r="A561" t="str" cm="1">
        <f t="array" ref="A561">_xlfn.IFS(E561="Adviento","ta", E561="Navidad","tn", E561="Epifania","te", E561="Ordinario","to", E561="Cuaresma","tc", E561="Domingo De Ramos","tc", E561="Semana Santa","ss", E561="Triduo Pascual","tp", E561="Vigilia Pascual","tp", E561="Pascual","tp")</f>
        <v>to</v>
      </c>
      <c r="B561" s="14" t="str">
        <f t="shared" si="75"/>
        <v>/* JUNIO        */</v>
      </c>
      <c r="C561" s="15">
        <f t="shared" si="66"/>
        <v>46201</v>
      </c>
      <c r="D561" s="9">
        <f t="shared" si="67"/>
        <v>46201</v>
      </c>
      <c r="E561" t="s">
        <v>47</v>
      </c>
      <c r="F561" t="s">
        <v>43</v>
      </c>
      <c r="G561">
        <f>+G560+1</f>
        <v>13</v>
      </c>
      <c r="I561" s="11">
        <f t="shared" si="68"/>
        <v>46201</v>
      </c>
      <c r="J561" t="s">
        <v>44</v>
      </c>
      <c r="K561" t="str">
        <f t="shared" si="69"/>
        <v>/* JUNIO        */ { nombre: "Ordinario, Semana XIII, DOMINGO", archivo: "/ev/to/13/domingo.mp3", fecha: `${year}-06-28` },</v>
      </c>
      <c r="L561" s="10">
        <f t="shared" si="70"/>
        <v>46201</v>
      </c>
    </row>
    <row r="562" spans="1:12" x14ac:dyDescent="0.25">
      <c r="A562" t="str" cm="1">
        <f t="array" ref="A562">_xlfn.IFS(E562="Adviento","ta", E562="Navidad","tn", E562="Epifania","te", E562="Ordinario","to", E562="Cuaresma","tc", E562="Domingo De Ramos","tc", E562="Semana Santa","ss", E562="Triduo Pascual","tp", E562="Vigilia Pascual","tp", E562="Pascual","tp")</f>
        <v>to</v>
      </c>
      <c r="B562" s="14" t="str">
        <f t="shared" si="75"/>
        <v>/* JUNIO        */</v>
      </c>
      <c r="C562" s="15">
        <f t="shared" si="66"/>
        <v>46202</v>
      </c>
      <c r="D562" s="9">
        <f t="shared" si="67"/>
        <v>46202</v>
      </c>
      <c r="E562" t="s">
        <v>47</v>
      </c>
      <c r="F562" t="s">
        <v>43</v>
      </c>
      <c r="G562">
        <f>G561</f>
        <v>13</v>
      </c>
      <c r="H562" t="s">
        <v>96</v>
      </c>
      <c r="I562" s="11">
        <f t="shared" si="68"/>
        <v>46202</v>
      </c>
      <c r="J562" t="s">
        <v>44</v>
      </c>
      <c r="K562" t="str">
        <f t="shared" si="69"/>
        <v>/* JUNIO        */ { nombre: "Ordinario, Semana XIII, Santos Pedro y Pablo, apóstoles, LUNES", archivo: "/ev/to/13/lunes.mp3", fecha: `${year}-06-29` },</v>
      </c>
      <c r="L562" s="10">
        <f t="shared" si="70"/>
        <v>46202</v>
      </c>
    </row>
    <row r="563" spans="1:12" x14ac:dyDescent="0.25">
      <c r="A563" t="str" cm="1">
        <f t="array" ref="A563">_xlfn.IFS(E563="Adviento","ta", E563="Navidad","tn", E563="Epifania","te", E563="Ordinario","to", E563="Cuaresma","tc", E563="Domingo De Ramos","tc", E563="Semana Santa","ss", E563="Triduo Pascual","tp", E563="Vigilia Pascual","tp", E563="Pascual","tp")</f>
        <v>to</v>
      </c>
      <c r="B563" s="14" t="str">
        <f t="shared" si="75"/>
        <v>/* JUNIO        */</v>
      </c>
      <c r="C563" s="15">
        <f t="shared" si="66"/>
        <v>46203</v>
      </c>
      <c r="D563" s="9">
        <f t="shared" si="67"/>
        <v>46203</v>
      </c>
      <c r="E563" t="s">
        <v>47</v>
      </c>
      <c r="F563" t="s">
        <v>43</v>
      </c>
      <c r="G563">
        <f t="shared" ref="G563:G567" si="80">G562</f>
        <v>13</v>
      </c>
      <c r="I563" s="11">
        <f t="shared" si="68"/>
        <v>46203</v>
      </c>
      <c r="J563" t="s">
        <v>44</v>
      </c>
      <c r="K563" t="str">
        <f t="shared" si="69"/>
        <v>/* JUNIO        */ { nombre: "Ordinario, Semana XIII, MARTES", archivo: "/ev/to/13/martes.mp3", fecha: `${year}-06-30` },</v>
      </c>
      <c r="L563" s="10">
        <f t="shared" si="70"/>
        <v>46203</v>
      </c>
    </row>
    <row r="564" spans="1:12" x14ac:dyDescent="0.25">
      <c r="A564" t="str" cm="1">
        <f t="array" ref="A564">_xlfn.IFS(E564="Adviento","ta", E564="Navidad","tn", E564="Epifania","te", E564="Ordinario","to", E564="Cuaresma","tc", E564="Domingo De Ramos","tc", E564="Semana Santa","ss", E564="Triduo Pascual","tp", E564="Vigilia Pascual","tp", E564="Pascual","tp")</f>
        <v>to</v>
      </c>
      <c r="B564" s="14" t="str">
        <f t="shared" si="75"/>
        <v>/* JULIO        */</v>
      </c>
      <c r="C564" s="15">
        <f t="shared" si="66"/>
        <v>46204</v>
      </c>
      <c r="D564" s="9">
        <f t="shared" si="67"/>
        <v>46204</v>
      </c>
      <c r="E564" t="s">
        <v>47</v>
      </c>
      <c r="F564" t="s">
        <v>43</v>
      </c>
      <c r="G564">
        <f t="shared" si="80"/>
        <v>13</v>
      </c>
      <c r="I564" s="11">
        <f t="shared" si="68"/>
        <v>46204</v>
      </c>
      <c r="J564" t="s">
        <v>44</v>
      </c>
      <c r="K564" t="str">
        <f t="shared" si="69"/>
        <v>/* JULIO        */ { nombre: "Ordinario, Semana XIII, MIÉRCOLES", archivo: "/ev/to/13/miércoles.mp3", fecha: `${year}-07-01` },</v>
      </c>
      <c r="L564" s="10">
        <f t="shared" si="70"/>
        <v>46204</v>
      </c>
    </row>
    <row r="565" spans="1:12" x14ac:dyDescent="0.25">
      <c r="A565" t="str" cm="1">
        <f t="array" ref="A565">_xlfn.IFS(E565="Adviento","ta", E565="Navidad","tn", E565="Epifania","te", E565="Ordinario","to", E565="Cuaresma","tc", E565="Domingo De Ramos","tc", E565="Semana Santa","ss", E565="Triduo Pascual","tp", E565="Vigilia Pascual","tp", E565="Pascual","tp")</f>
        <v>to</v>
      </c>
      <c r="B565" s="14" t="str">
        <f t="shared" si="75"/>
        <v>/* JULIO        */</v>
      </c>
      <c r="C565" s="15">
        <f t="shared" ref="C565:C628" si="81">+C564+1</f>
        <v>46205</v>
      </c>
      <c r="D565" s="9">
        <f t="shared" ref="D565:D628" si="82">+D564+1</f>
        <v>46205</v>
      </c>
      <c r="E565" t="s">
        <v>47</v>
      </c>
      <c r="F565" t="s">
        <v>43</v>
      </c>
      <c r="G565">
        <f t="shared" si="80"/>
        <v>13</v>
      </c>
      <c r="I565" s="11">
        <f t="shared" ref="I565:I628" si="83">D565</f>
        <v>46205</v>
      </c>
      <c r="J565" t="s">
        <v>44</v>
      </c>
      <c r="K565" t="str">
        <f t="shared" ref="K565:K628" si="84">_xlfn.CONCAT(B565, " ", "{ nombre: ", CHAR(34), E565, ", ", F565, " ", ROMAN(G565),H565, ", ", UPPER(TEXT(D565, "[$-es-ES]dddd")), CHAR(34), ", archivo: ", CHAR(34), "/ev/", _xlfn.IFS(E565="Adviento","ta", E565="Navidad","tn", E565="Epifania","te", E565="Ordinario","to", E565="Cuaresma","tc", E565="Domingo De Ramos","tc", E565="Semana Santa","ss", E565="Triduo Pascual","tp", E565="Vigilia Pascual","tp", E565="Pascual","tp"), "/", G565, "/", TEXT(D565, "[$-es-ES]dddd"), ".mp3", CHAR(34), ", fecha: `${year}-", TEXT(D565, "mm-dd"), "` },")</f>
        <v>/* JULIO        */ { nombre: "Ordinario, Semana XIII, JUEVES", archivo: "/ev/to/13/jueves.mp3", fecha: `${year}-07-02` },</v>
      </c>
      <c r="L565" s="10">
        <f t="shared" ref="L565:L628" si="85">D565</f>
        <v>46205</v>
      </c>
    </row>
    <row r="566" spans="1:12" x14ac:dyDescent="0.25">
      <c r="A566" t="str" cm="1">
        <f t="array" ref="A566">_xlfn.IFS(E566="Adviento","ta", E566="Navidad","tn", E566="Epifania","te", E566="Ordinario","to", E566="Cuaresma","tc", E566="Domingo De Ramos","tc", E566="Semana Santa","ss", E566="Triduo Pascual","tp", E566="Vigilia Pascual","tp", E566="Pascual","tp")</f>
        <v>to</v>
      </c>
      <c r="B566" s="14" t="str">
        <f t="shared" si="75"/>
        <v>/* JULIO        */</v>
      </c>
      <c r="C566" s="15">
        <f t="shared" si="81"/>
        <v>46206</v>
      </c>
      <c r="D566" s="9">
        <f t="shared" si="82"/>
        <v>46206</v>
      </c>
      <c r="E566" t="s">
        <v>47</v>
      </c>
      <c r="F566" t="s">
        <v>43</v>
      </c>
      <c r="G566">
        <f t="shared" si="80"/>
        <v>13</v>
      </c>
      <c r="I566" s="11">
        <f t="shared" si="83"/>
        <v>46206</v>
      </c>
      <c r="J566" t="s">
        <v>44</v>
      </c>
      <c r="K566" t="str">
        <f t="shared" si="84"/>
        <v>/* JULIO        */ { nombre: "Ordinario, Semana XIII, VIERNES", archivo: "/ev/to/13/viernes.mp3", fecha: `${year}-07-03` },</v>
      </c>
      <c r="L566" s="10">
        <f t="shared" si="85"/>
        <v>46206</v>
      </c>
    </row>
    <row r="567" spans="1:12" x14ac:dyDescent="0.25">
      <c r="A567" t="str" cm="1">
        <f t="array" ref="A567">_xlfn.IFS(E567="Adviento","ta", E567="Navidad","tn", E567="Epifania","te", E567="Ordinario","to", E567="Cuaresma","tc", E567="Domingo De Ramos","tc", E567="Semana Santa","ss", E567="Triduo Pascual","tp", E567="Vigilia Pascual","tp", E567="Pascual","tp")</f>
        <v>to</v>
      </c>
      <c r="B567" s="14" t="str">
        <f t="shared" si="75"/>
        <v>/* JULIO        */</v>
      </c>
      <c r="C567" s="15">
        <f t="shared" si="81"/>
        <v>46207</v>
      </c>
      <c r="D567" s="9">
        <f t="shared" si="82"/>
        <v>46207</v>
      </c>
      <c r="E567" t="s">
        <v>47</v>
      </c>
      <c r="F567" t="s">
        <v>43</v>
      </c>
      <c r="G567">
        <f t="shared" si="80"/>
        <v>13</v>
      </c>
      <c r="I567" s="11">
        <f t="shared" si="83"/>
        <v>46207</v>
      </c>
      <c r="J567" t="s">
        <v>44</v>
      </c>
      <c r="K567" t="str">
        <f t="shared" si="84"/>
        <v>/* JULIO        */ { nombre: "Ordinario, Semana XIII, SÁBADO", archivo: "/ev/to/13/sábado.mp3", fecha: `${year}-07-04` },</v>
      </c>
      <c r="L567" s="10">
        <f t="shared" si="85"/>
        <v>46207</v>
      </c>
    </row>
    <row r="568" spans="1:12" x14ac:dyDescent="0.25">
      <c r="A568" t="str" cm="1">
        <f t="array" ref="A568">_xlfn.IFS(E568="Adviento","ta", E568="Navidad","tn", E568="Epifania","te", E568="Ordinario","to", E568="Cuaresma","tc", E568="Domingo De Ramos","tc", E568="Semana Santa","ss", E568="Triduo Pascual","tp", E568="Vigilia Pascual","tp", E568="Pascual","tp")</f>
        <v>to</v>
      </c>
      <c r="B568" s="14" t="str">
        <f t="shared" si="75"/>
        <v>/* JULIO        */</v>
      </c>
      <c r="C568" s="15">
        <f t="shared" si="81"/>
        <v>46208</v>
      </c>
      <c r="D568" s="9">
        <f t="shared" si="82"/>
        <v>46208</v>
      </c>
      <c r="E568" t="s">
        <v>47</v>
      </c>
      <c r="F568" t="s">
        <v>43</v>
      </c>
      <c r="G568">
        <f>+G567+1</f>
        <v>14</v>
      </c>
      <c r="I568" s="11">
        <f t="shared" si="83"/>
        <v>46208</v>
      </c>
      <c r="J568" t="s">
        <v>44</v>
      </c>
      <c r="K568" t="str">
        <f t="shared" si="84"/>
        <v>/* JULIO        */ { nombre: "Ordinario, Semana XIV, DOMINGO", archivo: "/ev/to/14/domingo.mp3", fecha: `${year}-07-05` },</v>
      </c>
      <c r="L568" s="10">
        <f t="shared" si="85"/>
        <v>46208</v>
      </c>
    </row>
    <row r="569" spans="1:12" x14ac:dyDescent="0.25">
      <c r="A569" t="str" cm="1">
        <f t="array" ref="A569">_xlfn.IFS(E569="Adviento","ta", E569="Navidad","tn", E569="Epifania","te", E569="Ordinario","to", E569="Cuaresma","tc", E569="Domingo De Ramos","tc", E569="Semana Santa","ss", E569="Triduo Pascual","tp", E569="Vigilia Pascual","tp", E569="Pascual","tp")</f>
        <v>to</v>
      </c>
      <c r="B569" s="14" t="str">
        <f t="shared" si="75"/>
        <v>/* JULIO        */</v>
      </c>
      <c r="C569" s="15">
        <f t="shared" si="81"/>
        <v>46209</v>
      </c>
      <c r="D569" s="9">
        <f t="shared" si="82"/>
        <v>46209</v>
      </c>
      <c r="E569" t="s">
        <v>47</v>
      </c>
      <c r="F569" t="s">
        <v>43</v>
      </c>
      <c r="G569">
        <f>G568</f>
        <v>14</v>
      </c>
      <c r="I569" s="11">
        <f t="shared" si="83"/>
        <v>46209</v>
      </c>
      <c r="J569" t="s">
        <v>44</v>
      </c>
      <c r="K569" t="str">
        <f t="shared" si="84"/>
        <v>/* JULIO        */ { nombre: "Ordinario, Semana XIV, LUNES", archivo: "/ev/to/14/lunes.mp3", fecha: `${year}-07-06` },</v>
      </c>
      <c r="L569" s="10">
        <f t="shared" si="85"/>
        <v>46209</v>
      </c>
    </row>
    <row r="570" spans="1:12" x14ac:dyDescent="0.25">
      <c r="A570" t="str" cm="1">
        <f t="array" ref="A570">_xlfn.IFS(E570="Adviento","ta", E570="Navidad","tn", E570="Epifania","te", E570="Ordinario","to", E570="Cuaresma","tc", E570="Domingo De Ramos","tc", E570="Semana Santa","ss", E570="Triduo Pascual","tp", E570="Vigilia Pascual","tp", E570="Pascual","tp")</f>
        <v>to</v>
      </c>
      <c r="B570" s="14" t="str">
        <f t="shared" si="75"/>
        <v>/* JULIO        */</v>
      </c>
      <c r="C570" s="15">
        <f t="shared" si="81"/>
        <v>46210</v>
      </c>
      <c r="D570" s="9">
        <f t="shared" si="82"/>
        <v>46210</v>
      </c>
      <c r="E570" t="s">
        <v>47</v>
      </c>
      <c r="F570" t="s">
        <v>43</v>
      </c>
      <c r="G570">
        <f t="shared" ref="G570:G574" si="86">G569</f>
        <v>14</v>
      </c>
      <c r="I570" s="11">
        <f t="shared" si="83"/>
        <v>46210</v>
      </c>
      <c r="J570" t="s">
        <v>44</v>
      </c>
      <c r="K570" t="str">
        <f t="shared" si="84"/>
        <v>/* JULIO        */ { nombre: "Ordinario, Semana XIV, MARTES", archivo: "/ev/to/14/martes.mp3", fecha: `${year}-07-07` },</v>
      </c>
      <c r="L570" s="10">
        <f t="shared" si="85"/>
        <v>46210</v>
      </c>
    </row>
    <row r="571" spans="1:12" x14ac:dyDescent="0.25">
      <c r="A571" t="str" cm="1">
        <f t="array" ref="A571">_xlfn.IFS(E571="Adviento","ta", E571="Navidad","tn", E571="Epifania","te", E571="Ordinario","to", E571="Cuaresma","tc", E571="Domingo De Ramos","tc", E571="Semana Santa","ss", E571="Triduo Pascual","tp", E571="Vigilia Pascual","tp", E571="Pascual","tp")</f>
        <v>to</v>
      </c>
      <c r="B571" s="14" t="str">
        <f t="shared" si="75"/>
        <v>/* JULIO        */</v>
      </c>
      <c r="C571" s="15">
        <f t="shared" si="81"/>
        <v>46211</v>
      </c>
      <c r="D571" s="9">
        <f t="shared" si="82"/>
        <v>46211</v>
      </c>
      <c r="E571" t="s">
        <v>47</v>
      </c>
      <c r="F571" t="s">
        <v>43</v>
      </c>
      <c r="G571">
        <f t="shared" si="86"/>
        <v>14</v>
      </c>
      <c r="I571" s="11">
        <f t="shared" si="83"/>
        <v>46211</v>
      </c>
      <c r="J571" t="s">
        <v>44</v>
      </c>
      <c r="K571" t="str">
        <f t="shared" si="84"/>
        <v>/* JULIO        */ { nombre: "Ordinario, Semana XIV, MIÉRCOLES", archivo: "/ev/to/14/miércoles.mp3", fecha: `${year}-07-08` },</v>
      </c>
      <c r="L571" s="10">
        <f t="shared" si="85"/>
        <v>46211</v>
      </c>
    </row>
    <row r="572" spans="1:12" x14ac:dyDescent="0.25">
      <c r="A572" t="str" cm="1">
        <f t="array" ref="A572">_xlfn.IFS(E572="Adviento","ta", E572="Navidad","tn", E572="Epifania","te", E572="Ordinario","to", E572="Cuaresma","tc", E572="Domingo De Ramos","tc", E572="Semana Santa","ss", E572="Triduo Pascual","tp", E572="Vigilia Pascual","tp", E572="Pascual","tp")</f>
        <v>to</v>
      </c>
      <c r="B572" s="14" t="str">
        <f t="shared" si="75"/>
        <v>/* JULIO        */</v>
      </c>
      <c r="C572" s="15">
        <f t="shared" si="81"/>
        <v>46212</v>
      </c>
      <c r="D572" s="9">
        <f t="shared" si="82"/>
        <v>46212</v>
      </c>
      <c r="E572" t="s">
        <v>47</v>
      </c>
      <c r="F572" t="s">
        <v>43</v>
      </c>
      <c r="G572">
        <f t="shared" si="86"/>
        <v>14</v>
      </c>
      <c r="I572" s="11">
        <f t="shared" si="83"/>
        <v>46212</v>
      </c>
      <c r="J572" t="s">
        <v>44</v>
      </c>
      <c r="K572" t="str">
        <f t="shared" si="84"/>
        <v>/* JULIO        */ { nombre: "Ordinario, Semana XIV, JUEVES", archivo: "/ev/to/14/jueves.mp3", fecha: `${year}-07-09` },</v>
      </c>
      <c r="L572" s="10">
        <f t="shared" si="85"/>
        <v>46212</v>
      </c>
    </row>
    <row r="573" spans="1:12" x14ac:dyDescent="0.25">
      <c r="A573" t="str" cm="1">
        <f t="array" ref="A573">_xlfn.IFS(E573="Adviento","ta", E573="Navidad","tn", E573="Epifania","te", E573="Ordinario","to", E573="Cuaresma","tc", E573="Domingo De Ramos","tc", E573="Semana Santa","ss", E573="Triduo Pascual","tp", E573="Vigilia Pascual","tp", E573="Pascual","tp")</f>
        <v>to</v>
      </c>
      <c r="B573" s="14" t="str">
        <f t="shared" si="75"/>
        <v>/* JULIO        */</v>
      </c>
      <c r="C573" s="15">
        <f t="shared" si="81"/>
        <v>46213</v>
      </c>
      <c r="D573" s="9">
        <f t="shared" si="82"/>
        <v>46213</v>
      </c>
      <c r="E573" t="s">
        <v>47</v>
      </c>
      <c r="F573" t="s">
        <v>43</v>
      </c>
      <c r="G573">
        <f t="shared" si="86"/>
        <v>14</v>
      </c>
      <c r="I573" s="11">
        <f t="shared" si="83"/>
        <v>46213</v>
      </c>
      <c r="J573" t="s">
        <v>44</v>
      </c>
      <c r="K573" t="str">
        <f t="shared" si="84"/>
        <v>/* JULIO        */ { nombre: "Ordinario, Semana XIV, VIERNES", archivo: "/ev/to/14/viernes.mp3", fecha: `${year}-07-10` },</v>
      </c>
      <c r="L573" s="10">
        <f t="shared" si="85"/>
        <v>46213</v>
      </c>
    </row>
    <row r="574" spans="1:12" x14ac:dyDescent="0.25">
      <c r="A574" t="str" cm="1">
        <f t="array" ref="A574">_xlfn.IFS(E574="Adviento","ta", E574="Navidad","tn", E574="Epifania","te", E574="Ordinario","to", E574="Cuaresma","tc", E574="Domingo De Ramos","tc", E574="Semana Santa","ss", E574="Triduo Pascual","tp", E574="Vigilia Pascual","tp", E574="Pascual","tp")</f>
        <v>to</v>
      </c>
      <c r="B574" s="14" t="str">
        <f t="shared" si="75"/>
        <v>/* JULIO        */</v>
      </c>
      <c r="C574" s="15">
        <f t="shared" si="81"/>
        <v>46214</v>
      </c>
      <c r="D574" s="9">
        <f t="shared" si="82"/>
        <v>46214</v>
      </c>
      <c r="E574" t="s">
        <v>47</v>
      </c>
      <c r="F574" t="s">
        <v>43</v>
      </c>
      <c r="G574">
        <f t="shared" si="86"/>
        <v>14</v>
      </c>
      <c r="I574" s="11">
        <f t="shared" si="83"/>
        <v>46214</v>
      </c>
      <c r="J574" t="s">
        <v>44</v>
      </c>
      <c r="K574" t="str">
        <f t="shared" si="84"/>
        <v>/* JULIO        */ { nombre: "Ordinario, Semana XIV, SÁBADO", archivo: "/ev/to/14/sábado.mp3", fecha: `${year}-07-11` },</v>
      </c>
      <c r="L574" s="10">
        <f t="shared" si="85"/>
        <v>46214</v>
      </c>
    </row>
    <row r="575" spans="1:12" x14ac:dyDescent="0.25">
      <c r="A575" t="str" cm="1">
        <f t="array" ref="A575">_xlfn.IFS(E575="Adviento","ta", E575="Navidad","tn", E575="Epifania","te", E575="Ordinario","to", E575="Cuaresma","tc", E575="Domingo De Ramos","tc", E575="Semana Santa","ss", E575="Triduo Pascual","tp", E575="Vigilia Pascual","tp", E575="Pascual","tp")</f>
        <v>to</v>
      </c>
      <c r="B575" s="14" t="str">
        <f t="shared" si="75"/>
        <v>/* JULIO        */</v>
      </c>
      <c r="C575" s="15">
        <f t="shared" si="81"/>
        <v>46215</v>
      </c>
      <c r="D575" s="9">
        <f t="shared" si="82"/>
        <v>46215</v>
      </c>
      <c r="E575" t="s">
        <v>47</v>
      </c>
      <c r="F575" t="s">
        <v>43</v>
      </c>
      <c r="G575">
        <f>+G574+1</f>
        <v>15</v>
      </c>
      <c r="I575" s="11">
        <f t="shared" si="83"/>
        <v>46215</v>
      </c>
      <c r="J575" t="s">
        <v>44</v>
      </c>
      <c r="K575" t="str">
        <f t="shared" si="84"/>
        <v>/* JULIO        */ { nombre: "Ordinario, Semana XV, DOMINGO", archivo: "/ev/to/15/domingo.mp3", fecha: `${year}-07-12` },</v>
      </c>
      <c r="L575" s="10">
        <f t="shared" si="85"/>
        <v>46215</v>
      </c>
    </row>
    <row r="576" spans="1:12" x14ac:dyDescent="0.25">
      <c r="A576" t="str" cm="1">
        <f t="array" ref="A576">_xlfn.IFS(E576="Adviento","ta", E576="Navidad","tn", E576="Epifania","te", E576="Ordinario","to", E576="Cuaresma","tc", E576="Domingo De Ramos","tc", E576="Semana Santa","ss", E576="Triduo Pascual","tp", E576="Vigilia Pascual","tp", E576="Pascual","tp")</f>
        <v>to</v>
      </c>
      <c r="B576" s="14" t="str">
        <f t="shared" si="75"/>
        <v>/* JULIO        */</v>
      </c>
      <c r="C576" s="15">
        <f t="shared" si="81"/>
        <v>46216</v>
      </c>
      <c r="D576" s="9">
        <f t="shared" si="82"/>
        <v>46216</v>
      </c>
      <c r="E576" t="s">
        <v>47</v>
      </c>
      <c r="F576" t="s">
        <v>43</v>
      </c>
      <c r="G576">
        <f>G575</f>
        <v>15</v>
      </c>
      <c r="I576" s="11">
        <f t="shared" si="83"/>
        <v>46216</v>
      </c>
      <c r="J576" t="s">
        <v>44</v>
      </c>
      <c r="K576" t="str">
        <f t="shared" si="84"/>
        <v>/* JULIO        */ { nombre: "Ordinario, Semana XV, LUNES", archivo: "/ev/to/15/lunes.mp3", fecha: `${year}-07-13` },</v>
      </c>
      <c r="L576" s="10">
        <f t="shared" si="85"/>
        <v>46216</v>
      </c>
    </row>
    <row r="577" spans="1:12" x14ac:dyDescent="0.25">
      <c r="A577" t="str" cm="1">
        <f t="array" ref="A577">_xlfn.IFS(E577="Adviento","ta", E577="Navidad","tn", E577="Epifania","te", E577="Ordinario","to", E577="Cuaresma","tc", E577="Domingo De Ramos","tc", E577="Semana Santa","ss", E577="Triduo Pascual","tp", E577="Vigilia Pascual","tp", E577="Pascual","tp")</f>
        <v>to</v>
      </c>
      <c r="B577" s="14" t="str">
        <f t="shared" si="75"/>
        <v>/* JULIO        */</v>
      </c>
      <c r="C577" s="15">
        <f t="shared" si="81"/>
        <v>46217</v>
      </c>
      <c r="D577" s="9">
        <f t="shared" si="82"/>
        <v>46217</v>
      </c>
      <c r="E577" t="s">
        <v>47</v>
      </c>
      <c r="F577" t="s">
        <v>43</v>
      </c>
      <c r="G577">
        <f t="shared" ref="G577:G581" si="87">G576</f>
        <v>15</v>
      </c>
      <c r="I577" s="11">
        <f t="shared" si="83"/>
        <v>46217</v>
      </c>
      <c r="J577" t="s">
        <v>44</v>
      </c>
      <c r="K577" t="str">
        <f t="shared" si="84"/>
        <v>/* JULIO        */ { nombre: "Ordinario, Semana XV, MARTES", archivo: "/ev/to/15/martes.mp3", fecha: `${year}-07-14` },</v>
      </c>
      <c r="L577" s="10">
        <f t="shared" si="85"/>
        <v>46217</v>
      </c>
    </row>
    <row r="578" spans="1:12" x14ac:dyDescent="0.25">
      <c r="A578" t="str" cm="1">
        <f t="array" ref="A578">_xlfn.IFS(E578="Adviento","ta", E578="Navidad","tn", E578="Epifania","te", E578="Ordinario","to", E578="Cuaresma","tc", E578="Domingo De Ramos","tc", E578="Semana Santa","ss", E578="Triduo Pascual","tp", E578="Vigilia Pascual","tp", E578="Pascual","tp")</f>
        <v>to</v>
      </c>
      <c r="B578" s="14" t="str">
        <f t="shared" si="75"/>
        <v>/* JULIO        */</v>
      </c>
      <c r="C578" s="15">
        <f t="shared" si="81"/>
        <v>46218</v>
      </c>
      <c r="D578" s="9">
        <f t="shared" si="82"/>
        <v>46218</v>
      </c>
      <c r="E578" t="s">
        <v>47</v>
      </c>
      <c r="F578" t="s">
        <v>43</v>
      </c>
      <c r="G578">
        <f t="shared" si="87"/>
        <v>15</v>
      </c>
      <c r="I578" s="11">
        <f t="shared" si="83"/>
        <v>46218</v>
      </c>
      <c r="J578" t="s">
        <v>44</v>
      </c>
      <c r="K578" t="str">
        <f t="shared" si="84"/>
        <v>/* JULIO        */ { nombre: "Ordinario, Semana XV, MIÉRCOLES", archivo: "/ev/to/15/miércoles.mp3", fecha: `${year}-07-15` },</v>
      </c>
      <c r="L578" s="10">
        <f t="shared" si="85"/>
        <v>46218</v>
      </c>
    </row>
    <row r="579" spans="1:12" x14ac:dyDescent="0.25">
      <c r="A579" t="str" cm="1">
        <f t="array" ref="A579">_xlfn.IFS(E579="Adviento","ta", E579="Navidad","tn", E579="Epifania","te", E579="Ordinario","to", E579="Cuaresma","tc", E579="Domingo De Ramos","tc", E579="Semana Santa","ss", E579="Triduo Pascual","tp", E579="Vigilia Pascual","tp", E579="Pascual","tp")</f>
        <v>to</v>
      </c>
      <c r="B579" s="14" t="str">
        <f t="shared" si="75"/>
        <v>/* JULIO        */</v>
      </c>
      <c r="C579" s="15">
        <f t="shared" si="81"/>
        <v>46219</v>
      </c>
      <c r="D579" s="9">
        <f t="shared" si="82"/>
        <v>46219</v>
      </c>
      <c r="E579" t="s">
        <v>47</v>
      </c>
      <c r="F579" t="s">
        <v>43</v>
      </c>
      <c r="G579">
        <f t="shared" si="87"/>
        <v>15</v>
      </c>
      <c r="I579" s="11">
        <f t="shared" si="83"/>
        <v>46219</v>
      </c>
      <c r="J579" t="s">
        <v>44</v>
      </c>
      <c r="K579" t="str">
        <f t="shared" si="84"/>
        <v>/* JULIO        */ { nombre: "Ordinario, Semana XV, JUEVES", archivo: "/ev/to/15/jueves.mp3", fecha: `${year}-07-16` },</v>
      </c>
      <c r="L579" s="10">
        <f t="shared" si="85"/>
        <v>46219</v>
      </c>
    </row>
    <row r="580" spans="1:12" x14ac:dyDescent="0.25">
      <c r="A580" t="str" cm="1">
        <f t="array" ref="A580">_xlfn.IFS(E580="Adviento","ta", E580="Navidad","tn", E580="Epifania","te", E580="Ordinario","to", E580="Cuaresma","tc", E580="Domingo De Ramos","tc", E580="Semana Santa","ss", E580="Triduo Pascual","tp", E580="Vigilia Pascual","tp", E580="Pascual","tp")</f>
        <v>to</v>
      </c>
      <c r="B580" s="14" t="str">
        <f t="shared" si="75"/>
        <v>/* JULIO        */</v>
      </c>
      <c r="C580" s="15">
        <f t="shared" si="81"/>
        <v>46220</v>
      </c>
      <c r="D580" s="9">
        <f t="shared" si="82"/>
        <v>46220</v>
      </c>
      <c r="E580" t="s">
        <v>47</v>
      </c>
      <c r="F580" t="s">
        <v>43</v>
      </c>
      <c r="G580">
        <f t="shared" si="87"/>
        <v>15</v>
      </c>
      <c r="I580" s="11">
        <f t="shared" si="83"/>
        <v>46220</v>
      </c>
      <c r="J580" t="s">
        <v>44</v>
      </c>
      <c r="K580" t="str">
        <f t="shared" si="84"/>
        <v>/* JULIO        */ { nombre: "Ordinario, Semana XV, VIERNES", archivo: "/ev/to/15/viernes.mp3", fecha: `${year}-07-17` },</v>
      </c>
      <c r="L580" s="10">
        <f t="shared" si="85"/>
        <v>46220</v>
      </c>
    </row>
    <row r="581" spans="1:12" x14ac:dyDescent="0.25">
      <c r="A581" t="str" cm="1">
        <f t="array" ref="A581">_xlfn.IFS(E581="Adviento","ta", E581="Navidad","tn", E581="Epifania","te", E581="Ordinario","to", E581="Cuaresma","tc", E581="Domingo De Ramos","tc", E581="Semana Santa","ss", E581="Triduo Pascual","tp", E581="Vigilia Pascual","tp", E581="Pascual","tp")</f>
        <v>to</v>
      </c>
      <c r="B581" s="14" t="str">
        <f t="shared" si="75"/>
        <v>/* JULIO        */</v>
      </c>
      <c r="C581" s="15">
        <f t="shared" si="81"/>
        <v>46221</v>
      </c>
      <c r="D581" s="9">
        <f t="shared" si="82"/>
        <v>46221</v>
      </c>
      <c r="E581" t="s">
        <v>47</v>
      </c>
      <c r="F581" t="s">
        <v>43</v>
      </c>
      <c r="G581">
        <f t="shared" si="87"/>
        <v>15</v>
      </c>
      <c r="I581" s="11">
        <f t="shared" si="83"/>
        <v>46221</v>
      </c>
      <c r="J581" t="s">
        <v>44</v>
      </c>
      <c r="K581" t="str">
        <f t="shared" si="84"/>
        <v>/* JULIO        */ { nombre: "Ordinario, Semana XV, SÁBADO", archivo: "/ev/to/15/sábado.mp3", fecha: `${year}-07-18` },</v>
      </c>
      <c r="L581" s="10">
        <f t="shared" si="85"/>
        <v>46221</v>
      </c>
    </row>
    <row r="582" spans="1:12" x14ac:dyDescent="0.25">
      <c r="A582" t="str" cm="1">
        <f t="array" ref="A582">_xlfn.IFS(E582="Adviento","ta", E582="Navidad","tn", E582="Epifania","te", E582="Ordinario","to", E582="Cuaresma","tc", E582="Domingo De Ramos","tc", E582="Semana Santa","ss", E582="Triduo Pascual","tp", E582="Vigilia Pascual","tp", E582="Pascual","tp")</f>
        <v>to</v>
      </c>
      <c r="B582" s="14" t="str">
        <f t="shared" si="75"/>
        <v>/* JULIO        */</v>
      </c>
      <c r="C582" s="15">
        <f t="shared" si="81"/>
        <v>46222</v>
      </c>
      <c r="D582" s="9">
        <f t="shared" si="82"/>
        <v>46222</v>
      </c>
      <c r="E582" t="s">
        <v>47</v>
      </c>
      <c r="F582" t="s">
        <v>43</v>
      </c>
      <c r="G582">
        <f>+G581+1</f>
        <v>16</v>
      </c>
      <c r="I582" s="11">
        <f t="shared" si="83"/>
        <v>46222</v>
      </c>
      <c r="J582" t="s">
        <v>44</v>
      </c>
      <c r="K582" t="str">
        <f t="shared" si="84"/>
        <v>/* JULIO        */ { nombre: "Ordinario, Semana XVI, DOMINGO", archivo: "/ev/to/16/domingo.mp3", fecha: `${year}-07-19` },</v>
      </c>
      <c r="L582" s="10">
        <f t="shared" si="85"/>
        <v>46222</v>
      </c>
    </row>
    <row r="583" spans="1:12" x14ac:dyDescent="0.25">
      <c r="A583" t="str" cm="1">
        <f t="array" ref="A583">_xlfn.IFS(E583="Adviento","ta", E583="Navidad","tn", E583="Epifania","te", E583="Ordinario","to", E583="Cuaresma","tc", E583="Domingo De Ramos","tc", E583="Semana Santa","ss", E583="Triduo Pascual","tp", E583="Vigilia Pascual","tp", E583="Pascual","tp")</f>
        <v>to</v>
      </c>
      <c r="B583" s="14" t="str">
        <f t="shared" si="75"/>
        <v>/* JULIO        */</v>
      </c>
      <c r="C583" s="15">
        <f t="shared" si="81"/>
        <v>46223</v>
      </c>
      <c r="D583" s="9">
        <f t="shared" si="82"/>
        <v>46223</v>
      </c>
      <c r="E583" t="s">
        <v>47</v>
      </c>
      <c r="F583" t="s">
        <v>43</v>
      </c>
      <c r="G583">
        <f>G582</f>
        <v>16</v>
      </c>
      <c r="I583" s="11">
        <f t="shared" si="83"/>
        <v>46223</v>
      </c>
      <c r="J583" t="s">
        <v>44</v>
      </c>
      <c r="K583" t="str">
        <f t="shared" si="84"/>
        <v>/* JULIO        */ { nombre: "Ordinario, Semana XVI, LUNES", archivo: "/ev/to/16/lunes.mp3", fecha: `${year}-07-20` },</v>
      </c>
      <c r="L583" s="10">
        <f t="shared" si="85"/>
        <v>46223</v>
      </c>
    </row>
    <row r="584" spans="1:12" x14ac:dyDescent="0.25">
      <c r="A584" t="str" cm="1">
        <f t="array" ref="A584">_xlfn.IFS(E584="Adviento","ta", E584="Navidad","tn", E584="Epifania","te", E584="Ordinario","to", E584="Cuaresma","tc", E584="Domingo De Ramos","tc", E584="Semana Santa","ss", E584="Triduo Pascual","tp", E584="Vigilia Pascual","tp", E584="Pascual","tp")</f>
        <v>to</v>
      </c>
      <c r="B584" s="14" t="str">
        <f t="shared" si="75"/>
        <v>/* JULIO        */</v>
      </c>
      <c r="C584" s="15">
        <f t="shared" si="81"/>
        <v>46224</v>
      </c>
      <c r="D584" s="9">
        <f t="shared" si="82"/>
        <v>46224</v>
      </c>
      <c r="E584" t="s">
        <v>47</v>
      </c>
      <c r="F584" t="s">
        <v>43</v>
      </c>
      <c r="G584">
        <f t="shared" ref="G584:G588" si="88">G583</f>
        <v>16</v>
      </c>
      <c r="I584" s="11">
        <f t="shared" si="83"/>
        <v>46224</v>
      </c>
      <c r="J584" t="s">
        <v>44</v>
      </c>
      <c r="K584" t="str">
        <f t="shared" si="84"/>
        <v>/* JULIO        */ { nombre: "Ordinario, Semana XVI, MARTES", archivo: "/ev/to/16/martes.mp3", fecha: `${year}-07-21` },</v>
      </c>
      <c r="L584" s="10">
        <f t="shared" si="85"/>
        <v>46224</v>
      </c>
    </row>
    <row r="585" spans="1:12" x14ac:dyDescent="0.25">
      <c r="A585" t="str" cm="1">
        <f t="array" ref="A585">_xlfn.IFS(E585="Adviento","ta", E585="Navidad","tn", E585="Epifania","te", E585="Ordinario","to", E585="Cuaresma","tc", E585="Domingo De Ramos","tc", E585="Semana Santa","ss", E585="Triduo Pascual","tp", E585="Vigilia Pascual","tp", E585="Pascual","tp")</f>
        <v>to</v>
      </c>
      <c r="B585" s="14" t="str">
        <f t="shared" si="75"/>
        <v>/* JULIO        */</v>
      </c>
      <c r="C585" s="15">
        <f t="shared" si="81"/>
        <v>46225</v>
      </c>
      <c r="D585" s="9">
        <f t="shared" si="82"/>
        <v>46225</v>
      </c>
      <c r="E585" t="s">
        <v>47</v>
      </c>
      <c r="F585" t="s">
        <v>43</v>
      </c>
      <c r="G585">
        <f t="shared" si="88"/>
        <v>16</v>
      </c>
      <c r="I585" s="11">
        <f t="shared" si="83"/>
        <v>46225</v>
      </c>
      <c r="J585" t="s">
        <v>44</v>
      </c>
      <c r="K585" t="str">
        <f t="shared" si="84"/>
        <v>/* JULIO        */ { nombre: "Ordinario, Semana XVI, MIÉRCOLES", archivo: "/ev/to/16/miércoles.mp3", fecha: `${year}-07-22` },</v>
      </c>
      <c r="L585" s="10">
        <f t="shared" si="85"/>
        <v>46225</v>
      </c>
    </row>
    <row r="586" spans="1:12" x14ac:dyDescent="0.25">
      <c r="A586" t="str" cm="1">
        <f t="array" ref="A586">_xlfn.IFS(E586="Adviento","ta", E586="Navidad","tn", E586="Epifania","te", E586="Ordinario","to", E586="Cuaresma","tc", E586="Domingo De Ramos","tc", E586="Semana Santa","ss", E586="Triduo Pascual","tp", E586="Vigilia Pascual","tp", E586="Pascual","tp")</f>
        <v>to</v>
      </c>
      <c r="B586" s="14" t="str">
        <f t="shared" si="75"/>
        <v>/* JULIO        */</v>
      </c>
      <c r="C586" s="15">
        <f t="shared" si="81"/>
        <v>46226</v>
      </c>
      <c r="D586" s="9">
        <f t="shared" si="82"/>
        <v>46226</v>
      </c>
      <c r="E586" t="s">
        <v>47</v>
      </c>
      <c r="F586" t="s">
        <v>43</v>
      </c>
      <c r="G586">
        <f t="shared" si="88"/>
        <v>16</v>
      </c>
      <c r="I586" s="11">
        <f t="shared" si="83"/>
        <v>46226</v>
      </c>
      <c r="J586" t="s">
        <v>44</v>
      </c>
      <c r="K586" t="str">
        <f t="shared" si="84"/>
        <v>/* JULIO        */ { nombre: "Ordinario, Semana XVI, JUEVES", archivo: "/ev/to/16/jueves.mp3", fecha: `${year}-07-23` },</v>
      </c>
      <c r="L586" s="10">
        <f t="shared" si="85"/>
        <v>46226</v>
      </c>
    </row>
    <row r="587" spans="1:12" x14ac:dyDescent="0.25">
      <c r="A587" t="str" cm="1">
        <f t="array" ref="A587">_xlfn.IFS(E587="Adviento","ta", E587="Navidad","tn", E587="Epifania","te", E587="Ordinario","to", E587="Cuaresma","tc", E587="Domingo De Ramos","tc", E587="Semana Santa","ss", E587="Triduo Pascual","tp", E587="Vigilia Pascual","tp", E587="Pascual","tp")</f>
        <v>to</v>
      </c>
      <c r="B587" s="14" t="str">
        <f t="shared" si="75"/>
        <v>/* JULIO        */</v>
      </c>
      <c r="C587" s="15">
        <f t="shared" si="81"/>
        <v>46227</v>
      </c>
      <c r="D587" s="9">
        <f t="shared" si="82"/>
        <v>46227</v>
      </c>
      <c r="E587" t="s">
        <v>47</v>
      </c>
      <c r="F587" t="s">
        <v>43</v>
      </c>
      <c r="G587">
        <f t="shared" si="88"/>
        <v>16</v>
      </c>
      <c r="I587" s="11">
        <f t="shared" si="83"/>
        <v>46227</v>
      </c>
      <c r="J587" t="s">
        <v>44</v>
      </c>
      <c r="K587" t="str">
        <f t="shared" si="84"/>
        <v>/* JULIO        */ { nombre: "Ordinario, Semana XVI, VIERNES", archivo: "/ev/to/16/viernes.mp3", fecha: `${year}-07-24` },</v>
      </c>
      <c r="L587" s="10">
        <f t="shared" si="85"/>
        <v>46227</v>
      </c>
    </row>
    <row r="588" spans="1:12" x14ac:dyDescent="0.25">
      <c r="A588" t="str" cm="1">
        <f t="array" ref="A588">_xlfn.IFS(E588="Adviento","ta", E588="Navidad","tn", E588="Epifania","te", E588="Ordinario","to", E588="Cuaresma","tc", E588="Domingo De Ramos","tc", E588="Semana Santa","ss", E588="Triduo Pascual","tp", E588="Vigilia Pascual","tp", E588="Pascual","tp")</f>
        <v>to</v>
      </c>
      <c r="B588" s="14" t="str">
        <f t="shared" si="75"/>
        <v>/* JULIO        */</v>
      </c>
      <c r="C588" s="15">
        <f t="shared" si="81"/>
        <v>46228</v>
      </c>
      <c r="D588" s="9">
        <f t="shared" si="82"/>
        <v>46228</v>
      </c>
      <c r="E588" t="s">
        <v>47</v>
      </c>
      <c r="F588" t="s">
        <v>43</v>
      </c>
      <c r="G588">
        <f t="shared" si="88"/>
        <v>16</v>
      </c>
      <c r="I588" s="11">
        <f t="shared" si="83"/>
        <v>46228</v>
      </c>
      <c r="J588" t="s">
        <v>44</v>
      </c>
      <c r="K588" t="str">
        <f t="shared" si="84"/>
        <v>/* JULIO        */ { nombre: "Ordinario, Semana XVI, SÁBADO", archivo: "/ev/to/16/sábado.mp3", fecha: `${year}-07-25` },</v>
      </c>
      <c r="L588" s="10">
        <f t="shared" si="85"/>
        <v>46228</v>
      </c>
    </row>
    <row r="589" spans="1:12" x14ac:dyDescent="0.25">
      <c r="A589" t="str" cm="1">
        <f t="array" ref="A589">_xlfn.IFS(E589="Adviento","ta", E589="Navidad","tn", E589="Epifania","te", E589="Ordinario","to", E589="Cuaresma","tc", E589="Domingo De Ramos","tc", E589="Semana Santa","ss", E589="Triduo Pascual","tp", E589="Vigilia Pascual","tp", E589="Pascual","tp")</f>
        <v>to</v>
      </c>
      <c r="B589" s="14" t="str">
        <f t="shared" si="75"/>
        <v>/* JULIO        */</v>
      </c>
      <c r="C589" s="15">
        <f t="shared" si="81"/>
        <v>46229</v>
      </c>
      <c r="D589" s="9">
        <f t="shared" si="82"/>
        <v>46229</v>
      </c>
      <c r="E589" t="s">
        <v>47</v>
      </c>
      <c r="F589" t="s">
        <v>43</v>
      </c>
      <c r="G589">
        <f>+G588+1</f>
        <v>17</v>
      </c>
      <c r="I589" s="11">
        <f t="shared" si="83"/>
        <v>46229</v>
      </c>
      <c r="J589" t="s">
        <v>44</v>
      </c>
      <c r="K589" t="str">
        <f t="shared" si="84"/>
        <v>/* JULIO        */ { nombre: "Ordinario, Semana XVII, DOMINGO", archivo: "/ev/to/17/domingo.mp3", fecha: `${year}-07-26` },</v>
      </c>
      <c r="L589" s="10">
        <f t="shared" si="85"/>
        <v>46229</v>
      </c>
    </row>
    <row r="590" spans="1:12" x14ac:dyDescent="0.25">
      <c r="A590" t="str" cm="1">
        <f t="array" ref="A590">_xlfn.IFS(E590="Adviento","ta", E590="Navidad","tn", E590="Epifania","te", E590="Ordinario","to", E590="Cuaresma","tc", E590="Domingo De Ramos","tc", E590="Semana Santa","ss", E590="Triduo Pascual","tp", E590="Vigilia Pascual","tp", E590="Pascual","tp")</f>
        <v>to</v>
      </c>
      <c r="B590" s="14" t="str">
        <f t="shared" si="75"/>
        <v>/* JULIO        */</v>
      </c>
      <c r="C590" s="15">
        <f t="shared" si="81"/>
        <v>46230</v>
      </c>
      <c r="D590" s="9">
        <f t="shared" si="82"/>
        <v>46230</v>
      </c>
      <c r="E590" t="s">
        <v>47</v>
      </c>
      <c r="F590" t="s">
        <v>43</v>
      </c>
      <c r="G590">
        <f>G589</f>
        <v>17</v>
      </c>
      <c r="I590" s="11">
        <f t="shared" si="83"/>
        <v>46230</v>
      </c>
      <c r="J590" t="s">
        <v>44</v>
      </c>
      <c r="K590" t="str">
        <f t="shared" si="84"/>
        <v>/* JULIO        */ { nombre: "Ordinario, Semana XVII, LUNES", archivo: "/ev/to/17/lunes.mp3", fecha: `${year}-07-27` },</v>
      </c>
      <c r="L590" s="10">
        <f t="shared" si="85"/>
        <v>46230</v>
      </c>
    </row>
    <row r="591" spans="1:12" x14ac:dyDescent="0.25">
      <c r="A591" t="str" cm="1">
        <f t="array" ref="A591">_xlfn.IFS(E591="Adviento","ta", E591="Navidad","tn", E591="Epifania","te", E591="Ordinario","to", E591="Cuaresma","tc", E591="Domingo De Ramos","tc", E591="Semana Santa","ss", E591="Triduo Pascual","tp", E591="Vigilia Pascual","tp", E591="Pascual","tp")</f>
        <v>to</v>
      </c>
      <c r="B591" s="14" t="str">
        <f t="shared" si="75"/>
        <v>/* JULIO        */</v>
      </c>
      <c r="C591" s="15">
        <f t="shared" si="81"/>
        <v>46231</v>
      </c>
      <c r="D591" s="9">
        <f t="shared" si="82"/>
        <v>46231</v>
      </c>
      <c r="E591" t="s">
        <v>47</v>
      </c>
      <c r="F591" t="s">
        <v>43</v>
      </c>
      <c r="G591">
        <f t="shared" ref="G591:G595" si="89">G590</f>
        <v>17</v>
      </c>
      <c r="I591" s="11">
        <f t="shared" si="83"/>
        <v>46231</v>
      </c>
      <c r="J591" t="s">
        <v>44</v>
      </c>
      <c r="K591" t="str">
        <f t="shared" si="84"/>
        <v>/* JULIO        */ { nombre: "Ordinario, Semana XVII, MARTES", archivo: "/ev/to/17/martes.mp3", fecha: `${year}-07-28` },</v>
      </c>
      <c r="L591" s="10">
        <f t="shared" si="85"/>
        <v>46231</v>
      </c>
    </row>
    <row r="592" spans="1:12" x14ac:dyDescent="0.25">
      <c r="A592" t="str" cm="1">
        <f t="array" ref="A592">_xlfn.IFS(E592="Adviento","ta", E592="Navidad","tn", E592="Epifania","te", E592="Ordinario","to", E592="Cuaresma","tc", E592="Domingo De Ramos","tc", E592="Semana Santa","ss", E592="Triduo Pascual","tp", E592="Vigilia Pascual","tp", E592="Pascual","tp")</f>
        <v>to</v>
      </c>
      <c r="B592" s="14" t="str">
        <f t="shared" si="75"/>
        <v>/* JULIO        */</v>
      </c>
      <c r="C592" s="15">
        <f t="shared" si="81"/>
        <v>46232</v>
      </c>
      <c r="D592" s="9">
        <f t="shared" si="82"/>
        <v>46232</v>
      </c>
      <c r="E592" t="s">
        <v>47</v>
      </c>
      <c r="F592" t="s">
        <v>43</v>
      </c>
      <c r="G592">
        <f t="shared" si="89"/>
        <v>17</v>
      </c>
      <c r="I592" s="11">
        <f t="shared" si="83"/>
        <v>46232</v>
      </c>
      <c r="J592" t="s">
        <v>44</v>
      </c>
      <c r="K592" t="str">
        <f t="shared" si="84"/>
        <v>/* JULIO        */ { nombre: "Ordinario, Semana XVII, MIÉRCOLES", archivo: "/ev/to/17/miércoles.mp3", fecha: `${year}-07-29` },</v>
      </c>
      <c r="L592" s="10">
        <f t="shared" si="85"/>
        <v>46232</v>
      </c>
    </row>
    <row r="593" spans="1:12" x14ac:dyDescent="0.25">
      <c r="A593" t="str" cm="1">
        <f t="array" ref="A593">_xlfn.IFS(E593="Adviento","ta", E593="Navidad","tn", E593="Epifania","te", E593="Ordinario","to", E593="Cuaresma","tc", E593="Domingo De Ramos","tc", E593="Semana Santa","ss", E593="Triduo Pascual","tp", E593="Vigilia Pascual","tp", E593="Pascual","tp")</f>
        <v>to</v>
      </c>
      <c r="B593" s="14" t="str">
        <f t="shared" si="75"/>
        <v>/* JULIO        */</v>
      </c>
      <c r="C593" s="15">
        <f t="shared" si="81"/>
        <v>46233</v>
      </c>
      <c r="D593" s="9">
        <f t="shared" si="82"/>
        <v>46233</v>
      </c>
      <c r="E593" t="s">
        <v>47</v>
      </c>
      <c r="F593" t="s">
        <v>43</v>
      </c>
      <c r="G593">
        <f t="shared" si="89"/>
        <v>17</v>
      </c>
      <c r="I593" s="11">
        <f t="shared" si="83"/>
        <v>46233</v>
      </c>
      <c r="J593" t="s">
        <v>44</v>
      </c>
      <c r="K593" t="str">
        <f t="shared" si="84"/>
        <v>/* JULIO        */ { nombre: "Ordinario, Semana XVII, JUEVES", archivo: "/ev/to/17/jueves.mp3", fecha: `${year}-07-30` },</v>
      </c>
      <c r="L593" s="10">
        <f t="shared" si="85"/>
        <v>46233</v>
      </c>
    </row>
    <row r="594" spans="1:12" x14ac:dyDescent="0.25">
      <c r="A594" t="str" cm="1">
        <f t="array" ref="A594">_xlfn.IFS(E594="Adviento","ta", E594="Navidad","tn", E594="Epifania","te", E594="Ordinario","to", E594="Cuaresma","tc", E594="Domingo De Ramos","tc", E594="Semana Santa","ss", E594="Triduo Pascual","tp", E594="Vigilia Pascual","tp", E594="Pascual","tp")</f>
        <v>to</v>
      </c>
      <c r="B594" s="14" t="str">
        <f t="shared" si="75"/>
        <v>/* JULIO        */</v>
      </c>
      <c r="C594" s="15">
        <f t="shared" si="81"/>
        <v>46234</v>
      </c>
      <c r="D594" s="9">
        <f t="shared" si="82"/>
        <v>46234</v>
      </c>
      <c r="E594" t="s">
        <v>47</v>
      </c>
      <c r="F594" t="s">
        <v>43</v>
      </c>
      <c r="G594">
        <f t="shared" si="89"/>
        <v>17</v>
      </c>
      <c r="I594" s="11">
        <f t="shared" si="83"/>
        <v>46234</v>
      </c>
      <c r="J594" t="s">
        <v>44</v>
      </c>
      <c r="K594" t="str">
        <f t="shared" si="84"/>
        <v>/* JULIO        */ { nombre: "Ordinario, Semana XVII, VIERNES", archivo: "/ev/to/17/viernes.mp3", fecha: `${year}-07-31` },</v>
      </c>
      <c r="L594" s="10">
        <f t="shared" si="85"/>
        <v>46234</v>
      </c>
    </row>
    <row r="595" spans="1:12" x14ac:dyDescent="0.25">
      <c r="A595" t="str" cm="1">
        <f t="array" ref="A595">_xlfn.IFS(E595="Adviento","ta", E595="Navidad","tn", E595="Epifania","te", E595="Ordinario","to", E595="Cuaresma","tc", E595="Domingo De Ramos","tc", E595="Semana Santa","ss", E595="Triduo Pascual","tp", E595="Vigilia Pascual","tp", E595="Pascual","tp")</f>
        <v>to</v>
      </c>
      <c r="B595" s="14" t="str">
        <f t="shared" si="75"/>
        <v>/* AGOSTO        */</v>
      </c>
      <c r="C595" s="15">
        <f t="shared" si="81"/>
        <v>46235</v>
      </c>
      <c r="D595" s="9">
        <f t="shared" si="82"/>
        <v>46235</v>
      </c>
      <c r="E595" t="s">
        <v>47</v>
      </c>
      <c r="F595" t="s">
        <v>43</v>
      </c>
      <c r="G595">
        <f t="shared" si="89"/>
        <v>17</v>
      </c>
      <c r="I595" s="11">
        <f t="shared" si="83"/>
        <v>46235</v>
      </c>
      <c r="J595" t="s">
        <v>44</v>
      </c>
      <c r="K595" t="str">
        <f t="shared" si="84"/>
        <v>/* AGOSTO        */ { nombre: "Ordinario, Semana XVII, SÁBADO", archivo: "/ev/to/17/sábado.mp3", fecha: `${year}-08-01` },</v>
      </c>
      <c r="L595" s="10">
        <f t="shared" si="85"/>
        <v>46235</v>
      </c>
    </row>
    <row r="596" spans="1:12" x14ac:dyDescent="0.25">
      <c r="A596" t="str" cm="1">
        <f t="array" ref="A596">_xlfn.IFS(E596="Adviento","ta", E596="Navidad","tn", E596="Epifania","te", E596="Ordinario","to", E596="Cuaresma","tc", E596="Domingo De Ramos","tc", E596="Semana Santa","ss", E596="Triduo Pascual","tp", E596="Vigilia Pascual","tp", E596="Pascual","tp")</f>
        <v>to</v>
      </c>
      <c r="B596" s="14" t="str">
        <f t="shared" si="75"/>
        <v>/* AGOSTO        */</v>
      </c>
      <c r="C596" s="15">
        <f t="shared" si="81"/>
        <v>46236</v>
      </c>
      <c r="D596" s="9">
        <f t="shared" si="82"/>
        <v>46236</v>
      </c>
      <c r="E596" t="s">
        <v>47</v>
      </c>
      <c r="F596" t="s">
        <v>43</v>
      </c>
      <c r="G596">
        <f>+G595+1</f>
        <v>18</v>
      </c>
      <c r="I596" s="11">
        <f t="shared" si="83"/>
        <v>46236</v>
      </c>
      <c r="J596" t="s">
        <v>44</v>
      </c>
      <c r="K596" t="str">
        <f t="shared" si="84"/>
        <v>/* AGOSTO        */ { nombre: "Ordinario, Semana XVIII, DOMINGO", archivo: "/ev/to/18/domingo.mp3", fecha: `${year}-08-02` },</v>
      </c>
      <c r="L596" s="10">
        <f t="shared" si="85"/>
        <v>46236</v>
      </c>
    </row>
    <row r="597" spans="1:12" x14ac:dyDescent="0.25">
      <c r="A597" t="str" cm="1">
        <f t="array" ref="A597">_xlfn.IFS(E597="Adviento","ta", E597="Navidad","tn", E597="Epifania","te", E597="Ordinario","to", E597="Cuaresma","tc", E597="Domingo De Ramos","tc", E597="Semana Santa","ss", E597="Triduo Pascual","tp", E597="Vigilia Pascual","tp", E597="Pascual","tp")</f>
        <v>to</v>
      </c>
      <c r="B597" s="14" t="str">
        <f t="shared" si="75"/>
        <v>/* AGOSTO        */</v>
      </c>
      <c r="C597" s="15">
        <f t="shared" si="81"/>
        <v>46237</v>
      </c>
      <c r="D597" s="9">
        <f t="shared" si="82"/>
        <v>46237</v>
      </c>
      <c r="E597" t="s">
        <v>47</v>
      </c>
      <c r="F597" t="s">
        <v>43</v>
      </c>
      <c r="G597">
        <f>G596</f>
        <v>18</v>
      </c>
      <c r="I597" s="11">
        <f t="shared" si="83"/>
        <v>46237</v>
      </c>
      <c r="J597" t="s">
        <v>44</v>
      </c>
      <c r="K597" t="str">
        <f t="shared" si="84"/>
        <v>/* AGOSTO        */ { nombre: "Ordinario, Semana XVIII, LUNES", archivo: "/ev/to/18/lunes.mp3", fecha: `${year}-08-03` },</v>
      </c>
      <c r="L597" s="10">
        <f t="shared" si="85"/>
        <v>46237</v>
      </c>
    </row>
    <row r="598" spans="1:12" x14ac:dyDescent="0.25">
      <c r="A598" t="str" cm="1">
        <f t="array" ref="A598">_xlfn.IFS(E598="Adviento","ta", E598="Navidad","tn", E598="Epifania","te", E598="Ordinario","to", E598="Cuaresma","tc", E598="Domingo De Ramos","tc", E598="Semana Santa","ss", E598="Triduo Pascual","tp", E598="Vigilia Pascual","tp", E598="Pascual","tp")</f>
        <v>to</v>
      </c>
      <c r="B598" s="14" t="str">
        <f t="shared" ref="B598:B661" si="90">_xlfn.CONCAT("/* ",UPPER(TEXT(D598,"[$-es-ES]mmmm")),"        */")</f>
        <v>/* AGOSTO        */</v>
      </c>
      <c r="C598" s="15">
        <f t="shared" si="81"/>
        <v>46238</v>
      </c>
      <c r="D598" s="9">
        <f t="shared" si="82"/>
        <v>46238</v>
      </c>
      <c r="E598" t="s">
        <v>47</v>
      </c>
      <c r="F598" t="s">
        <v>43</v>
      </c>
      <c r="G598">
        <f t="shared" ref="G598:G602" si="91">G597</f>
        <v>18</v>
      </c>
      <c r="I598" s="11">
        <f t="shared" si="83"/>
        <v>46238</v>
      </c>
      <c r="J598" t="s">
        <v>44</v>
      </c>
      <c r="K598" t="str">
        <f t="shared" si="84"/>
        <v>/* AGOSTO        */ { nombre: "Ordinario, Semana XVIII, MARTES", archivo: "/ev/to/18/martes.mp3", fecha: `${year}-08-04` },</v>
      </c>
      <c r="L598" s="10">
        <f t="shared" si="85"/>
        <v>46238</v>
      </c>
    </row>
    <row r="599" spans="1:12" x14ac:dyDescent="0.25">
      <c r="A599" t="str" cm="1">
        <f t="array" ref="A599">_xlfn.IFS(E599="Adviento","ta", E599="Navidad","tn", E599="Epifania","te", E599="Ordinario","to", E599="Cuaresma","tc", E599="Domingo De Ramos","tc", E599="Semana Santa","ss", E599="Triduo Pascual","tp", E599="Vigilia Pascual","tp", E599="Pascual","tp")</f>
        <v>to</v>
      </c>
      <c r="B599" s="14" t="str">
        <f t="shared" si="90"/>
        <v>/* AGOSTO        */</v>
      </c>
      <c r="C599" s="15">
        <f t="shared" si="81"/>
        <v>46239</v>
      </c>
      <c r="D599" s="9">
        <f t="shared" si="82"/>
        <v>46239</v>
      </c>
      <c r="E599" t="s">
        <v>47</v>
      </c>
      <c r="F599" t="s">
        <v>43</v>
      </c>
      <c r="G599">
        <f t="shared" si="91"/>
        <v>18</v>
      </c>
      <c r="I599" s="11">
        <f t="shared" si="83"/>
        <v>46239</v>
      </c>
      <c r="J599" t="s">
        <v>44</v>
      </c>
      <c r="K599" t="str">
        <f t="shared" si="84"/>
        <v>/* AGOSTO        */ { nombre: "Ordinario, Semana XVIII, MIÉRCOLES", archivo: "/ev/to/18/miércoles.mp3", fecha: `${year}-08-05` },</v>
      </c>
      <c r="L599" s="10">
        <f t="shared" si="85"/>
        <v>46239</v>
      </c>
    </row>
    <row r="600" spans="1:12" x14ac:dyDescent="0.25">
      <c r="A600" t="str" cm="1">
        <f t="array" ref="A600">_xlfn.IFS(E600="Adviento","ta", E600="Navidad","tn", E600="Epifania","te", E600="Ordinario","to", E600="Cuaresma","tc", E600="Domingo De Ramos","tc", E600="Semana Santa","ss", E600="Triduo Pascual","tp", E600="Vigilia Pascual","tp", E600="Pascual","tp")</f>
        <v>to</v>
      </c>
      <c r="B600" s="14" t="str">
        <f t="shared" si="90"/>
        <v>/* AGOSTO        */</v>
      </c>
      <c r="C600" s="15">
        <f t="shared" si="81"/>
        <v>46240</v>
      </c>
      <c r="D600" s="9">
        <f t="shared" si="82"/>
        <v>46240</v>
      </c>
      <c r="E600" t="s">
        <v>47</v>
      </c>
      <c r="F600" t="s">
        <v>43</v>
      </c>
      <c r="G600">
        <f t="shared" si="91"/>
        <v>18</v>
      </c>
      <c r="I600" s="11">
        <f t="shared" si="83"/>
        <v>46240</v>
      </c>
      <c r="J600" t="s">
        <v>44</v>
      </c>
      <c r="K600" t="str">
        <f t="shared" si="84"/>
        <v>/* AGOSTO        */ { nombre: "Ordinario, Semana XVIII, JUEVES", archivo: "/ev/to/18/jueves.mp3", fecha: `${year}-08-06` },</v>
      </c>
      <c r="L600" s="10">
        <f t="shared" si="85"/>
        <v>46240</v>
      </c>
    </row>
    <row r="601" spans="1:12" x14ac:dyDescent="0.25">
      <c r="A601" t="str" cm="1">
        <f t="array" ref="A601">_xlfn.IFS(E601="Adviento","ta", E601="Navidad","tn", E601="Epifania","te", E601="Ordinario","to", E601="Cuaresma","tc", E601="Domingo De Ramos","tc", E601="Semana Santa","ss", E601="Triduo Pascual","tp", E601="Vigilia Pascual","tp", E601="Pascual","tp")</f>
        <v>to</v>
      </c>
      <c r="B601" s="14" t="str">
        <f t="shared" si="90"/>
        <v>/* AGOSTO        */</v>
      </c>
      <c r="C601" s="15">
        <f t="shared" si="81"/>
        <v>46241</v>
      </c>
      <c r="D601" s="9">
        <f t="shared" si="82"/>
        <v>46241</v>
      </c>
      <c r="E601" t="s">
        <v>47</v>
      </c>
      <c r="F601" t="s">
        <v>43</v>
      </c>
      <c r="G601">
        <f t="shared" si="91"/>
        <v>18</v>
      </c>
      <c r="I601" s="11">
        <f t="shared" si="83"/>
        <v>46241</v>
      </c>
      <c r="J601" t="s">
        <v>44</v>
      </c>
      <c r="K601" t="str">
        <f t="shared" si="84"/>
        <v>/* AGOSTO        */ { nombre: "Ordinario, Semana XVIII, VIERNES", archivo: "/ev/to/18/viernes.mp3", fecha: `${year}-08-07` },</v>
      </c>
      <c r="L601" s="10">
        <f t="shared" si="85"/>
        <v>46241</v>
      </c>
    </row>
    <row r="602" spans="1:12" x14ac:dyDescent="0.25">
      <c r="A602" t="str" cm="1">
        <f t="array" ref="A602">_xlfn.IFS(E602="Adviento","ta", E602="Navidad","tn", E602="Epifania","te", E602="Ordinario","to", E602="Cuaresma","tc", E602="Domingo De Ramos","tc", E602="Semana Santa","ss", E602="Triduo Pascual","tp", E602="Vigilia Pascual","tp", E602="Pascual","tp")</f>
        <v>to</v>
      </c>
      <c r="B602" s="14" t="str">
        <f t="shared" si="90"/>
        <v>/* AGOSTO        */</v>
      </c>
      <c r="C602" s="15">
        <f t="shared" si="81"/>
        <v>46242</v>
      </c>
      <c r="D602" s="9">
        <f t="shared" si="82"/>
        <v>46242</v>
      </c>
      <c r="E602" t="s">
        <v>47</v>
      </c>
      <c r="F602" t="s">
        <v>43</v>
      </c>
      <c r="G602">
        <f t="shared" si="91"/>
        <v>18</v>
      </c>
      <c r="I602" s="11">
        <f t="shared" si="83"/>
        <v>46242</v>
      </c>
      <c r="J602" t="s">
        <v>44</v>
      </c>
      <c r="K602" t="str">
        <f t="shared" si="84"/>
        <v>/* AGOSTO        */ { nombre: "Ordinario, Semana XVIII, SÁBADO", archivo: "/ev/to/18/sábado.mp3", fecha: `${year}-08-08` },</v>
      </c>
      <c r="L602" s="10">
        <f t="shared" si="85"/>
        <v>46242</v>
      </c>
    </row>
    <row r="603" spans="1:12" x14ac:dyDescent="0.25">
      <c r="A603" t="str" cm="1">
        <f t="array" ref="A603">_xlfn.IFS(E603="Adviento","ta", E603="Navidad","tn", E603="Epifania","te", E603="Ordinario","to", E603="Cuaresma","tc", E603="Domingo De Ramos","tc", E603="Semana Santa","ss", E603="Triduo Pascual","tp", E603="Vigilia Pascual","tp", E603="Pascual","tp")</f>
        <v>to</v>
      </c>
      <c r="B603" s="14" t="str">
        <f t="shared" si="90"/>
        <v>/* AGOSTO        */</v>
      </c>
      <c r="C603" s="15">
        <f t="shared" si="81"/>
        <v>46243</v>
      </c>
      <c r="D603" s="9">
        <f t="shared" si="82"/>
        <v>46243</v>
      </c>
      <c r="E603" t="s">
        <v>47</v>
      </c>
      <c r="F603" t="s">
        <v>43</v>
      </c>
      <c r="G603">
        <f>+G602+1</f>
        <v>19</v>
      </c>
      <c r="I603" s="11">
        <f t="shared" si="83"/>
        <v>46243</v>
      </c>
      <c r="J603" t="s">
        <v>44</v>
      </c>
      <c r="K603" t="str">
        <f t="shared" si="84"/>
        <v>/* AGOSTO        */ { nombre: "Ordinario, Semana XIX, DOMINGO", archivo: "/ev/to/19/domingo.mp3", fecha: `${year}-08-09` },</v>
      </c>
      <c r="L603" s="10">
        <f t="shared" si="85"/>
        <v>46243</v>
      </c>
    </row>
    <row r="604" spans="1:12" x14ac:dyDescent="0.25">
      <c r="A604" t="str" cm="1">
        <f t="array" ref="A604">_xlfn.IFS(E604="Adviento","ta", E604="Navidad","tn", E604="Epifania","te", E604="Ordinario","to", E604="Cuaresma","tc", E604="Domingo De Ramos","tc", E604="Semana Santa","ss", E604="Triduo Pascual","tp", E604="Vigilia Pascual","tp", E604="Pascual","tp")</f>
        <v>to</v>
      </c>
      <c r="B604" s="14" t="str">
        <f t="shared" si="90"/>
        <v>/* AGOSTO        */</v>
      </c>
      <c r="C604" s="15">
        <f t="shared" si="81"/>
        <v>46244</v>
      </c>
      <c r="D604" s="9">
        <f t="shared" si="82"/>
        <v>46244</v>
      </c>
      <c r="E604" t="s">
        <v>47</v>
      </c>
      <c r="F604" t="s">
        <v>43</v>
      </c>
      <c r="G604">
        <f>G603</f>
        <v>19</v>
      </c>
      <c r="I604" s="11">
        <f t="shared" si="83"/>
        <v>46244</v>
      </c>
      <c r="J604" t="s">
        <v>44</v>
      </c>
      <c r="K604" t="str">
        <f t="shared" si="84"/>
        <v>/* AGOSTO        */ { nombre: "Ordinario, Semana XIX, LUNES", archivo: "/ev/to/19/lunes.mp3", fecha: `${year}-08-10` },</v>
      </c>
      <c r="L604" s="10">
        <f t="shared" si="85"/>
        <v>46244</v>
      </c>
    </row>
    <row r="605" spans="1:12" x14ac:dyDescent="0.25">
      <c r="A605" t="str" cm="1">
        <f t="array" ref="A605">_xlfn.IFS(E605="Adviento","ta", E605="Navidad","tn", E605="Epifania","te", E605="Ordinario","to", E605="Cuaresma","tc", E605="Domingo De Ramos","tc", E605="Semana Santa","ss", E605="Triduo Pascual","tp", E605="Vigilia Pascual","tp", E605="Pascual","tp")</f>
        <v>to</v>
      </c>
      <c r="B605" s="14" t="str">
        <f t="shared" si="90"/>
        <v>/* AGOSTO        */</v>
      </c>
      <c r="C605" s="15">
        <f t="shared" si="81"/>
        <v>46245</v>
      </c>
      <c r="D605" s="9">
        <f t="shared" si="82"/>
        <v>46245</v>
      </c>
      <c r="E605" t="s">
        <v>47</v>
      </c>
      <c r="F605" t="s">
        <v>43</v>
      </c>
      <c r="G605">
        <f t="shared" ref="G605:G609" si="92">G604</f>
        <v>19</v>
      </c>
      <c r="I605" s="11">
        <f t="shared" si="83"/>
        <v>46245</v>
      </c>
      <c r="J605" t="s">
        <v>44</v>
      </c>
      <c r="K605" t="str">
        <f t="shared" si="84"/>
        <v>/* AGOSTO        */ { nombre: "Ordinario, Semana XIX, MARTES", archivo: "/ev/to/19/martes.mp3", fecha: `${year}-08-11` },</v>
      </c>
      <c r="L605" s="10">
        <f t="shared" si="85"/>
        <v>46245</v>
      </c>
    </row>
    <row r="606" spans="1:12" x14ac:dyDescent="0.25">
      <c r="A606" t="str" cm="1">
        <f t="array" ref="A606">_xlfn.IFS(E606="Adviento","ta", E606="Navidad","tn", E606="Epifania","te", E606="Ordinario","to", E606="Cuaresma","tc", E606="Domingo De Ramos","tc", E606="Semana Santa","ss", E606="Triduo Pascual","tp", E606="Vigilia Pascual","tp", E606="Pascual","tp")</f>
        <v>to</v>
      </c>
      <c r="B606" s="14" t="str">
        <f t="shared" si="90"/>
        <v>/* AGOSTO        */</v>
      </c>
      <c r="C606" s="15">
        <f t="shared" si="81"/>
        <v>46246</v>
      </c>
      <c r="D606" s="9">
        <f t="shared" si="82"/>
        <v>46246</v>
      </c>
      <c r="E606" t="s">
        <v>47</v>
      </c>
      <c r="F606" t="s">
        <v>43</v>
      </c>
      <c r="G606">
        <f t="shared" si="92"/>
        <v>19</v>
      </c>
      <c r="I606" s="11">
        <f t="shared" si="83"/>
        <v>46246</v>
      </c>
      <c r="J606" t="s">
        <v>44</v>
      </c>
      <c r="K606" t="str">
        <f t="shared" si="84"/>
        <v>/* AGOSTO        */ { nombre: "Ordinario, Semana XIX, MIÉRCOLES", archivo: "/ev/to/19/miércoles.mp3", fecha: `${year}-08-12` },</v>
      </c>
      <c r="L606" s="10">
        <f t="shared" si="85"/>
        <v>46246</v>
      </c>
    </row>
    <row r="607" spans="1:12" x14ac:dyDescent="0.25">
      <c r="A607" t="str" cm="1">
        <f t="array" ref="A607">_xlfn.IFS(E607="Adviento","ta", E607="Navidad","tn", E607="Epifania","te", E607="Ordinario","to", E607="Cuaresma","tc", E607="Domingo De Ramos","tc", E607="Semana Santa","ss", E607="Triduo Pascual","tp", E607="Vigilia Pascual","tp", E607="Pascual","tp")</f>
        <v>to</v>
      </c>
      <c r="B607" s="14" t="str">
        <f t="shared" si="90"/>
        <v>/* AGOSTO        */</v>
      </c>
      <c r="C607" s="15">
        <f t="shared" si="81"/>
        <v>46247</v>
      </c>
      <c r="D607" s="9">
        <f t="shared" si="82"/>
        <v>46247</v>
      </c>
      <c r="E607" t="s">
        <v>47</v>
      </c>
      <c r="F607" t="s">
        <v>43</v>
      </c>
      <c r="G607">
        <f t="shared" si="92"/>
        <v>19</v>
      </c>
      <c r="I607" s="11">
        <f t="shared" si="83"/>
        <v>46247</v>
      </c>
      <c r="J607" t="s">
        <v>44</v>
      </c>
      <c r="K607" t="str">
        <f t="shared" si="84"/>
        <v>/* AGOSTO        */ { nombre: "Ordinario, Semana XIX, JUEVES", archivo: "/ev/to/19/jueves.mp3", fecha: `${year}-08-13` },</v>
      </c>
      <c r="L607" s="10">
        <f t="shared" si="85"/>
        <v>46247</v>
      </c>
    </row>
    <row r="608" spans="1:12" x14ac:dyDescent="0.25">
      <c r="A608" t="str" cm="1">
        <f t="array" ref="A608">_xlfn.IFS(E608="Adviento","ta", E608="Navidad","tn", E608="Epifania","te", E608="Ordinario","to", E608="Cuaresma","tc", E608="Domingo De Ramos","tc", E608="Semana Santa","ss", E608="Triduo Pascual","tp", E608="Vigilia Pascual","tp", E608="Pascual","tp")</f>
        <v>to</v>
      </c>
      <c r="B608" s="14" t="str">
        <f t="shared" si="90"/>
        <v>/* AGOSTO        */</v>
      </c>
      <c r="C608" s="15">
        <f t="shared" si="81"/>
        <v>46248</v>
      </c>
      <c r="D608" s="9">
        <f t="shared" si="82"/>
        <v>46248</v>
      </c>
      <c r="E608" t="s">
        <v>47</v>
      </c>
      <c r="F608" t="s">
        <v>43</v>
      </c>
      <c r="G608">
        <f t="shared" si="92"/>
        <v>19</v>
      </c>
      <c r="I608" s="11">
        <f t="shared" si="83"/>
        <v>46248</v>
      </c>
      <c r="J608" t="s">
        <v>44</v>
      </c>
      <c r="K608" t="str">
        <f t="shared" si="84"/>
        <v>/* AGOSTO        */ { nombre: "Ordinario, Semana XIX, VIERNES", archivo: "/ev/to/19/viernes.mp3", fecha: `${year}-08-14` },</v>
      </c>
      <c r="L608" s="10">
        <f t="shared" si="85"/>
        <v>46248</v>
      </c>
    </row>
    <row r="609" spans="1:12" x14ac:dyDescent="0.25">
      <c r="A609" t="str" cm="1">
        <f t="array" ref="A609">_xlfn.IFS(E609="Adviento","ta", E609="Navidad","tn", E609="Epifania","te", E609="Ordinario","to", E609="Cuaresma","tc", E609="Domingo De Ramos","tc", E609="Semana Santa","ss", E609="Triduo Pascual","tp", E609="Vigilia Pascual","tp", E609="Pascual","tp")</f>
        <v>to</v>
      </c>
      <c r="B609" s="14" t="str">
        <f t="shared" si="90"/>
        <v>/* AGOSTO        */</v>
      </c>
      <c r="C609" s="15">
        <f t="shared" si="81"/>
        <v>46249</v>
      </c>
      <c r="D609" s="9">
        <f t="shared" si="82"/>
        <v>46249</v>
      </c>
      <c r="E609" t="s">
        <v>47</v>
      </c>
      <c r="F609" t="s">
        <v>43</v>
      </c>
      <c r="G609">
        <f t="shared" si="92"/>
        <v>19</v>
      </c>
      <c r="I609" s="11">
        <f t="shared" si="83"/>
        <v>46249</v>
      </c>
      <c r="J609" t="s">
        <v>44</v>
      </c>
      <c r="K609" t="str">
        <f t="shared" si="84"/>
        <v>/* AGOSTO        */ { nombre: "Ordinario, Semana XIX, SÁBADO", archivo: "/ev/to/19/sábado.mp3", fecha: `${year}-08-15` },</v>
      </c>
      <c r="L609" s="10">
        <f t="shared" si="85"/>
        <v>46249</v>
      </c>
    </row>
    <row r="610" spans="1:12" x14ac:dyDescent="0.25">
      <c r="A610" t="str" cm="1">
        <f t="array" ref="A610">_xlfn.IFS(E610="Adviento","ta", E610="Navidad","tn", E610="Epifania","te", E610="Ordinario","to", E610="Cuaresma","tc", E610="Domingo De Ramos","tc", E610="Semana Santa","ss", E610="Triduo Pascual","tp", E610="Vigilia Pascual","tp", E610="Pascual","tp")</f>
        <v>to</v>
      </c>
      <c r="B610" s="14" t="str">
        <f t="shared" si="90"/>
        <v>/* AGOSTO        */</v>
      </c>
      <c r="C610" s="15">
        <f t="shared" si="81"/>
        <v>46250</v>
      </c>
      <c r="D610" s="9">
        <f t="shared" si="82"/>
        <v>46250</v>
      </c>
      <c r="E610" t="s">
        <v>47</v>
      </c>
      <c r="F610" t="s">
        <v>43</v>
      </c>
      <c r="G610">
        <f>+G609+1</f>
        <v>20</v>
      </c>
      <c r="I610" s="11">
        <f t="shared" si="83"/>
        <v>46250</v>
      </c>
      <c r="J610" t="s">
        <v>44</v>
      </c>
      <c r="K610" t="str">
        <f t="shared" si="84"/>
        <v>/* AGOSTO        */ { nombre: "Ordinario, Semana XX, DOMINGO", archivo: "/ev/to/20/domingo.mp3", fecha: `${year}-08-16` },</v>
      </c>
      <c r="L610" s="10">
        <f t="shared" si="85"/>
        <v>46250</v>
      </c>
    </row>
    <row r="611" spans="1:12" x14ac:dyDescent="0.25">
      <c r="A611" t="str" cm="1">
        <f t="array" ref="A611">_xlfn.IFS(E611="Adviento","ta", E611="Navidad","tn", E611="Epifania","te", E611="Ordinario","to", E611="Cuaresma","tc", E611="Domingo De Ramos","tc", E611="Semana Santa","ss", E611="Triduo Pascual","tp", E611="Vigilia Pascual","tp", E611="Pascual","tp")</f>
        <v>to</v>
      </c>
      <c r="B611" s="14" t="str">
        <f t="shared" si="90"/>
        <v>/* AGOSTO        */</v>
      </c>
      <c r="C611" s="15">
        <f t="shared" si="81"/>
        <v>46251</v>
      </c>
      <c r="D611" s="9">
        <f t="shared" si="82"/>
        <v>46251</v>
      </c>
      <c r="E611" t="s">
        <v>47</v>
      </c>
      <c r="F611" t="s">
        <v>43</v>
      </c>
      <c r="G611">
        <f>G610</f>
        <v>20</v>
      </c>
      <c r="I611" s="11">
        <f t="shared" si="83"/>
        <v>46251</v>
      </c>
      <c r="J611" t="s">
        <v>44</v>
      </c>
      <c r="K611" t="str">
        <f t="shared" si="84"/>
        <v>/* AGOSTO        */ { nombre: "Ordinario, Semana XX, LUNES", archivo: "/ev/to/20/lunes.mp3", fecha: `${year}-08-17` },</v>
      </c>
      <c r="L611" s="10">
        <f t="shared" si="85"/>
        <v>46251</v>
      </c>
    </row>
    <row r="612" spans="1:12" x14ac:dyDescent="0.25">
      <c r="A612" t="str" cm="1">
        <f t="array" ref="A612">_xlfn.IFS(E612="Adviento","ta", E612="Navidad","tn", E612="Epifania","te", E612="Ordinario","to", E612="Cuaresma","tc", E612="Domingo De Ramos","tc", E612="Semana Santa","ss", E612="Triduo Pascual","tp", E612="Vigilia Pascual","tp", E612="Pascual","tp")</f>
        <v>to</v>
      </c>
      <c r="B612" s="14" t="str">
        <f t="shared" si="90"/>
        <v>/* AGOSTO        */</v>
      </c>
      <c r="C612" s="15">
        <f t="shared" si="81"/>
        <v>46252</v>
      </c>
      <c r="D612" s="9">
        <f t="shared" si="82"/>
        <v>46252</v>
      </c>
      <c r="E612" t="s">
        <v>47</v>
      </c>
      <c r="F612" t="s">
        <v>43</v>
      </c>
      <c r="G612">
        <f t="shared" ref="G612:G616" si="93">G611</f>
        <v>20</v>
      </c>
      <c r="I612" s="11">
        <f t="shared" si="83"/>
        <v>46252</v>
      </c>
      <c r="J612" t="s">
        <v>44</v>
      </c>
      <c r="K612" t="str">
        <f t="shared" si="84"/>
        <v>/* AGOSTO        */ { nombre: "Ordinario, Semana XX, MARTES", archivo: "/ev/to/20/martes.mp3", fecha: `${year}-08-18` },</v>
      </c>
      <c r="L612" s="10">
        <f t="shared" si="85"/>
        <v>46252</v>
      </c>
    </row>
    <row r="613" spans="1:12" x14ac:dyDescent="0.25">
      <c r="A613" t="str" cm="1">
        <f t="array" ref="A613">_xlfn.IFS(E613="Adviento","ta", E613="Navidad","tn", E613="Epifania","te", E613="Ordinario","to", E613="Cuaresma","tc", E613="Domingo De Ramos","tc", E613="Semana Santa","ss", E613="Triduo Pascual","tp", E613="Vigilia Pascual","tp", E613="Pascual","tp")</f>
        <v>to</v>
      </c>
      <c r="B613" s="14" t="str">
        <f t="shared" si="90"/>
        <v>/* AGOSTO        */</v>
      </c>
      <c r="C613" s="15">
        <f t="shared" si="81"/>
        <v>46253</v>
      </c>
      <c r="D613" s="9">
        <f t="shared" si="82"/>
        <v>46253</v>
      </c>
      <c r="E613" t="s">
        <v>47</v>
      </c>
      <c r="F613" t="s">
        <v>43</v>
      </c>
      <c r="G613">
        <f t="shared" si="93"/>
        <v>20</v>
      </c>
      <c r="I613" s="11">
        <f t="shared" si="83"/>
        <v>46253</v>
      </c>
      <c r="J613" t="s">
        <v>44</v>
      </c>
      <c r="K613" t="str">
        <f t="shared" si="84"/>
        <v>/* AGOSTO        */ { nombre: "Ordinario, Semana XX, MIÉRCOLES", archivo: "/ev/to/20/miércoles.mp3", fecha: `${year}-08-19` },</v>
      </c>
      <c r="L613" s="10">
        <f t="shared" si="85"/>
        <v>46253</v>
      </c>
    </row>
    <row r="614" spans="1:12" x14ac:dyDescent="0.25">
      <c r="A614" t="str" cm="1">
        <f t="array" ref="A614">_xlfn.IFS(E614="Adviento","ta", E614="Navidad","tn", E614="Epifania","te", E614="Ordinario","to", E614="Cuaresma","tc", E614="Domingo De Ramos","tc", E614="Semana Santa","ss", E614="Triduo Pascual","tp", E614="Vigilia Pascual","tp", E614="Pascual","tp")</f>
        <v>to</v>
      </c>
      <c r="B614" s="14" t="str">
        <f t="shared" si="90"/>
        <v>/* AGOSTO        */</v>
      </c>
      <c r="C614" s="15">
        <f t="shared" si="81"/>
        <v>46254</v>
      </c>
      <c r="D614" s="9">
        <f t="shared" si="82"/>
        <v>46254</v>
      </c>
      <c r="E614" t="s">
        <v>47</v>
      </c>
      <c r="F614" t="s">
        <v>43</v>
      </c>
      <c r="G614">
        <f t="shared" si="93"/>
        <v>20</v>
      </c>
      <c r="I614" s="11">
        <f t="shared" si="83"/>
        <v>46254</v>
      </c>
      <c r="J614" t="s">
        <v>44</v>
      </c>
      <c r="K614" t="str">
        <f t="shared" si="84"/>
        <v>/* AGOSTO        */ { nombre: "Ordinario, Semana XX, JUEVES", archivo: "/ev/to/20/jueves.mp3", fecha: `${year}-08-20` },</v>
      </c>
      <c r="L614" s="10">
        <f t="shared" si="85"/>
        <v>46254</v>
      </c>
    </row>
    <row r="615" spans="1:12" x14ac:dyDescent="0.25">
      <c r="A615" t="str" cm="1">
        <f t="array" ref="A615">_xlfn.IFS(E615="Adviento","ta", E615="Navidad","tn", E615="Epifania","te", E615="Ordinario","to", E615="Cuaresma","tc", E615="Domingo De Ramos","tc", E615="Semana Santa","ss", E615="Triduo Pascual","tp", E615="Vigilia Pascual","tp", E615="Pascual","tp")</f>
        <v>to</v>
      </c>
      <c r="B615" s="14" t="str">
        <f t="shared" si="90"/>
        <v>/* AGOSTO        */</v>
      </c>
      <c r="C615" s="15">
        <f t="shared" si="81"/>
        <v>46255</v>
      </c>
      <c r="D615" s="9">
        <f t="shared" si="82"/>
        <v>46255</v>
      </c>
      <c r="E615" t="s">
        <v>47</v>
      </c>
      <c r="F615" t="s">
        <v>43</v>
      </c>
      <c r="G615">
        <f t="shared" si="93"/>
        <v>20</v>
      </c>
      <c r="I615" s="11">
        <f t="shared" si="83"/>
        <v>46255</v>
      </c>
      <c r="J615" t="s">
        <v>44</v>
      </c>
      <c r="K615" t="str">
        <f t="shared" si="84"/>
        <v>/* AGOSTO        */ { nombre: "Ordinario, Semana XX, VIERNES", archivo: "/ev/to/20/viernes.mp3", fecha: `${year}-08-21` },</v>
      </c>
      <c r="L615" s="10">
        <f t="shared" si="85"/>
        <v>46255</v>
      </c>
    </row>
    <row r="616" spans="1:12" x14ac:dyDescent="0.25">
      <c r="A616" t="str" cm="1">
        <f t="array" ref="A616">_xlfn.IFS(E616="Adviento","ta", E616="Navidad","tn", E616="Epifania","te", E616="Ordinario","to", E616="Cuaresma","tc", E616="Domingo De Ramos","tc", E616="Semana Santa","ss", E616="Triduo Pascual","tp", E616="Vigilia Pascual","tp", E616="Pascual","tp")</f>
        <v>to</v>
      </c>
      <c r="B616" s="14" t="str">
        <f t="shared" si="90"/>
        <v>/* AGOSTO        */</v>
      </c>
      <c r="C616" s="15">
        <f t="shared" si="81"/>
        <v>46256</v>
      </c>
      <c r="D616" s="9">
        <f t="shared" si="82"/>
        <v>46256</v>
      </c>
      <c r="E616" t="s">
        <v>47</v>
      </c>
      <c r="F616" t="s">
        <v>43</v>
      </c>
      <c r="G616">
        <f t="shared" si="93"/>
        <v>20</v>
      </c>
      <c r="I616" s="11">
        <f t="shared" si="83"/>
        <v>46256</v>
      </c>
      <c r="J616" t="s">
        <v>44</v>
      </c>
      <c r="K616" t="str">
        <f t="shared" si="84"/>
        <v>/* AGOSTO        */ { nombre: "Ordinario, Semana XX, SÁBADO", archivo: "/ev/to/20/sábado.mp3", fecha: `${year}-08-22` },</v>
      </c>
      <c r="L616" s="10">
        <f t="shared" si="85"/>
        <v>46256</v>
      </c>
    </row>
    <row r="617" spans="1:12" x14ac:dyDescent="0.25">
      <c r="A617" t="str" cm="1">
        <f t="array" ref="A617">_xlfn.IFS(E617="Adviento","ta", E617="Navidad","tn", E617="Epifania","te", E617="Ordinario","to", E617="Cuaresma","tc", E617="Domingo De Ramos","tc", E617="Semana Santa","ss", E617="Triduo Pascual","tp", E617="Vigilia Pascual","tp", E617="Pascual","tp")</f>
        <v>to</v>
      </c>
      <c r="B617" s="14" t="str">
        <f t="shared" si="90"/>
        <v>/* AGOSTO        */</v>
      </c>
      <c r="C617" s="15">
        <f t="shared" si="81"/>
        <v>46257</v>
      </c>
      <c r="D617" s="9">
        <f t="shared" si="82"/>
        <v>46257</v>
      </c>
      <c r="E617" t="s">
        <v>47</v>
      </c>
      <c r="F617" t="s">
        <v>43</v>
      </c>
      <c r="G617">
        <f>+G616+1</f>
        <v>21</v>
      </c>
      <c r="I617" s="11">
        <f t="shared" si="83"/>
        <v>46257</v>
      </c>
      <c r="J617" t="s">
        <v>44</v>
      </c>
      <c r="K617" t="str">
        <f t="shared" si="84"/>
        <v>/* AGOSTO        */ { nombre: "Ordinario, Semana XXI, DOMINGO", archivo: "/ev/to/21/domingo.mp3", fecha: `${year}-08-23` },</v>
      </c>
      <c r="L617" s="10">
        <f t="shared" si="85"/>
        <v>46257</v>
      </c>
    </row>
    <row r="618" spans="1:12" x14ac:dyDescent="0.25">
      <c r="A618" t="str" cm="1">
        <f t="array" ref="A618">_xlfn.IFS(E618="Adviento","ta", E618="Navidad","tn", E618="Epifania","te", E618="Ordinario","to", E618="Cuaresma","tc", E618="Domingo De Ramos","tc", E618="Semana Santa","ss", E618="Triduo Pascual","tp", E618="Vigilia Pascual","tp", E618="Pascual","tp")</f>
        <v>to</v>
      </c>
      <c r="B618" s="14" t="str">
        <f t="shared" si="90"/>
        <v>/* AGOSTO        */</v>
      </c>
      <c r="C618" s="15">
        <f t="shared" si="81"/>
        <v>46258</v>
      </c>
      <c r="D618" s="9">
        <f t="shared" si="82"/>
        <v>46258</v>
      </c>
      <c r="E618" t="s">
        <v>47</v>
      </c>
      <c r="F618" t="s">
        <v>43</v>
      </c>
      <c r="G618">
        <f>G617</f>
        <v>21</v>
      </c>
      <c r="I618" s="11">
        <f t="shared" si="83"/>
        <v>46258</v>
      </c>
      <c r="J618" t="s">
        <v>44</v>
      </c>
      <c r="K618" t="str">
        <f t="shared" si="84"/>
        <v>/* AGOSTO        */ { nombre: "Ordinario, Semana XXI, LUNES", archivo: "/ev/to/21/lunes.mp3", fecha: `${year}-08-24` },</v>
      </c>
      <c r="L618" s="10">
        <f t="shared" si="85"/>
        <v>46258</v>
      </c>
    </row>
    <row r="619" spans="1:12" x14ac:dyDescent="0.25">
      <c r="A619" t="str" cm="1">
        <f t="array" ref="A619">_xlfn.IFS(E619="Adviento","ta", E619="Navidad","tn", E619="Epifania","te", E619="Ordinario","to", E619="Cuaresma","tc", E619="Domingo De Ramos","tc", E619="Semana Santa","ss", E619="Triduo Pascual","tp", E619="Vigilia Pascual","tp", E619="Pascual","tp")</f>
        <v>to</v>
      </c>
      <c r="B619" s="14" t="str">
        <f t="shared" si="90"/>
        <v>/* AGOSTO        */</v>
      </c>
      <c r="C619" s="15">
        <f t="shared" si="81"/>
        <v>46259</v>
      </c>
      <c r="D619" s="9">
        <f t="shared" si="82"/>
        <v>46259</v>
      </c>
      <c r="E619" t="s">
        <v>47</v>
      </c>
      <c r="F619" t="s">
        <v>43</v>
      </c>
      <c r="G619">
        <f t="shared" ref="G619:G623" si="94">G618</f>
        <v>21</v>
      </c>
      <c r="I619" s="11">
        <f t="shared" si="83"/>
        <v>46259</v>
      </c>
      <c r="J619" t="s">
        <v>44</v>
      </c>
      <c r="K619" t="str">
        <f t="shared" si="84"/>
        <v>/* AGOSTO        */ { nombre: "Ordinario, Semana XXI, MARTES", archivo: "/ev/to/21/martes.mp3", fecha: `${year}-08-25` },</v>
      </c>
      <c r="L619" s="10">
        <f t="shared" si="85"/>
        <v>46259</v>
      </c>
    </row>
    <row r="620" spans="1:12" x14ac:dyDescent="0.25">
      <c r="A620" t="str" cm="1">
        <f t="array" ref="A620">_xlfn.IFS(E620="Adviento","ta", E620="Navidad","tn", E620="Epifania","te", E620="Ordinario","to", E620="Cuaresma","tc", E620="Domingo De Ramos","tc", E620="Semana Santa","ss", E620="Triduo Pascual","tp", E620="Vigilia Pascual","tp", E620="Pascual","tp")</f>
        <v>to</v>
      </c>
      <c r="B620" s="14" t="str">
        <f t="shared" si="90"/>
        <v>/* AGOSTO        */</v>
      </c>
      <c r="C620" s="15">
        <f t="shared" si="81"/>
        <v>46260</v>
      </c>
      <c r="D620" s="9">
        <f t="shared" si="82"/>
        <v>46260</v>
      </c>
      <c r="E620" t="s">
        <v>47</v>
      </c>
      <c r="F620" t="s">
        <v>43</v>
      </c>
      <c r="G620">
        <f t="shared" si="94"/>
        <v>21</v>
      </c>
      <c r="I620" s="11">
        <f t="shared" si="83"/>
        <v>46260</v>
      </c>
      <c r="J620" t="s">
        <v>44</v>
      </c>
      <c r="K620" t="str">
        <f t="shared" si="84"/>
        <v>/* AGOSTO        */ { nombre: "Ordinario, Semana XXI, MIÉRCOLES", archivo: "/ev/to/21/miércoles.mp3", fecha: `${year}-08-26` },</v>
      </c>
      <c r="L620" s="10">
        <f t="shared" si="85"/>
        <v>46260</v>
      </c>
    </row>
    <row r="621" spans="1:12" x14ac:dyDescent="0.25">
      <c r="A621" t="str" cm="1">
        <f t="array" ref="A621">_xlfn.IFS(E621="Adviento","ta", E621="Navidad","tn", E621="Epifania","te", E621="Ordinario","to", E621="Cuaresma","tc", E621="Domingo De Ramos","tc", E621="Semana Santa","ss", E621="Triduo Pascual","tp", E621="Vigilia Pascual","tp", E621="Pascual","tp")</f>
        <v>to</v>
      </c>
      <c r="B621" s="14" t="str">
        <f t="shared" si="90"/>
        <v>/* AGOSTO        */</v>
      </c>
      <c r="C621" s="15">
        <f t="shared" si="81"/>
        <v>46261</v>
      </c>
      <c r="D621" s="9">
        <f t="shared" si="82"/>
        <v>46261</v>
      </c>
      <c r="E621" t="s">
        <v>47</v>
      </c>
      <c r="F621" t="s">
        <v>43</v>
      </c>
      <c r="G621">
        <f t="shared" si="94"/>
        <v>21</v>
      </c>
      <c r="I621" s="11">
        <f t="shared" si="83"/>
        <v>46261</v>
      </c>
      <c r="J621" t="s">
        <v>44</v>
      </c>
      <c r="K621" t="str">
        <f t="shared" si="84"/>
        <v>/* AGOSTO        */ { nombre: "Ordinario, Semana XXI, JUEVES", archivo: "/ev/to/21/jueves.mp3", fecha: `${year}-08-27` },</v>
      </c>
      <c r="L621" s="10">
        <f t="shared" si="85"/>
        <v>46261</v>
      </c>
    </row>
    <row r="622" spans="1:12" x14ac:dyDescent="0.25">
      <c r="A622" t="str" cm="1">
        <f t="array" ref="A622">_xlfn.IFS(E622="Adviento","ta", E622="Navidad","tn", E622="Epifania","te", E622="Ordinario","to", E622="Cuaresma","tc", E622="Domingo De Ramos","tc", E622="Semana Santa","ss", E622="Triduo Pascual","tp", E622="Vigilia Pascual","tp", E622="Pascual","tp")</f>
        <v>to</v>
      </c>
      <c r="B622" s="14" t="str">
        <f t="shared" si="90"/>
        <v>/* AGOSTO        */</v>
      </c>
      <c r="C622" s="15">
        <f t="shared" si="81"/>
        <v>46262</v>
      </c>
      <c r="D622" s="9">
        <f t="shared" si="82"/>
        <v>46262</v>
      </c>
      <c r="E622" t="s">
        <v>47</v>
      </c>
      <c r="F622" t="s">
        <v>43</v>
      </c>
      <c r="G622">
        <f t="shared" si="94"/>
        <v>21</v>
      </c>
      <c r="I622" s="11">
        <f t="shared" si="83"/>
        <v>46262</v>
      </c>
      <c r="J622" t="s">
        <v>44</v>
      </c>
      <c r="K622" t="str">
        <f t="shared" si="84"/>
        <v>/* AGOSTO        */ { nombre: "Ordinario, Semana XXI, VIERNES", archivo: "/ev/to/21/viernes.mp3", fecha: `${year}-08-28` },</v>
      </c>
      <c r="L622" s="10">
        <f t="shared" si="85"/>
        <v>46262</v>
      </c>
    </row>
    <row r="623" spans="1:12" x14ac:dyDescent="0.25">
      <c r="A623" t="str" cm="1">
        <f t="array" ref="A623">_xlfn.IFS(E623="Adviento","ta", E623="Navidad","tn", E623="Epifania","te", E623="Ordinario","to", E623="Cuaresma","tc", E623="Domingo De Ramos","tc", E623="Semana Santa","ss", E623="Triduo Pascual","tp", E623="Vigilia Pascual","tp", E623="Pascual","tp")</f>
        <v>to</v>
      </c>
      <c r="B623" s="14" t="str">
        <f t="shared" si="90"/>
        <v>/* AGOSTO        */</v>
      </c>
      <c r="C623" s="15">
        <f t="shared" si="81"/>
        <v>46263</v>
      </c>
      <c r="D623" s="9">
        <f t="shared" si="82"/>
        <v>46263</v>
      </c>
      <c r="E623" t="s">
        <v>47</v>
      </c>
      <c r="F623" t="s">
        <v>43</v>
      </c>
      <c r="G623">
        <f t="shared" si="94"/>
        <v>21</v>
      </c>
      <c r="I623" s="11">
        <f t="shared" si="83"/>
        <v>46263</v>
      </c>
      <c r="J623" t="s">
        <v>44</v>
      </c>
      <c r="K623" t="str">
        <f t="shared" si="84"/>
        <v>/* AGOSTO        */ { nombre: "Ordinario, Semana XXI, SÁBADO", archivo: "/ev/to/21/sábado.mp3", fecha: `${year}-08-29` },</v>
      </c>
      <c r="L623" s="10">
        <f t="shared" si="85"/>
        <v>46263</v>
      </c>
    </row>
    <row r="624" spans="1:12" x14ac:dyDescent="0.25">
      <c r="A624" t="str" cm="1">
        <f t="array" ref="A624">_xlfn.IFS(E624="Adviento","ta", E624="Navidad","tn", E624="Epifania","te", E624="Ordinario","to", E624="Cuaresma","tc", E624="Domingo De Ramos","tc", E624="Semana Santa","ss", E624="Triduo Pascual","tp", E624="Vigilia Pascual","tp", E624="Pascual","tp")</f>
        <v>to</v>
      </c>
      <c r="B624" s="14" t="str">
        <f t="shared" si="90"/>
        <v>/* AGOSTO        */</v>
      </c>
      <c r="C624" s="15">
        <f t="shared" si="81"/>
        <v>46264</v>
      </c>
      <c r="D624" s="9">
        <f t="shared" si="82"/>
        <v>46264</v>
      </c>
      <c r="E624" t="s">
        <v>47</v>
      </c>
      <c r="F624" t="s">
        <v>43</v>
      </c>
      <c r="G624">
        <f>+G623+1</f>
        <v>22</v>
      </c>
      <c r="I624" s="11">
        <f t="shared" si="83"/>
        <v>46264</v>
      </c>
      <c r="J624" t="s">
        <v>44</v>
      </c>
      <c r="K624" t="str">
        <f t="shared" si="84"/>
        <v>/* AGOSTO        */ { nombre: "Ordinario, Semana XXII, DOMINGO", archivo: "/ev/to/22/domingo.mp3", fecha: `${year}-08-30` },</v>
      </c>
      <c r="L624" s="10">
        <f t="shared" si="85"/>
        <v>46264</v>
      </c>
    </row>
    <row r="625" spans="1:12" x14ac:dyDescent="0.25">
      <c r="A625" t="str" cm="1">
        <f t="array" ref="A625">_xlfn.IFS(E625="Adviento","ta", E625="Navidad","tn", E625="Epifania","te", E625="Ordinario","to", E625="Cuaresma","tc", E625="Domingo De Ramos","tc", E625="Semana Santa","ss", E625="Triduo Pascual","tp", E625="Vigilia Pascual","tp", E625="Pascual","tp")</f>
        <v>to</v>
      </c>
      <c r="B625" s="14" t="str">
        <f t="shared" si="90"/>
        <v>/* AGOSTO        */</v>
      </c>
      <c r="C625" s="15">
        <f t="shared" si="81"/>
        <v>46265</v>
      </c>
      <c r="D625" s="9">
        <f t="shared" si="82"/>
        <v>46265</v>
      </c>
      <c r="E625" t="s">
        <v>47</v>
      </c>
      <c r="F625" t="s">
        <v>43</v>
      </c>
      <c r="G625">
        <f>G624</f>
        <v>22</v>
      </c>
      <c r="I625" s="11">
        <f t="shared" si="83"/>
        <v>46265</v>
      </c>
      <c r="J625" t="s">
        <v>44</v>
      </c>
      <c r="K625" t="str">
        <f t="shared" si="84"/>
        <v>/* AGOSTO        */ { nombre: "Ordinario, Semana XXII, LUNES", archivo: "/ev/to/22/lunes.mp3", fecha: `${year}-08-31` },</v>
      </c>
      <c r="L625" s="10">
        <f t="shared" si="85"/>
        <v>46265</v>
      </c>
    </row>
    <row r="626" spans="1:12" x14ac:dyDescent="0.25">
      <c r="A626" t="str" cm="1">
        <f t="array" ref="A626">_xlfn.IFS(E626="Adviento","ta", E626="Navidad","tn", E626="Epifania","te", E626="Ordinario","to", E626="Cuaresma","tc", E626="Domingo De Ramos","tc", E626="Semana Santa","ss", E626="Triduo Pascual","tp", E626="Vigilia Pascual","tp", E626="Pascual","tp")</f>
        <v>to</v>
      </c>
      <c r="B626" s="14" t="str">
        <f t="shared" si="90"/>
        <v>/* SEPTIEMBRE        */</v>
      </c>
      <c r="C626" s="15">
        <f t="shared" si="81"/>
        <v>46266</v>
      </c>
      <c r="D626" s="9">
        <f t="shared" si="82"/>
        <v>46266</v>
      </c>
      <c r="E626" t="s">
        <v>47</v>
      </c>
      <c r="F626" t="s">
        <v>43</v>
      </c>
      <c r="G626">
        <f t="shared" ref="G626:G630" si="95">G625</f>
        <v>22</v>
      </c>
      <c r="I626" s="11">
        <f t="shared" si="83"/>
        <v>46266</v>
      </c>
      <c r="J626" t="s">
        <v>44</v>
      </c>
      <c r="K626" t="str">
        <f t="shared" si="84"/>
        <v>/* SEPTIEMBRE        */ { nombre: "Ordinario, Semana XXII, MARTES", archivo: "/ev/to/22/martes.mp3", fecha: `${year}-09-01` },</v>
      </c>
      <c r="L626" s="10">
        <f t="shared" si="85"/>
        <v>46266</v>
      </c>
    </row>
    <row r="627" spans="1:12" x14ac:dyDescent="0.25">
      <c r="A627" t="str" cm="1">
        <f t="array" ref="A627">_xlfn.IFS(E627="Adviento","ta", E627="Navidad","tn", E627="Epifania","te", E627="Ordinario","to", E627="Cuaresma","tc", E627="Domingo De Ramos","tc", E627="Semana Santa","ss", E627="Triduo Pascual","tp", E627="Vigilia Pascual","tp", E627="Pascual","tp")</f>
        <v>to</v>
      </c>
      <c r="B627" s="14" t="str">
        <f t="shared" si="90"/>
        <v>/* SEPTIEMBRE        */</v>
      </c>
      <c r="C627" s="15">
        <f t="shared" si="81"/>
        <v>46267</v>
      </c>
      <c r="D627" s="9">
        <f t="shared" si="82"/>
        <v>46267</v>
      </c>
      <c r="E627" t="s">
        <v>47</v>
      </c>
      <c r="F627" t="s">
        <v>43</v>
      </c>
      <c r="G627">
        <f t="shared" si="95"/>
        <v>22</v>
      </c>
      <c r="I627" s="11">
        <f t="shared" si="83"/>
        <v>46267</v>
      </c>
      <c r="J627" t="s">
        <v>44</v>
      </c>
      <c r="K627" t="str">
        <f t="shared" si="84"/>
        <v>/* SEPTIEMBRE        */ { nombre: "Ordinario, Semana XXII, MIÉRCOLES", archivo: "/ev/to/22/miércoles.mp3", fecha: `${year}-09-02` },</v>
      </c>
      <c r="L627" s="10">
        <f t="shared" si="85"/>
        <v>46267</v>
      </c>
    </row>
    <row r="628" spans="1:12" x14ac:dyDescent="0.25">
      <c r="A628" t="str" cm="1">
        <f t="array" ref="A628">_xlfn.IFS(E628="Adviento","ta", E628="Navidad","tn", E628="Epifania","te", E628="Ordinario","to", E628="Cuaresma","tc", E628="Domingo De Ramos","tc", E628="Semana Santa","ss", E628="Triduo Pascual","tp", E628="Vigilia Pascual","tp", E628="Pascual","tp")</f>
        <v>to</v>
      </c>
      <c r="B628" s="14" t="str">
        <f t="shared" si="90"/>
        <v>/* SEPTIEMBRE        */</v>
      </c>
      <c r="C628" s="15">
        <f t="shared" si="81"/>
        <v>46268</v>
      </c>
      <c r="D628" s="9">
        <f t="shared" si="82"/>
        <v>46268</v>
      </c>
      <c r="E628" t="s">
        <v>47</v>
      </c>
      <c r="F628" t="s">
        <v>43</v>
      </c>
      <c r="G628">
        <f t="shared" si="95"/>
        <v>22</v>
      </c>
      <c r="I628" s="11">
        <f t="shared" si="83"/>
        <v>46268</v>
      </c>
      <c r="J628" t="s">
        <v>44</v>
      </c>
      <c r="K628" t="str">
        <f t="shared" si="84"/>
        <v>/* SEPTIEMBRE        */ { nombre: "Ordinario, Semana XXII, JUEVES", archivo: "/ev/to/22/jueves.mp3", fecha: `${year}-09-03` },</v>
      </c>
      <c r="L628" s="10">
        <f t="shared" si="85"/>
        <v>46268</v>
      </c>
    </row>
    <row r="629" spans="1:12" x14ac:dyDescent="0.25">
      <c r="A629" t="str" cm="1">
        <f t="array" ref="A629">_xlfn.IFS(E629="Adviento","ta", E629="Navidad","tn", E629="Epifania","te", E629="Ordinario","to", E629="Cuaresma","tc", E629="Domingo De Ramos","tc", E629="Semana Santa","ss", E629="Triduo Pascual","tp", E629="Vigilia Pascual","tp", E629="Pascual","tp")</f>
        <v>to</v>
      </c>
      <c r="B629" s="14" t="str">
        <f t="shared" si="90"/>
        <v>/* SEPTIEMBRE        */</v>
      </c>
      <c r="C629" s="15">
        <f t="shared" ref="C629:C692" si="96">+C628+1</f>
        <v>46269</v>
      </c>
      <c r="D629" s="9">
        <f t="shared" ref="D629:D692" si="97">+D628+1</f>
        <v>46269</v>
      </c>
      <c r="E629" t="s">
        <v>47</v>
      </c>
      <c r="F629" t="s">
        <v>43</v>
      </c>
      <c r="G629">
        <f t="shared" si="95"/>
        <v>22</v>
      </c>
      <c r="I629" s="11">
        <f t="shared" ref="I629:I692" si="98">D629</f>
        <v>46269</v>
      </c>
      <c r="J629" t="s">
        <v>44</v>
      </c>
      <c r="K629" t="str">
        <f t="shared" ref="K629:K692" si="99">_xlfn.CONCAT(B629, " ", "{ nombre: ", CHAR(34), E629, ", ", F629, " ", ROMAN(G629),H629, ", ", UPPER(TEXT(D629, "[$-es-ES]dddd")), CHAR(34), ", archivo: ", CHAR(34), "/ev/", _xlfn.IFS(E629="Adviento","ta", E629="Navidad","tn", E629="Epifania","te", E629="Ordinario","to", E629="Cuaresma","tc", E629="Domingo De Ramos","tc", E629="Semana Santa","ss", E629="Triduo Pascual","tp", E629="Vigilia Pascual","tp", E629="Pascual","tp"), "/", G629, "/", TEXT(D629, "[$-es-ES]dddd"), ".mp3", CHAR(34), ", fecha: `${year}-", TEXT(D629, "mm-dd"), "` },")</f>
        <v>/* SEPTIEMBRE        */ { nombre: "Ordinario, Semana XXII, VIERNES", archivo: "/ev/to/22/viernes.mp3", fecha: `${year}-09-04` },</v>
      </c>
      <c r="L629" s="10">
        <f t="shared" ref="L629:L692" si="100">D629</f>
        <v>46269</v>
      </c>
    </row>
    <row r="630" spans="1:12" x14ac:dyDescent="0.25">
      <c r="A630" t="str" cm="1">
        <f t="array" ref="A630">_xlfn.IFS(E630="Adviento","ta", E630="Navidad","tn", E630="Epifania","te", E630="Ordinario","to", E630="Cuaresma","tc", E630="Domingo De Ramos","tc", E630="Semana Santa","ss", E630="Triduo Pascual","tp", E630="Vigilia Pascual","tp", E630="Pascual","tp")</f>
        <v>to</v>
      </c>
      <c r="B630" s="14" t="str">
        <f t="shared" si="90"/>
        <v>/* SEPTIEMBRE        */</v>
      </c>
      <c r="C630" s="15">
        <f t="shared" si="96"/>
        <v>46270</v>
      </c>
      <c r="D630" s="9">
        <f t="shared" si="97"/>
        <v>46270</v>
      </c>
      <c r="E630" t="s">
        <v>47</v>
      </c>
      <c r="F630" t="s">
        <v>43</v>
      </c>
      <c r="G630">
        <f t="shared" si="95"/>
        <v>22</v>
      </c>
      <c r="I630" s="11">
        <f t="shared" si="98"/>
        <v>46270</v>
      </c>
      <c r="J630" t="s">
        <v>44</v>
      </c>
      <c r="K630" t="str">
        <f t="shared" si="99"/>
        <v>/* SEPTIEMBRE        */ { nombre: "Ordinario, Semana XXII, SÁBADO", archivo: "/ev/to/22/sábado.mp3", fecha: `${year}-09-05` },</v>
      </c>
      <c r="L630" s="10">
        <f t="shared" si="100"/>
        <v>46270</v>
      </c>
    </row>
    <row r="631" spans="1:12" x14ac:dyDescent="0.25">
      <c r="A631" t="str" cm="1">
        <f t="array" ref="A631">_xlfn.IFS(E631="Adviento","ta", E631="Navidad","tn", E631="Epifania","te", E631="Ordinario","to", E631="Cuaresma","tc", E631="Domingo De Ramos","tc", E631="Semana Santa","ss", E631="Triduo Pascual","tp", E631="Vigilia Pascual","tp", E631="Pascual","tp")</f>
        <v>to</v>
      </c>
      <c r="B631" s="14" t="str">
        <f t="shared" si="90"/>
        <v>/* SEPTIEMBRE        */</v>
      </c>
      <c r="C631" s="15">
        <f t="shared" si="96"/>
        <v>46271</v>
      </c>
      <c r="D631" s="9">
        <f t="shared" si="97"/>
        <v>46271</v>
      </c>
      <c r="E631" t="s">
        <v>47</v>
      </c>
      <c r="F631" t="s">
        <v>43</v>
      </c>
      <c r="G631">
        <f>+G630+1</f>
        <v>23</v>
      </c>
      <c r="I631" s="11">
        <f t="shared" si="98"/>
        <v>46271</v>
      </c>
      <c r="J631" t="s">
        <v>44</v>
      </c>
      <c r="K631" t="str">
        <f t="shared" si="99"/>
        <v>/* SEPTIEMBRE        */ { nombre: "Ordinario, Semana XXIII, DOMINGO", archivo: "/ev/to/23/domingo.mp3", fecha: `${year}-09-06` },</v>
      </c>
      <c r="L631" s="10">
        <f t="shared" si="100"/>
        <v>46271</v>
      </c>
    </row>
    <row r="632" spans="1:12" x14ac:dyDescent="0.25">
      <c r="A632" t="str" cm="1">
        <f t="array" ref="A632">_xlfn.IFS(E632="Adviento","ta", E632="Navidad","tn", E632="Epifania","te", E632="Ordinario","to", E632="Cuaresma","tc", E632="Domingo De Ramos","tc", E632="Semana Santa","ss", E632="Triduo Pascual","tp", E632="Vigilia Pascual","tp", E632="Pascual","tp")</f>
        <v>to</v>
      </c>
      <c r="B632" s="14" t="str">
        <f t="shared" si="90"/>
        <v>/* SEPTIEMBRE        */</v>
      </c>
      <c r="C632" s="15">
        <f t="shared" si="96"/>
        <v>46272</v>
      </c>
      <c r="D632" s="9">
        <f t="shared" si="97"/>
        <v>46272</v>
      </c>
      <c r="E632" t="s">
        <v>47</v>
      </c>
      <c r="F632" t="s">
        <v>43</v>
      </c>
      <c r="G632">
        <f>G631</f>
        <v>23</v>
      </c>
      <c r="I632" s="11">
        <f t="shared" si="98"/>
        <v>46272</v>
      </c>
      <c r="J632" t="s">
        <v>44</v>
      </c>
      <c r="K632" t="str">
        <f t="shared" si="99"/>
        <v>/* SEPTIEMBRE        */ { nombre: "Ordinario, Semana XXIII, LUNES", archivo: "/ev/to/23/lunes.mp3", fecha: `${year}-09-07` },</v>
      </c>
      <c r="L632" s="10">
        <f t="shared" si="100"/>
        <v>46272</v>
      </c>
    </row>
    <row r="633" spans="1:12" x14ac:dyDescent="0.25">
      <c r="A633" t="str" cm="1">
        <f t="array" ref="A633">_xlfn.IFS(E633="Adviento","ta", E633="Navidad","tn", E633="Epifania","te", E633="Ordinario","to", E633="Cuaresma","tc", E633="Domingo De Ramos","tc", E633="Semana Santa","ss", E633="Triduo Pascual","tp", E633="Vigilia Pascual","tp", E633="Pascual","tp")</f>
        <v>to</v>
      </c>
      <c r="B633" s="14" t="str">
        <f t="shared" si="90"/>
        <v>/* SEPTIEMBRE        */</v>
      </c>
      <c r="C633" s="15">
        <f t="shared" si="96"/>
        <v>46273</v>
      </c>
      <c r="D633" s="9">
        <f t="shared" si="97"/>
        <v>46273</v>
      </c>
      <c r="E633" t="s">
        <v>47</v>
      </c>
      <c r="F633" t="s">
        <v>43</v>
      </c>
      <c r="G633">
        <f t="shared" ref="G633:G637" si="101">G632</f>
        <v>23</v>
      </c>
      <c r="I633" s="11">
        <f t="shared" si="98"/>
        <v>46273</v>
      </c>
      <c r="J633" t="s">
        <v>44</v>
      </c>
      <c r="K633" t="str">
        <f t="shared" si="99"/>
        <v>/* SEPTIEMBRE        */ { nombre: "Ordinario, Semana XXIII, MARTES", archivo: "/ev/to/23/martes.mp3", fecha: `${year}-09-08` },</v>
      </c>
      <c r="L633" s="10">
        <f t="shared" si="100"/>
        <v>46273</v>
      </c>
    </row>
    <row r="634" spans="1:12" x14ac:dyDescent="0.25">
      <c r="A634" t="str" cm="1">
        <f t="array" ref="A634">_xlfn.IFS(E634="Adviento","ta", E634="Navidad","tn", E634="Epifania","te", E634="Ordinario","to", E634="Cuaresma","tc", E634="Domingo De Ramos","tc", E634="Semana Santa","ss", E634="Triduo Pascual","tp", E634="Vigilia Pascual","tp", E634="Pascual","tp")</f>
        <v>to</v>
      </c>
      <c r="B634" s="14" t="str">
        <f t="shared" si="90"/>
        <v>/* SEPTIEMBRE        */</v>
      </c>
      <c r="C634" s="15">
        <f t="shared" si="96"/>
        <v>46274</v>
      </c>
      <c r="D634" s="9">
        <f t="shared" si="97"/>
        <v>46274</v>
      </c>
      <c r="E634" t="s">
        <v>47</v>
      </c>
      <c r="F634" t="s">
        <v>43</v>
      </c>
      <c r="G634">
        <f t="shared" si="101"/>
        <v>23</v>
      </c>
      <c r="I634" s="11">
        <f t="shared" si="98"/>
        <v>46274</v>
      </c>
      <c r="J634" t="s">
        <v>44</v>
      </c>
      <c r="K634" t="str">
        <f t="shared" si="99"/>
        <v>/* SEPTIEMBRE        */ { nombre: "Ordinario, Semana XXIII, MIÉRCOLES", archivo: "/ev/to/23/miércoles.mp3", fecha: `${year}-09-09` },</v>
      </c>
      <c r="L634" s="10">
        <f t="shared" si="100"/>
        <v>46274</v>
      </c>
    </row>
    <row r="635" spans="1:12" x14ac:dyDescent="0.25">
      <c r="A635" t="str" cm="1">
        <f t="array" ref="A635">_xlfn.IFS(E635="Adviento","ta", E635="Navidad","tn", E635="Epifania","te", E635="Ordinario","to", E635="Cuaresma","tc", E635="Domingo De Ramos","tc", E635="Semana Santa","ss", E635="Triduo Pascual","tp", E635="Vigilia Pascual","tp", E635="Pascual","tp")</f>
        <v>to</v>
      </c>
      <c r="B635" s="14" t="str">
        <f t="shared" si="90"/>
        <v>/* SEPTIEMBRE        */</v>
      </c>
      <c r="C635" s="15">
        <f t="shared" si="96"/>
        <v>46275</v>
      </c>
      <c r="D635" s="9">
        <f t="shared" si="97"/>
        <v>46275</v>
      </c>
      <c r="E635" t="s">
        <v>47</v>
      </c>
      <c r="F635" t="s">
        <v>43</v>
      </c>
      <c r="G635">
        <f t="shared" si="101"/>
        <v>23</v>
      </c>
      <c r="I635" s="11">
        <f t="shared" si="98"/>
        <v>46275</v>
      </c>
      <c r="J635" t="s">
        <v>44</v>
      </c>
      <c r="K635" t="str">
        <f t="shared" si="99"/>
        <v>/* SEPTIEMBRE        */ { nombre: "Ordinario, Semana XXIII, JUEVES", archivo: "/ev/to/23/jueves.mp3", fecha: `${year}-09-10` },</v>
      </c>
      <c r="L635" s="10">
        <f t="shared" si="100"/>
        <v>46275</v>
      </c>
    </row>
    <row r="636" spans="1:12" x14ac:dyDescent="0.25">
      <c r="A636" t="str" cm="1">
        <f t="array" ref="A636">_xlfn.IFS(E636="Adviento","ta", E636="Navidad","tn", E636="Epifania","te", E636="Ordinario","to", E636="Cuaresma","tc", E636="Domingo De Ramos","tc", E636="Semana Santa","ss", E636="Triduo Pascual","tp", E636="Vigilia Pascual","tp", E636="Pascual","tp")</f>
        <v>to</v>
      </c>
      <c r="B636" s="14" t="str">
        <f t="shared" si="90"/>
        <v>/* SEPTIEMBRE        */</v>
      </c>
      <c r="C636" s="15">
        <f t="shared" si="96"/>
        <v>46276</v>
      </c>
      <c r="D636" s="9">
        <f t="shared" si="97"/>
        <v>46276</v>
      </c>
      <c r="E636" t="s">
        <v>47</v>
      </c>
      <c r="F636" t="s">
        <v>43</v>
      </c>
      <c r="G636">
        <f t="shared" si="101"/>
        <v>23</v>
      </c>
      <c r="I636" s="11">
        <f t="shared" si="98"/>
        <v>46276</v>
      </c>
      <c r="J636" t="s">
        <v>44</v>
      </c>
      <c r="K636" t="str">
        <f t="shared" si="99"/>
        <v>/* SEPTIEMBRE        */ { nombre: "Ordinario, Semana XXIII, VIERNES", archivo: "/ev/to/23/viernes.mp3", fecha: `${year}-09-11` },</v>
      </c>
      <c r="L636" s="10">
        <f t="shared" si="100"/>
        <v>46276</v>
      </c>
    </row>
    <row r="637" spans="1:12" x14ac:dyDescent="0.25">
      <c r="A637" t="str" cm="1">
        <f t="array" ref="A637">_xlfn.IFS(E637="Adviento","ta", E637="Navidad","tn", E637="Epifania","te", E637="Ordinario","to", E637="Cuaresma","tc", E637="Domingo De Ramos","tc", E637="Semana Santa","ss", E637="Triduo Pascual","tp", E637="Vigilia Pascual","tp", E637="Pascual","tp")</f>
        <v>to</v>
      </c>
      <c r="B637" s="14" t="str">
        <f t="shared" si="90"/>
        <v>/* SEPTIEMBRE        */</v>
      </c>
      <c r="C637" s="15">
        <f t="shared" si="96"/>
        <v>46277</v>
      </c>
      <c r="D637" s="9">
        <f t="shared" si="97"/>
        <v>46277</v>
      </c>
      <c r="E637" t="s">
        <v>47</v>
      </c>
      <c r="F637" t="s">
        <v>43</v>
      </c>
      <c r="G637">
        <f t="shared" si="101"/>
        <v>23</v>
      </c>
      <c r="I637" s="11">
        <f t="shared" si="98"/>
        <v>46277</v>
      </c>
      <c r="J637" t="s">
        <v>44</v>
      </c>
      <c r="K637" t="str">
        <f t="shared" si="99"/>
        <v>/* SEPTIEMBRE        */ { nombre: "Ordinario, Semana XXIII, SÁBADO", archivo: "/ev/to/23/sábado.mp3", fecha: `${year}-09-12` },</v>
      </c>
      <c r="L637" s="10">
        <f t="shared" si="100"/>
        <v>46277</v>
      </c>
    </row>
    <row r="638" spans="1:12" x14ac:dyDescent="0.25">
      <c r="A638" t="str" cm="1">
        <f t="array" ref="A638">_xlfn.IFS(E638="Adviento","ta", E638="Navidad","tn", E638="Epifania","te", E638="Ordinario","to", E638="Cuaresma","tc", E638="Domingo De Ramos","tc", E638="Semana Santa","ss", E638="Triduo Pascual","tp", E638="Vigilia Pascual","tp", E638="Pascual","tp")</f>
        <v>to</v>
      </c>
      <c r="B638" s="14" t="str">
        <f t="shared" si="90"/>
        <v>/* SEPTIEMBRE        */</v>
      </c>
      <c r="C638" s="15">
        <f t="shared" si="96"/>
        <v>46278</v>
      </c>
      <c r="D638" s="9">
        <f t="shared" si="97"/>
        <v>46278</v>
      </c>
      <c r="E638" t="s">
        <v>47</v>
      </c>
      <c r="F638" t="s">
        <v>43</v>
      </c>
      <c r="G638">
        <f>+G637+1</f>
        <v>24</v>
      </c>
      <c r="I638" s="11">
        <f t="shared" si="98"/>
        <v>46278</v>
      </c>
      <c r="J638" t="s">
        <v>44</v>
      </c>
      <c r="K638" t="str">
        <f t="shared" si="99"/>
        <v>/* SEPTIEMBRE        */ { nombre: "Ordinario, Semana XXIV, DOMINGO", archivo: "/ev/to/24/domingo.mp3", fecha: `${year}-09-13` },</v>
      </c>
      <c r="L638" s="10">
        <f t="shared" si="100"/>
        <v>46278</v>
      </c>
    </row>
    <row r="639" spans="1:12" x14ac:dyDescent="0.25">
      <c r="A639" t="str" cm="1">
        <f t="array" ref="A639">_xlfn.IFS(E639="Adviento","ta", E639="Navidad","tn", E639="Epifania","te", E639="Ordinario","to", E639="Cuaresma","tc", E639="Domingo De Ramos","tc", E639="Semana Santa","ss", E639="Triduo Pascual","tp", E639="Vigilia Pascual","tp", E639="Pascual","tp")</f>
        <v>to</v>
      </c>
      <c r="B639" s="14" t="str">
        <f t="shared" si="90"/>
        <v>/* SEPTIEMBRE        */</v>
      </c>
      <c r="C639" s="15">
        <f t="shared" si="96"/>
        <v>46279</v>
      </c>
      <c r="D639" s="9">
        <f t="shared" si="97"/>
        <v>46279</v>
      </c>
      <c r="E639" t="s">
        <v>47</v>
      </c>
      <c r="F639" t="s">
        <v>43</v>
      </c>
      <c r="G639">
        <f>G638</f>
        <v>24</v>
      </c>
      <c r="I639" s="11">
        <f t="shared" si="98"/>
        <v>46279</v>
      </c>
      <c r="J639" t="s">
        <v>44</v>
      </c>
      <c r="K639" t="str">
        <f t="shared" si="99"/>
        <v>/* SEPTIEMBRE        */ { nombre: "Ordinario, Semana XXIV, LUNES", archivo: "/ev/to/24/lunes.mp3", fecha: `${year}-09-14` },</v>
      </c>
      <c r="L639" s="10">
        <f t="shared" si="100"/>
        <v>46279</v>
      </c>
    </row>
    <row r="640" spans="1:12" x14ac:dyDescent="0.25">
      <c r="A640" t="str" cm="1">
        <f t="array" ref="A640">_xlfn.IFS(E640="Adviento","ta", E640="Navidad","tn", E640="Epifania","te", E640="Ordinario","to", E640="Cuaresma","tc", E640="Domingo De Ramos","tc", E640="Semana Santa","ss", E640="Triduo Pascual","tp", E640="Vigilia Pascual","tp", E640="Pascual","tp")</f>
        <v>to</v>
      </c>
      <c r="B640" s="14" t="str">
        <f t="shared" si="90"/>
        <v>/* SEPTIEMBRE        */</v>
      </c>
      <c r="C640" s="15">
        <f t="shared" si="96"/>
        <v>46280</v>
      </c>
      <c r="D640" s="9">
        <f t="shared" si="97"/>
        <v>46280</v>
      </c>
      <c r="E640" t="s">
        <v>47</v>
      </c>
      <c r="F640" t="s">
        <v>43</v>
      </c>
      <c r="G640">
        <f t="shared" ref="G640:G644" si="102">G639</f>
        <v>24</v>
      </c>
      <c r="I640" s="11">
        <f t="shared" si="98"/>
        <v>46280</v>
      </c>
      <c r="J640" t="s">
        <v>44</v>
      </c>
      <c r="K640" t="str">
        <f t="shared" si="99"/>
        <v>/* SEPTIEMBRE        */ { nombre: "Ordinario, Semana XXIV, MARTES", archivo: "/ev/to/24/martes.mp3", fecha: `${year}-09-15` },</v>
      </c>
      <c r="L640" s="10">
        <f t="shared" si="100"/>
        <v>46280</v>
      </c>
    </row>
    <row r="641" spans="1:12" x14ac:dyDescent="0.25">
      <c r="A641" t="str" cm="1">
        <f t="array" ref="A641">_xlfn.IFS(E641="Adviento","ta", E641="Navidad","tn", E641="Epifania","te", E641="Ordinario","to", E641="Cuaresma","tc", E641="Domingo De Ramos","tc", E641="Semana Santa","ss", E641="Triduo Pascual","tp", E641="Vigilia Pascual","tp", E641="Pascual","tp")</f>
        <v>to</v>
      </c>
      <c r="B641" s="14" t="str">
        <f t="shared" si="90"/>
        <v>/* SEPTIEMBRE        */</v>
      </c>
      <c r="C641" s="15">
        <f t="shared" si="96"/>
        <v>46281</v>
      </c>
      <c r="D641" s="9">
        <f t="shared" si="97"/>
        <v>46281</v>
      </c>
      <c r="E641" t="s">
        <v>47</v>
      </c>
      <c r="F641" t="s">
        <v>43</v>
      </c>
      <c r="G641">
        <f t="shared" si="102"/>
        <v>24</v>
      </c>
      <c r="I641" s="11">
        <f t="shared" si="98"/>
        <v>46281</v>
      </c>
      <c r="J641" t="s">
        <v>44</v>
      </c>
      <c r="K641" t="str">
        <f t="shared" si="99"/>
        <v>/* SEPTIEMBRE        */ { nombre: "Ordinario, Semana XXIV, MIÉRCOLES", archivo: "/ev/to/24/miércoles.mp3", fecha: `${year}-09-16` },</v>
      </c>
      <c r="L641" s="10">
        <f t="shared" si="100"/>
        <v>46281</v>
      </c>
    </row>
    <row r="642" spans="1:12" x14ac:dyDescent="0.25">
      <c r="A642" t="str" cm="1">
        <f t="array" ref="A642">_xlfn.IFS(E642="Adviento","ta", E642="Navidad","tn", E642="Epifania","te", E642="Ordinario","to", E642="Cuaresma","tc", E642="Domingo De Ramos","tc", E642="Semana Santa","ss", E642="Triduo Pascual","tp", E642="Vigilia Pascual","tp", E642="Pascual","tp")</f>
        <v>to</v>
      </c>
      <c r="B642" s="14" t="str">
        <f t="shared" si="90"/>
        <v>/* SEPTIEMBRE        */</v>
      </c>
      <c r="C642" s="15">
        <f t="shared" si="96"/>
        <v>46282</v>
      </c>
      <c r="D642" s="9">
        <f t="shared" si="97"/>
        <v>46282</v>
      </c>
      <c r="E642" t="s">
        <v>47</v>
      </c>
      <c r="F642" t="s">
        <v>43</v>
      </c>
      <c r="G642">
        <f t="shared" si="102"/>
        <v>24</v>
      </c>
      <c r="I642" s="11">
        <f t="shared" si="98"/>
        <v>46282</v>
      </c>
      <c r="J642" t="s">
        <v>44</v>
      </c>
      <c r="K642" t="str">
        <f t="shared" si="99"/>
        <v>/* SEPTIEMBRE        */ { nombre: "Ordinario, Semana XXIV, JUEVES", archivo: "/ev/to/24/jueves.mp3", fecha: `${year}-09-17` },</v>
      </c>
      <c r="L642" s="10">
        <f t="shared" si="100"/>
        <v>46282</v>
      </c>
    </row>
    <row r="643" spans="1:12" x14ac:dyDescent="0.25">
      <c r="A643" t="str" cm="1">
        <f t="array" ref="A643">_xlfn.IFS(E643="Adviento","ta", E643="Navidad","tn", E643="Epifania","te", E643="Ordinario","to", E643="Cuaresma","tc", E643="Domingo De Ramos","tc", E643="Semana Santa","ss", E643="Triduo Pascual","tp", E643="Vigilia Pascual","tp", E643="Pascual","tp")</f>
        <v>to</v>
      </c>
      <c r="B643" s="14" t="str">
        <f t="shared" si="90"/>
        <v>/* SEPTIEMBRE        */</v>
      </c>
      <c r="C643" s="15">
        <f t="shared" si="96"/>
        <v>46283</v>
      </c>
      <c r="D643" s="9">
        <f t="shared" si="97"/>
        <v>46283</v>
      </c>
      <c r="E643" t="s">
        <v>47</v>
      </c>
      <c r="F643" t="s">
        <v>43</v>
      </c>
      <c r="G643">
        <f t="shared" si="102"/>
        <v>24</v>
      </c>
      <c r="I643" s="11">
        <f t="shared" si="98"/>
        <v>46283</v>
      </c>
      <c r="J643" t="s">
        <v>44</v>
      </c>
      <c r="K643" t="str">
        <f t="shared" si="99"/>
        <v>/* SEPTIEMBRE        */ { nombre: "Ordinario, Semana XXIV, VIERNES", archivo: "/ev/to/24/viernes.mp3", fecha: `${year}-09-18` },</v>
      </c>
      <c r="L643" s="10">
        <f t="shared" si="100"/>
        <v>46283</v>
      </c>
    </row>
    <row r="644" spans="1:12" x14ac:dyDescent="0.25">
      <c r="A644" t="str" cm="1">
        <f t="array" ref="A644">_xlfn.IFS(E644="Adviento","ta", E644="Navidad","tn", E644="Epifania","te", E644="Ordinario","to", E644="Cuaresma","tc", E644="Domingo De Ramos","tc", E644="Semana Santa","ss", E644="Triduo Pascual","tp", E644="Vigilia Pascual","tp", E644="Pascual","tp")</f>
        <v>to</v>
      </c>
      <c r="B644" s="14" t="str">
        <f t="shared" si="90"/>
        <v>/* SEPTIEMBRE        */</v>
      </c>
      <c r="C644" s="15">
        <f t="shared" si="96"/>
        <v>46284</v>
      </c>
      <c r="D644" s="9">
        <f t="shared" si="97"/>
        <v>46284</v>
      </c>
      <c r="E644" t="s">
        <v>47</v>
      </c>
      <c r="F644" t="s">
        <v>43</v>
      </c>
      <c r="G644">
        <f t="shared" si="102"/>
        <v>24</v>
      </c>
      <c r="I644" s="11">
        <f t="shared" si="98"/>
        <v>46284</v>
      </c>
      <c r="J644" t="s">
        <v>44</v>
      </c>
      <c r="K644" t="str">
        <f t="shared" si="99"/>
        <v>/* SEPTIEMBRE        */ { nombre: "Ordinario, Semana XXIV, SÁBADO", archivo: "/ev/to/24/sábado.mp3", fecha: `${year}-09-19` },</v>
      </c>
      <c r="L644" s="10">
        <f t="shared" si="100"/>
        <v>46284</v>
      </c>
    </row>
    <row r="645" spans="1:12" x14ac:dyDescent="0.25">
      <c r="A645" t="str" cm="1">
        <f t="array" ref="A645">_xlfn.IFS(E645="Adviento","ta", E645="Navidad","tn", E645="Epifania","te", E645="Ordinario","to", E645="Cuaresma","tc", E645="Domingo De Ramos","tc", E645="Semana Santa","ss", E645="Triduo Pascual","tp", E645="Vigilia Pascual","tp", E645="Pascual","tp")</f>
        <v>to</v>
      </c>
      <c r="B645" s="14" t="str">
        <f t="shared" si="90"/>
        <v>/* SEPTIEMBRE        */</v>
      </c>
      <c r="C645" s="15">
        <f t="shared" si="96"/>
        <v>46285</v>
      </c>
      <c r="D645" s="9">
        <f t="shared" si="97"/>
        <v>46285</v>
      </c>
      <c r="E645" t="s">
        <v>47</v>
      </c>
      <c r="F645" t="s">
        <v>43</v>
      </c>
      <c r="G645">
        <f>+G644+1</f>
        <v>25</v>
      </c>
      <c r="I645" s="11">
        <f t="shared" si="98"/>
        <v>46285</v>
      </c>
      <c r="J645" t="s">
        <v>44</v>
      </c>
      <c r="K645" t="str">
        <f t="shared" si="99"/>
        <v>/* SEPTIEMBRE        */ { nombre: "Ordinario, Semana XXV, DOMINGO", archivo: "/ev/to/25/domingo.mp3", fecha: `${year}-09-20` },</v>
      </c>
      <c r="L645" s="10">
        <f t="shared" si="100"/>
        <v>46285</v>
      </c>
    </row>
    <row r="646" spans="1:12" x14ac:dyDescent="0.25">
      <c r="A646" t="str" cm="1">
        <f t="array" ref="A646">_xlfn.IFS(E646="Adviento","ta", E646="Navidad","tn", E646="Epifania","te", E646="Ordinario","to", E646="Cuaresma","tc", E646="Domingo De Ramos","tc", E646="Semana Santa","ss", E646="Triduo Pascual","tp", E646="Vigilia Pascual","tp", E646="Pascual","tp")</f>
        <v>to</v>
      </c>
      <c r="B646" s="14" t="str">
        <f t="shared" si="90"/>
        <v>/* SEPTIEMBRE        */</v>
      </c>
      <c r="C646" s="15">
        <f t="shared" si="96"/>
        <v>46286</v>
      </c>
      <c r="D646" s="9">
        <f t="shared" si="97"/>
        <v>46286</v>
      </c>
      <c r="E646" t="s">
        <v>47</v>
      </c>
      <c r="F646" t="s">
        <v>43</v>
      </c>
      <c r="G646">
        <f>G645</f>
        <v>25</v>
      </c>
      <c r="I646" s="11">
        <f t="shared" si="98"/>
        <v>46286</v>
      </c>
      <c r="J646" t="s">
        <v>44</v>
      </c>
      <c r="K646" t="str">
        <f t="shared" si="99"/>
        <v>/* SEPTIEMBRE        */ { nombre: "Ordinario, Semana XXV, LUNES", archivo: "/ev/to/25/lunes.mp3", fecha: `${year}-09-21` },</v>
      </c>
      <c r="L646" s="10">
        <f t="shared" si="100"/>
        <v>46286</v>
      </c>
    </row>
    <row r="647" spans="1:12" x14ac:dyDescent="0.25">
      <c r="A647" t="str" cm="1">
        <f t="array" ref="A647">_xlfn.IFS(E647="Adviento","ta", E647="Navidad","tn", E647="Epifania","te", E647="Ordinario","to", E647="Cuaresma","tc", E647="Domingo De Ramos","tc", E647="Semana Santa","ss", E647="Triduo Pascual","tp", E647="Vigilia Pascual","tp", E647="Pascual","tp")</f>
        <v>to</v>
      </c>
      <c r="B647" s="14" t="str">
        <f t="shared" si="90"/>
        <v>/* SEPTIEMBRE        */</v>
      </c>
      <c r="C647" s="15">
        <f t="shared" si="96"/>
        <v>46287</v>
      </c>
      <c r="D647" s="9">
        <f t="shared" si="97"/>
        <v>46287</v>
      </c>
      <c r="E647" t="s">
        <v>47</v>
      </c>
      <c r="F647" t="s">
        <v>43</v>
      </c>
      <c r="G647">
        <f t="shared" ref="G647:G651" si="103">G646</f>
        <v>25</v>
      </c>
      <c r="I647" s="11">
        <f t="shared" si="98"/>
        <v>46287</v>
      </c>
      <c r="J647" t="s">
        <v>44</v>
      </c>
      <c r="K647" t="str">
        <f t="shared" si="99"/>
        <v>/* SEPTIEMBRE        */ { nombre: "Ordinario, Semana XXV, MARTES", archivo: "/ev/to/25/martes.mp3", fecha: `${year}-09-22` },</v>
      </c>
      <c r="L647" s="10">
        <f t="shared" si="100"/>
        <v>46287</v>
      </c>
    </row>
    <row r="648" spans="1:12" x14ac:dyDescent="0.25">
      <c r="A648" t="str" cm="1">
        <f t="array" ref="A648">_xlfn.IFS(E648="Adviento","ta", E648="Navidad","tn", E648="Epifania","te", E648="Ordinario","to", E648="Cuaresma","tc", E648="Domingo De Ramos","tc", E648="Semana Santa","ss", E648="Triduo Pascual","tp", E648="Vigilia Pascual","tp", E648="Pascual","tp")</f>
        <v>to</v>
      </c>
      <c r="B648" s="14" t="str">
        <f t="shared" si="90"/>
        <v>/* SEPTIEMBRE        */</v>
      </c>
      <c r="C648" s="15">
        <f t="shared" si="96"/>
        <v>46288</v>
      </c>
      <c r="D648" s="9">
        <f t="shared" si="97"/>
        <v>46288</v>
      </c>
      <c r="E648" t="s">
        <v>47</v>
      </c>
      <c r="F648" t="s">
        <v>43</v>
      </c>
      <c r="G648">
        <f t="shared" si="103"/>
        <v>25</v>
      </c>
      <c r="I648" s="11">
        <f t="shared" si="98"/>
        <v>46288</v>
      </c>
      <c r="J648" t="s">
        <v>44</v>
      </c>
      <c r="K648" t="str">
        <f t="shared" si="99"/>
        <v>/* SEPTIEMBRE        */ { nombre: "Ordinario, Semana XXV, MIÉRCOLES", archivo: "/ev/to/25/miércoles.mp3", fecha: `${year}-09-23` },</v>
      </c>
      <c r="L648" s="10">
        <f t="shared" si="100"/>
        <v>46288</v>
      </c>
    </row>
    <row r="649" spans="1:12" x14ac:dyDescent="0.25">
      <c r="A649" t="str" cm="1">
        <f t="array" ref="A649">_xlfn.IFS(E649="Adviento","ta", E649="Navidad","tn", E649="Epifania","te", E649="Ordinario","to", E649="Cuaresma","tc", E649="Domingo De Ramos","tc", E649="Semana Santa","ss", E649="Triduo Pascual","tp", E649="Vigilia Pascual","tp", E649="Pascual","tp")</f>
        <v>to</v>
      </c>
      <c r="B649" s="14" t="str">
        <f t="shared" si="90"/>
        <v>/* SEPTIEMBRE        */</v>
      </c>
      <c r="C649" s="15">
        <f t="shared" si="96"/>
        <v>46289</v>
      </c>
      <c r="D649" s="9">
        <f t="shared" si="97"/>
        <v>46289</v>
      </c>
      <c r="E649" t="s">
        <v>47</v>
      </c>
      <c r="F649" t="s">
        <v>43</v>
      </c>
      <c r="G649">
        <f t="shared" si="103"/>
        <v>25</v>
      </c>
      <c r="I649" s="11">
        <f t="shared" si="98"/>
        <v>46289</v>
      </c>
      <c r="J649" t="s">
        <v>44</v>
      </c>
      <c r="K649" t="str">
        <f t="shared" si="99"/>
        <v>/* SEPTIEMBRE        */ { nombre: "Ordinario, Semana XXV, JUEVES", archivo: "/ev/to/25/jueves.mp3", fecha: `${year}-09-24` },</v>
      </c>
      <c r="L649" s="10">
        <f t="shared" si="100"/>
        <v>46289</v>
      </c>
    </row>
    <row r="650" spans="1:12" x14ac:dyDescent="0.25">
      <c r="A650" t="str" cm="1">
        <f t="array" ref="A650">_xlfn.IFS(E650="Adviento","ta", E650="Navidad","tn", E650="Epifania","te", E650="Ordinario","to", E650="Cuaresma","tc", E650="Domingo De Ramos","tc", E650="Semana Santa","ss", E650="Triduo Pascual","tp", E650="Vigilia Pascual","tp", E650="Pascual","tp")</f>
        <v>to</v>
      </c>
      <c r="B650" s="14" t="str">
        <f t="shared" si="90"/>
        <v>/* SEPTIEMBRE        */</v>
      </c>
      <c r="C650" s="15">
        <f t="shared" si="96"/>
        <v>46290</v>
      </c>
      <c r="D650" s="9">
        <f t="shared" si="97"/>
        <v>46290</v>
      </c>
      <c r="E650" t="s">
        <v>47</v>
      </c>
      <c r="F650" t="s">
        <v>43</v>
      </c>
      <c r="G650">
        <f t="shared" si="103"/>
        <v>25</v>
      </c>
      <c r="I650" s="11">
        <f t="shared" si="98"/>
        <v>46290</v>
      </c>
      <c r="J650" t="s">
        <v>44</v>
      </c>
      <c r="K650" t="str">
        <f t="shared" si="99"/>
        <v>/* SEPTIEMBRE        */ { nombre: "Ordinario, Semana XXV, VIERNES", archivo: "/ev/to/25/viernes.mp3", fecha: `${year}-09-25` },</v>
      </c>
      <c r="L650" s="10">
        <f t="shared" si="100"/>
        <v>46290</v>
      </c>
    </row>
    <row r="651" spans="1:12" x14ac:dyDescent="0.25">
      <c r="A651" t="str" cm="1">
        <f t="array" ref="A651">_xlfn.IFS(E651="Adviento","ta", E651="Navidad","tn", E651="Epifania","te", E651="Ordinario","to", E651="Cuaresma","tc", E651="Domingo De Ramos","tc", E651="Semana Santa","ss", E651="Triduo Pascual","tp", E651="Vigilia Pascual","tp", E651="Pascual","tp")</f>
        <v>to</v>
      </c>
      <c r="B651" s="14" t="str">
        <f t="shared" si="90"/>
        <v>/* SEPTIEMBRE        */</v>
      </c>
      <c r="C651" s="15">
        <f t="shared" si="96"/>
        <v>46291</v>
      </c>
      <c r="D651" s="9">
        <f t="shared" si="97"/>
        <v>46291</v>
      </c>
      <c r="E651" t="s">
        <v>47</v>
      </c>
      <c r="F651" t="s">
        <v>43</v>
      </c>
      <c r="G651">
        <f t="shared" si="103"/>
        <v>25</v>
      </c>
      <c r="I651" s="11">
        <f t="shared" si="98"/>
        <v>46291</v>
      </c>
      <c r="J651" t="s">
        <v>44</v>
      </c>
      <c r="K651" t="str">
        <f t="shared" si="99"/>
        <v>/* SEPTIEMBRE        */ { nombre: "Ordinario, Semana XXV, SÁBADO", archivo: "/ev/to/25/sábado.mp3", fecha: `${year}-09-26` },</v>
      </c>
      <c r="L651" s="10">
        <f t="shared" si="100"/>
        <v>46291</v>
      </c>
    </row>
    <row r="652" spans="1:12" x14ac:dyDescent="0.25">
      <c r="A652" t="str" cm="1">
        <f t="array" ref="A652">_xlfn.IFS(E652="Adviento","ta", E652="Navidad","tn", E652="Epifania","te", E652="Ordinario","to", E652="Cuaresma","tc", E652="Domingo De Ramos","tc", E652="Semana Santa","ss", E652="Triduo Pascual","tp", E652="Vigilia Pascual","tp", E652="Pascual","tp")</f>
        <v>to</v>
      </c>
      <c r="B652" s="14" t="str">
        <f t="shared" si="90"/>
        <v>/* SEPTIEMBRE        */</v>
      </c>
      <c r="C652" s="15">
        <f t="shared" si="96"/>
        <v>46292</v>
      </c>
      <c r="D652" s="9">
        <f t="shared" si="97"/>
        <v>46292</v>
      </c>
      <c r="E652" t="s">
        <v>47</v>
      </c>
      <c r="F652" t="s">
        <v>43</v>
      </c>
      <c r="G652">
        <f>+G651+1</f>
        <v>26</v>
      </c>
      <c r="I652" s="11">
        <f t="shared" si="98"/>
        <v>46292</v>
      </c>
      <c r="J652" t="s">
        <v>44</v>
      </c>
      <c r="K652" t="str">
        <f t="shared" si="99"/>
        <v>/* SEPTIEMBRE        */ { nombre: "Ordinario, Semana XXVI, DOMINGO", archivo: "/ev/to/26/domingo.mp3", fecha: `${year}-09-27` },</v>
      </c>
      <c r="L652" s="10">
        <f t="shared" si="100"/>
        <v>46292</v>
      </c>
    </row>
    <row r="653" spans="1:12" x14ac:dyDescent="0.25">
      <c r="A653" t="str" cm="1">
        <f t="array" ref="A653">_xlfn.IFS(E653="Adviento","ta", E653="Navidad","tn", E653="Epifania","te", E653="Ordinario","to", E653="Cuaresma","tc", E653="Domingo De Ramos","tc", E653="Semana Santa","ss", E653="Triduo Pascual","tp", E653="Vigilia Pascual","tp", E653="Pascual","tp")</f>
        <v>to</v>
      </c>
      <c r="B653" s="14" t="str">
        <f t="shared" si="90"/>
        <v>/* SEPTIEMBRE        */</v>
      </c>
      <c r="C653" s="15">
        <f t="shared" si="96"/>
        <v>46293</v>
      </c>
      <c r="D653" s="9">
        <f t="shared" si="97"/>
        <v>46293</v>
      </c>
      <c r="E653" t="s">
        <v>47</v>
      </c>
      <c r="F653" t="s">
        <v>43</v>
      </c>
      <c r="G653">
        <f>G652</f>
        <v>26</v>
      </c>
      <c r="I653" s="11">
        <f t="shared" si="98"/>
        <v>46293</v>
      </c>
      <c r="J653" t="s">
        <v>44</v>
      </c>
      <c r="K653" t="str">
        <f t="shared" si="99"/>
        <v>/* SEPTIEMBRE        */ { nombre: "Ordinario, Semana XXVI, LUNES", archivo: "/ev/to/26/lunes.mp3", fecha: `${year}-09-28` },</v>
      </c>
      <c r="L653" s="10">
        <f t="shared" si="100"/>
        <v>46293</v>
      </c>
    </row>
    <row r="654" spans="1:12" x14ac:dyDescent="0.25">
      <c r="A654" t="str" cm="1">
        <f t="array" ref="A654">_xlfn.IFS(E654="Adviento","ta", E654="Navidad","tn", E654="Epifania","te", E654="Ordinario","to", E654="Cuaresma","tc", E654="Domingo De Ramos","tc", E654="Semana Santa","ss", E654="Triduo Pascual","tp", E654="Vigilia Pascual","tp", E654="Pascual","tp")</f>
        <v>to</v>
      </c>
      <c r="B654" s="14" t="str">
        <f t="shared" si="90"/>
        <v>/* SEPTIEMBRE        */</v>
      </c>
      <c r="C654" s="15">
        <f t="shared" si="96"/>
        <v>46294</v>
      </c>
      <c r="D654" s="9">
        <f t="shared" si="97"/>
        <v>46294</v>
      </c>
      <c r="E654" t="s">
        <v>47</v>
      </c>
      <c r="F654" t="s">
        <v>43</v>
      </c>
      <c r="G654">
        <f t="shared" ref="G654:G658" si="104">G653</f>
        <v>26</v>
      </c>
      <c r="I654" s="11">
        <f t="shared" si="98"/>
        <v>46294</v>
      </c>
      <c r="J654" t="s">
        <v>44</v>
      </c>
      <c r="K654" t="str">
        <f t="shared" si="99"/>
        <v>/* SEPTIEMBRE        */ { nombre: "Ordinario, Semana XXVI, MARTES", archivo: "/ev/to/26/martes.mp3", fecha: `${year}-09-29` },</v>
      </c>
      <c r="L654" s="10">
        <f t="shared" si="100"/>
        <v>46294</v>
      </c>
    </row>
    <row r="655" spans="1:12" x14ac:dyDescent="0.25">
      <c r="A655" t="str" cm="1">
        <f t="array" ref="A655">_xlfn.IFS(E655="Adviento","ta", E655="Navidad","tn", E655="Epifania","te", E655="Ordinario","to", E655="Cuaresma","tc", E655="Domingo De Ramos","tc", E655="Semana Santa","ss", E655="Triduo Pascual","tp", E655="Vigilia Pascual","tp", E655="Pascual","tp")</f>
        <v>to</v>
      </c>
      <c r="B655" s="14" t="str">
        <f t="shared" si="90"/>
        <v>/* SEPTIEMBRE        */</v>
      </c>
      <c r="C655" s="15">
        <f t="shared" si="96"/>
        <v>46295</v>
      </c>
      <c r="D655" s="9">
        <f t="shared" si="97"/>
        <v>46295</v>
      </c>
      <c r="E655" t="s">
        <v>47</v>
      </c>
      <c r="F655" t="s">
        <v>43</v>
      </c>
      <c r="G655">
        <f t="shared" si="104"/>
        <v>26</v>
      </c>
      <c r="I655" s="11">
        <f t="shared" si="98"/>
        <v>46295</v>
      </c>
      <c r="J655" t="s">
        <v>44</v>
      </c>
      <c r="K655" t="str">
        <f t="shared" si="99"/>
        <v>/* SEPTIEMBRE        */ { nombre: "Ordinario, Semana XXVI, MIÉRCOLES", archivo: "/ev/to/26/miércoles.mp3", fecha: `${year}-09-30` },</v>
      </c>
      <c r="L655" s="10">
        <f t="shared" si="100"/>
        <v>46295</v>
      </c>
    </row>
    <row r="656" spans="1:12" x14ac:dyDescent="0.25">
      <c r="A656" t="str" cm="1">
        <f t="array" ref="A656">_xlfn.IFS(E656="Adviento","ta", E656="Navidad","tn", E656="Epifania","te", E656="Ordinario","to", E656="Cuaresma","tc", E656="Domingo De Ramos","tc", E656="Semana Santa","ss", E656="Triduo Pascual","tp", E656="Vigilia Pascual","tp", E656="Pascual","tp")</f>
        <v>to</v>
      </c>
      <c r="B656" s="14" t="str">
        <f t="shared" si="90"/>
        <v>/* OCTUBRE        */</v>
      </c>
      <c r="C656" s="15">
        <f t="shared" si="96"/>
        <v>46296</v>
      </c>
      <c r="D656" s="9">
        <f t="shared" si="97"/>
        <v>46296</v>
      </c>
      <c r="E656" t="s">
        <v>47</v>
      </c>
      <c r="F656" t="s">
        <v>43</v>
      </c>
      <c r="G656">
        <f t="shared" si="104"/>
        <v>26</v>
      </c>
      <c r="I656" s="11">
        <f t="shared" si="98"/>
        <v>46296</v>
      </c>
      <c r="J656" t="s">
        <v>44</v>
      </c>
      <c r="K656" t="str">
        <f t="shared" si="99"/>
        <v>/* OCTUBRE        */ { nombre: "Ordinario, Semana XXVI, JUEVES", archivo: "/ev/to/26/jueves.mp3", fecha: `${year}-10-01` },</v>
      </c>
      <c r="L656" s="10">
        <f t="shared" si="100"/>
        <v>46296</v>
      </c>
    </row>
    <row r="657" spans="1:12" x14ac:dyDescent="0.25">
      <c r="A657" t="str" cm="1">
        <f t="array" ref="A657">_xlfn.IFS(E657="Adviento","ta", E657="Navidad","tn", E657="Epifania","te", E657="Ordinario","to", E657="Cuaresma","tc", E657="Domingo De Ramos","tc", E657="Semana Santa","ss", E657="Triduo Pascual","tp", E657="Vigilia Pascual","tp", E657="Pascual","tp")</f>
        <v>to</v>
      </c>
      <c r="B657" s="14" t="str">
        <f t="shared" si="90"/>
        <v>/* OCTUBRE        */</v>
      </c>
      <c r="C657" s="15">
        <f t="shared" si="96"/>
        <v>46297</v>
      </c>
      <c r="D657" s="9">
        <f t="shared" si="97"/>
        <v>46297</v>
      </c>
      <c r="E657" t="s">
        <v>47</v>
      </c>
      <c r="F657" t="s">
        <v>43</v>
      </c>
      <c r="G657">
        <f t="shared" si="104"/>
        <v>26</v>
      </c>
      <c r="I657" s="11">
        <f t="shared" si="98"/>
        <v>46297</v>
      </c>
      <c r="J657" t="s">
        <v>44</v>
      </c>
      <c r="K657" t="str">
        <f t="shared" si="99"/>
        <v>/* OCTUBRE        */ { nombre: "Ordinario, Semana XXVI, VIERNES", archivo: "/ev/to/26/viernes.mp3", fecha: `${year}-10-02` },</v>
      </c>
      <c r="L657" s="10">
        <f t="shared" si="100"/>
        <v>46297</v>
      </c>
    </row>
    <row r="658" spans="1:12" x14ac:dyDescent="0.25">
      <c r="A658" t="str" cm="1">
        <f t="array" ref="A658">_xlfn.IFS(E658="Adviento","ta", E658="Navidad","tn", E658="Epifania","te", E658="Ordinario","to", E658="Cuaresma","tc", E658="Domingo De Ramos","tc", E658="Semana Santa","ss", E658="Triduo Pascual","tp", E658="Vigilia Pascual","tp", E658="Pascual","tp")</f>
        <v>to</v>
      </c>
      <c r="B658" s="14" t="str">
        <f t="shared" si="90"/>
        <v>/* OCTUBRE        */</v>
      </c>
      <c r="C658" s="15">
        <f t="shared" si="96"/>
        <v>46298</v>
      </c>
      <c r="D658" s="9">
        <f t="shared" si="97"/>
        <v>46298</v>
      </c>
      <c r="E658" t="s">
        <v>47</v>
      </c>
      <c r="F658" t="s">
        <v>43</v>
      </c>
      <c r="G658">
        <f t="shared" si="104"/>
        <v>26</v>
      </c>
      <c r="I658" s="11">
        <f t="shared" si="98"/>
        <v>46298</v>
      </c>
      <c r="J658" t="s">
        <v>44</v>
      </c>
      <c r="K658" t="str">
        <f t="shared" si="99"/>
        <v>/* OCTUBRE        */ { nombre: "Ordinario, Semana XXVI, SÁBADO", archivo: "/ev/to/26/sábado.mp3", fecha: `${year}-10-03` },</v>
      </c>
      <c r="L658" s="10">
        <f t="shared" si="100"/>
        <v>46298</v>
      </c>
    </row>
    <row r="659" spans="1:12" x14ac:dyDescent="0.25">
      <c r="A659" t="str" cm="1">
        <f t="array" ref="A659">_xlfn.IFS(E659="Adviento","ta", E659="Navidad","tn", E659="Epifania","te", E659="Ordinario","to", E659="Cuaresma","tc", E659="Domingo De Ramos","tc", E659="Semana Santa","ss", E659="Triduo Pascual","tp", E659="Vigilia Pascual","tp", E659="Pascual","tp")</f>
        <v>to</v>
      </c>
      <c r="B659" s="14" t="str">
        <f t="shared" si="90"/>
        <v>/* OCTUBRE        */</v>
      </c>
      <c r="C659" s="15">
        <f t="shared" si="96"/>
        <v>46299</v>
      </c>
      <c r="D659" s="9">
        <f t="shared" si="97"/>
        <v>46299</v>
      </c>
      <c r="E659" t="s">
        <v>47</v>
      </c>
      <c r="F659" t="s">
        <v>43</v>
      </c>
      <c r="G659">
        <f>+G658+1</f>
        <v>27</v>
      </c>
      <c r="I659" s="11">
        <f t="shared" si="98"/>
        <v>46299</v>
      </c>
      <c r="J659" t="s">
        <v>44</v>
      </c>
      <c r="K659" t="str">
        <f t="shared" si="99"/>
        <v>/* OCTUBRE        */ { nombre: "Ordinario, Semana XXVII, DOMINGO", archivo: "/ev/to/27/domingo.mp3", fecha: `${year}-10-04` },</v>
      </c>
      <c r="L659" s="10">
        <f t="shared" si="100"/>
        <v>46299</v>
      </c>
    </row>
    <row r="660" spans="1:12" x14ac:dyDescent="0.25">
      <c r="A660" t="str" cm="1">
        <f t="array" ref="A660">_xlfn.IFS(E660="Adviento","ta", E660="Navidad","tn", E660="Epifania","te", E660="Ordinario","to", E660="Cuaresma","tc", E660="Domingo De Ramos","tc", E660="Semana Santa","ss", E660="Triduo Pascual","tp", E660="Vigilia Pascual","tp", E660="Pascual","tp")</f>
        <v>to</v>
      </c>
      <c r="B660" s="14" t="str">
        <f t="shared" si="90"/>
        <v>/* OCTUBRE        */</v>
      </c>
      <c r="C660" s="15">
        <f t="shared" si="96"/>
        <v>46300</v>
      </c>
      <c r="D660" s="9">
        <f t="shared" si="97"/>
        <v>46300</v>
      </c>
      <c r="E660" t="s">
        <v>47</v>
      </c>
      <c r="F660" t="s">
        <v>43</v>
      </c>
      <c r="G660">
        <f>G659</f>
        <v>27</v>
      </c>
      <c r="I660" s="11">
        <f t="shared" si="98"/>
        <v>46300</v>
      </c>
      <c r="J660" t="s">
        <v>44</v>
      </c>
      <c r="K660" t="str">
        <f t="shared" si="99"/>
        <v>/* OCTUBRE        */ { nombre: "Ordinario, Semana XXVII, LUNES", archivo: "/ev/to/27/lunes.mp3", fecha: `${year}-10-05` },</v>
      </c>
      <c r="L660" s="10">
        <f t="shared" si="100"/>
        <v>46300</v>
      </c>
    </row>
    <row r="661" spans="1:12" x14ac:dyDescent="0.25">
      <c r="A661" t="str" cm="1">
        <f t="array" ref="A661">_xlfn.IFS(E661="Adviento","ta", E661="Navidad","tn", E661="Epifania","te", E661="Ordinario","to", E661="Cuaresma","tc", E661="Domingo De Ramos","tc", E661="Semana Santa","ss", E661="Triduo Pascual","tp", E661="Vigilia Pascual","tp", E661="Pascual","tp")</f>
        <v>to</v>
      </c>
      <c r="B661" s="14" t="str">
        <f t="shared" si="90"/>
        <v>/* OCTUBRE        */</v>
      </c>
      <c r="C661" s="15">
        <f t="shared" si="96"/>
        <v>46301</v>
      </c>
      <c r="D661" s="9">
        <f t="shared" si="97"/>
        <v>46301</v>
      </c>
      <c r="E661" t="s">
        <v>47</v>
      </c>
      <c r="F661" t="s">
        <v>43</v>
      </c>
      <c r="G661">
        <f t="shared" ref="G661:G665" si="105">G660</f>
        <v>27</v>
      </c>
      <c r="I661" s="11">
        <f t="shared" si="98"/>
        <v>46301</v>
      </c>
      <c r="J661" t="s">
        <v>44</v>
      </c>
      <c r="K661" t="str">
        <f t="shared" si="99"/>
        <v>/* OCTUBRE        */ { nombre: "Ordinario, Semana XXVII, MARTES", archivo: "/ev/to/27/martes.mp3", fecha: `${year}-10-06` },</v>
      </c>
      <c r="L661" s="10">
        <f t="shared" si="100"/>
        <v>46301</v>
      </c>
    </row>
    <row r="662" spans="1:12" x14ac:dyDescent="0.25">
      <c r="A662" t="str" cm="1">
        <f t="array" ref="A662">_xlfn.IFS(E662="Adviento","ta", E662="Navidad","tn", E662="Epifania","te", E662="Ordinario","to", E662="Cuaresma","tc", E662="Domingo De Ramos","tc", E662="Semana Santa","ss", E662="Triduo Pascual","tp", E662="Vigilia Pascual","tp", E662="Pascual","tp")</f>
        <v>to</v>
      </c>
      <c r="B662" s="14" t="str">
        <f t="shared" ref="B662:B725" si="106">_xlfn.CONCAT("/* ",UPPER(TEXT(D662,"[$-es-ES]mmmm")),"        */")</f>
        <v>/* OCTUBRE        */</v>
      </c>
      <c r="C662" s="15">
        <f t="shared" si="96"/>
        <v>46302</v>
      </c>
      <c r="D662" s="9">
        <f t="shared" si="97"/>
        <v>46302</v>
      </c>
      <c r="E662" t="s">
        <v>47</v>
      </c>
      <c r="F662" t="s">
        <v>43</v>
      </c>
      <c r="G662">
        <f t="shared" si="105"/>
        <v>27</v>
      </c>
      <c r="I662" s="11">
        <f t="shared" si="98"/>
        <v>46302</v>
      </c>
      <c r="J662" t="s">
        <v>44</v>
      </c>
      <c r="K662" t="str">
        <f t="shared" si="99"/>
        <v>/* OCTUBRE        */ { nombre: "Ordinario, Semana XXVII, MIÉRCOLES", archivo: "/ev/to/27/miércoles.mp3", fecha: `${year}-10-07` },</v>
      </c>
      <c r="L662" s="10">
        <f t="shared" si="100"/>
        <v>46302</v>
      </c>
    </row>
    <row r="663" spans="1:12" x14ac:dyDescent="0.25">
      <c r="A663" t="str" cm="1">
        <f t="array" ref="A663">_xlfn.IFS(E663="Adviento","ta", E663="Navidad","tn", E663="Epifania","te", E663="Ordinario","to", E663="Cuaresma","tc", E663="Domingo De Ramos","tc", E663="Semana Santa","ss", E663="Triduo Pascual","tp", E663="Vigilia Pascual","tp", E663="Pascual","tp")</f>
        <v>to</v>
      </c>
      <c r="B663" s="14" t="str">
        <f t="shared" si="106"/>
        <v>/* OCTUBRE        */</v>
      </c>
      <c r="C663" s="15">
        <f t="shared" si="96"/>
        <v>46303</v>
      </c>
      <c r="D663" s="9">
        <f t="shared" si="97"/>
        <v>46303</v>
      </c>
      <c r="E663" t="s">
        <v>47</v>
      </c>
      <c r="F663" t="s">
        <v>43</v>
      </c>
      <c r="G663">
        <f t="shared" si="105"/>
        <v>27</v>
      </c>
      <c r="I663" s="11">
        <f t="shared" si="98"/>
        <v>46303</v>
      </c>
      <c r="J663" t="s">
        <v>44</v>
      </c>
      <c r="K663" t="str">
        <f t="shared" si="99"/>
        <v>/* OCTUBRE        */ { nombre: "Ordinario, Semana XXVII, JUEVES", archivo: "/ev/to/27/jueves.mp3", fecha: `${year}-10-08` },</v>
      </c>
      <c r="L663" s="10">
        <f t="shared" si="100"/>
        <v>46303</v>
      </c>
    </row>
    <row r="664" spans="1:12" x14ac:dyDescent="0.25">
      <c r="A664" t="str" cm="1">
        <f t="array" ref="A664">_xlfn.IFS(E664="Adviento","ta", E664="Navidad","tn", E664="Epifania","te", E664="Ordinario","to", E664="Cuaresma","tc", E664="Domingo De Ramos","tc", E664="Semana Santa","ss", E664="Triduo Pascual","tp", E664="Vigilia Pascual","tp", E664="Pascual","tp")</f>
        <v>to</v>
      </c>
      <c r="B664" s="14" t="str">
        <f t="shared" si="106"/>
        <v>/* OCTUBRE        */</v>
      </c>
      <c r="C664" s="15">
        <f t="shared" si="96"/>
        <v>46304</v>
      </c>
      <c r="D664" s="9">
        <f t="shared" si="97"/>
        <v>46304</v>
      </c>
      <c r="E664" t="s">
        <v>47</v>
      </c>
      <c r="F664" t="s">
        <v>43</v>
      </c>
      <c r="G664">
        <f t="shared" si="105"/>
        <v>27</v>
      </c>
      <c r="I664" s="11">
        <f t="shared" si="98"/>
        <v>46304</v>
      </c>
      <c r="J664" t="s">
        <v>44</v>
      </c>
      <c r="K664" t="str">
        <f t="shared" si="99"/>
        <v>/* OCTUBRE        */ { nombre: "Ordinario, Semana XXVII, VIERNES", archivo: "/ev/to/27/viernes.mp3", fecha: `${year}-10-09` },</v>
      </c>
      <c r="L664" s="10">
        <f t="shared" si="100"/>
        <v>46304</v>
      </c>
    </row>
    <row r="665" spans="1:12" x14ac:dyDescent="0.25">
      <c r="A665" t="str" cm="1">
        <f t="array" ref="A665">_xlfn.IFS(E665="Adviento","ta", E665="Navidad","tn", E665="Epifania","te", E665="Ordinario","to", E665="Cuaresma","tc", E665="Domingo De Ramos","tc", E665="Semana Santa","ss", E665="Triduo Pascual","tp", E665="Vigilia Pascual","tp", E665="Pascual","tp")</f>
        <v>to</v>
      </c>
      <c r="B665" s="14" t="str">
        <f t="shared" si="106"/>
        <v>/* OCTUBRE        */</v>
      </c>
      <c r="C665" s="15">
        <f t="shared" si="96"/>
        <v>46305</v>
      </c>
      <c r="D665" s="9">
        <f t="shared" si="97"/>
        <v>46305</v>
      </c>
      <c r="E665" t="s">
        <v>47</v>
      </c>
      <c r="F665" t="s">
        <v>43</v>
      </c>
      <c r="G665">
        <f t="shared" si="105"/>
        <v>27</v>
      </c>
      <c r="I665" s="11">
        <f t="shared" si="98"/>
        <v>46305</v>
      </c>
      <c r="J665" t="s">
        <v>44</v>
      </c>
      <c r="K665" t="str">
        <f t="shared" si="99"/>
        <v>/* OCTUBRE        */ { nombre: "Ordinario, Semana XXVII, SÁBADO", archivo: "/ev/to/27/sábado.mp3", fecha: `${year}-10-10` },</v>
      </c>
      <c r="L665" s="10">
        <f t="shared" si="100"/>
        <v>46305</v>
      </c>
    </row>
    <row r="666" spans="1:12" x14ac:dyDescent="0.25">
      <c r="A666" t="str" cm="1">
        <f t="array" ref="A666">_xlfn.IFS(E666="Adviento","ta", E666="Navidad","tn", E666="Epifania","te", E666="Ordinario","to", E666="Cuaresma","tc", E666="Domingo De Ramos","tc", E666="Semana Santa","ss", E666="Triduo Pascual","tp", E666="Vigilia Pascual","tp", E666="Pascual","tp")</f>
        <v>to</v>
      </c>
      <c r="B666" s="14" t="str">
        <f t="shared" si="106"/>
        <v>/* OCTUBRE        */</v>
      </c>
      <c r="C666" s="15">
        <f t="shared" si="96"/>
        <v>46306</v>
      </c>
      <c r="D666" s="9">
        <f t="shared" si="97"/>
        <v>46306</v>
      </c>
      <c r="E666" t="s">
        <v>47</v>
      </c>
      <c r="F666" t="s">
        <v>43</v>
      </c>
      <c r="G666">
        <f>+G665+1</f>
        <v>28</v>
      </c>
      <c r="I666" s="11">
        <f t="shared" si="98"/>
        <v>46306</v>
      </c>
      <c r="J666" t="s">
        <v>44</v>
      </c>
      <c r="K666" t="str">
        <f t="shared" si="99"/>
        <v>/* OCTUBRE        */ { nombre: "Ordinario, Semana XXVIII, DOMINGO", archivo: "/ev/to/28/domingo.mp3", fecha: `${year}-10-11` },</v>
      </c>
      <c r="L666" s="10">
        <f t="shared" si="100"/>
        <v>46306</v>
      </c>
    </row>
    <row r="667" spans="1:12" x14ac:dyDescent="0.25">
      <c r="A667" t="str" cm="1">
        <f t="array" ref="A667">_xlfn.IFS(E667="Adviento","ta", E667="Navidad","tn", E667="Epifania","te", E667="Ordinario","to", E667="Cuaresma","tc", E667="Domingo De Ramos","tc", E667="Semana Santa","ss", E667="Triduo Pascual","tp", E667="Vigilia Pascual","tp", E667="Pascual","tp")</f>
        <v>to</v>
      </c>
      <c r="B667" s="14" t="str">
        <f t="shared" si="106"/>
        <v>/* OCTUBRE        */</v>
      </c>
      <c r="C667" s="15">
        <f t="shared" si="96"/>
        <v>46307</v>
      </c>
      <c r="D667" s="9">
        <f t="shared" si="97"/>
        <v>46307</v>
      </c>
      <c r="E667" t="s">
        <v>47</v>
      </c>
      <c r="F667" t="s">
        <v>43</v>
      </c>
      <c r="G667">
        <f>G666</f>
        <v>28</v>
      </c>
      <c r="I667" s="11">
        <f t="shared" si="98"/>
        <v>46307</v>
      </c>
      <c r="J667" t="s">
        <v>44</v>
      </c>
      <c r="K667" t="str">
        <f t="shared" si="99"/>
        <v>/* OCTUBRE        */ { nombre: "Ordinario, Semana XXVIII, LUNES", archivo: "/ev/to/28/lunes.mp3", fecha: `${year}-10-12` },</v>
      </c>
      <c r="L667" s="10">
        <f t="shared" si="100"/>
        <v>46307</v>
      </c>
    </row>
    <row r="668" spans="1:12" x14ac:dyDescent="0.25">
      <c r="A668" t="str" cm="1">
        <f t="array" ref="A668">_xlfn.IFS(E668="Adviento","ta", E668="Navidad","tn", E668="Epifania","te", E668="Ordinario","to", E668="Cuaresma","tc", E668="Domingo De Ramos","tc", E668="Semana Santa","ss", E668="Triduo Pascual","tp", E668="Vigilia Pascual","tp", E668="Pascual","tp")</f>
        <v>to</v>
      </c>
      <c r="B668" s="14" t="str">
        <f t="shared" si="106"/>
        <v>/* OCTUBRE        */</v>
      </c>
      <c r="C668" s="15">
        <f t="shared" si="96"/>
        <v>46308</v>
      </c>
      <c r="D668" s="9">
        <f t="shared" si="97"/>
        <v>46308</v>
      </c>
      <c r="E668" t="s">
        <v>47</v>
      </c>
      <c r="F668" t="s">
        <v>43</v>
      </c>
      <c r="G668">
        <f t="shared" ref="G668:G672" si="107">G667</f>
        <v>28</v>
      </c>
      <c r="I668" s="11">
        <f t="shared" si="98"/>
        <v>46308</v>
      </c>
      <c r="J668" t="s">
        <v>44</v>
      </c>
      <c r="K668" t="str">
        <f t="shared" si="99"/>
        <v>/* OCTUBRE        */ { nombre: "Ordinario, Semana XXVIII, MARTES", archivo: "/ev/to/28/martes.mp3", fecha: `${year}-10-13` },</v>
      </c>
      <c r="L668" s="10">
        <f t="shared" si="100"/>
        <v>46308</v>
      </c>
    </row>
    <row r="669" spans="1:12" x14ac:dyDescent="0.25">
      <c r="A669" t="str" cm="1">
        <f t="array" ref="A669">_xlfn.IFS(E669="Adviento","ta", E669="Navidad","tn", E669="Epifania","te", E669="Ordinario","to", E669="Cuaresma","tc", E669="Domingo De Ramos","tc", E669="Semana Santa","ss", E669="Triduo Pascual","tp", E669="Vigilia Pascual","tp", E669="Pascual","tp")</f>
        <v>to</v>
      </c>
      <c r="B669" s="14" t="str">
        <f t="shared" si="106"/>
        <v>/* OCTUBRE        */</v>
      </c>
      <c r="C669" s="15">
        <f t="shared" si="96"/>
        <v>46309</v>
      </c>
      <c r="D669" s="9">
        <f t="shared" si="97"/>
        <v>46309</v>
      </c>
      <c r="E669" t="s">
        <v>47</v>
      </c>
      <c r="F669" t="s">
        <v>43</v>
      </c>
      <c r="G669">
        <f t="shared" si="107"/>
        <v>28</v>
      </c>
      <c r="I669" s="11">
        <f t="shared" si="98"/>
        <v>46309</v>
      </c>
      <c r="J669" t="s">
        <v>44</v>
      </c>
      <c r="K669" t="str">
        <f t="shared" si="99"/>
        <v>/* OCTUBRE        */ { nombre: "Ordinario, Semana XXVIII, MIÉRCOLES", archivo: "/ev/to/28/miércoles.mp3", fecha: `${year}-10-14` },</v>
      </c>
      <c r="L669" s="10">
        <f t="shared" si="100"/>
        <v>46309</v>
      </c>
    </row>
    <row r="670" spans="1:12" x14ac:dyDescent="0.25">
      <c r="A670" t="str" cm="1">
        <f t="array" ref="A670">_xlfn.IFS(E670="Adviento","ta", E670="Navidad","tn", E670="Epifania","te", E670="Ordinario","to", E670="Cuaresma","tc", E670="Domingo De Ramos","tc", E670="Semana Santa","ss", E670="Triduo Pascual","tp", E670="Vigilia Pascual","tp", E670="Pascual","tp")</f>
        <v>to</v>
      </c>
      <c r="B670" s="14" t="str">
        <f t="shared" si="106"/>
        <v>/* OCTUBRE        */</v>
      </c>
      <c r="C670" s="15">
        <f t="shared" si="96"/>
        <v>46310</v>
      </c>
      <c r="D670" s="9">
        <f t="shared" si="97"/>
        <v>46310</v>
      </c>
      <c r="E670" t="s">
        <v>47</v>
      </c>
      <c r="F670" t="s">
        <v>43</v>
      </c>
      <c r="G670">
        <f t="shared" si="107"/>
        <v>28</v>
      </c>
      <c r="I670" s="11">
        <f t="shared" si="98"/>
        <v>46310</v>
      </c>
      <c r="J670" t="s">
        <v>44</v>
      </c>
      <c r="K670" t="str">
        <f t="shared" si="99"/>
        <v>/* OCTUBRE        */ { nombre: "Ordinario, Semana XXVIII, JUEVES", archivo: "/ev/to/28/jueves.mp3", fecha: `${year}-10-15` },</v>
      </c>
      <c r="L670" s="10">
        <f t="shared" si="100"/>
        <v>46310</v>
      </c>
    </row>
    <row r="671" spans="1:12" x14ac:dyDescent="0.25">
      <c r="A671" t="str" cm="1">
        <f t="array" ref="A671">_xlfn.IFS(E671="Adviento","ta", E671="Navidad","tn", E671="Epifania","te", E671="Ordinario","to", E671="Cuaresma","tc", E671="Domingo De Ramos","tc", E671="Semana Santa","ss", E671="Triduo Pascual","tp", E671="Vigilia Pascual","tp", E671="Pascual","tp")</f>
        <v>to</v>
      </c>
      <c r="B671" s="14" t="str">
        <f t="shared" si="106"/>
        <v>/* OCTUBRE        */</v>
      </c>
      <c r="C671" s="15">
        <f t="shared" si="96"/>
        <v>46311</v>
      </c>
      <c r="D671" s="9">
        <f t="shared" si="97"/>
        <v>46311</v>
      </c>
      <c r="E671" t="s">
        <v>47</v>
      </c>
      <c r="F671" t="s">
        <v>43</v>
      </c>
      <c r="G671">
        <f t="shared" si="107"/>
        <v>28</v>
      </c>
      <c r="I671" s="11">
        <f t="shared" si="98"/>
        <v>46311</v>
      </c>
      <c r="J671" t="s">
        <v>44</v>
      </c>
      <c r="K671" t="str">
        <f t="shared" si="99"/>
        <v>/* OCTUBRE        */ { nombre: "Ordinario, Semana XXVIII, VIERNES", archivo: "/ev/to/28/viernes.mp3", fecha: `${year}-10-16` },</v>
      </c>
      <c r="L671" s="10">
        <f t="shared" si="100"/>
        <v>46311</v>
      </c>
    </row>
    <row r="672" spans="1:12" x14ac:dyDescent="0.25">
      <c r="A672" t="str" cm="1">
        <f t="array" ref="A672">_xlfn.IFS(E672="Adviento","ta", E672="Navidad","tn", E672="Epifania","te", E672="Ordinario","to", E672="Cuaresma","tc", E672="Domingo De Ramos","tc", E672="Semana Santa","ss", E672="Triduo Pascual","tp", E672="Vigilia Pascual","tp", E672="Pascual","tp")</f>
        <v>to</v>
      </c>
      <c r="B672" s="14" t="str">
        <f t="shared" si="106"/>
        <v>/* OCTUBRE        */</v>
      </c>
      <c r="C672" s="15">
        <f t="shared" si="96"/>
        <v>46312</v>
      </c>
      <c r="D672" s="9">
        <f t="shared" si="97"/>
        <v>46312</v>
      </c>
      <c r="E672" t="s">
        <v>47</v>
      </c>
      <c r="F672" t="s">
        <v>43</v>
      </c>
      <c r="G672">
        <f t="shared" si="107"/>
        <v>28</v>
      </c>
      <c r="I672" s="11">
        <f t="shared" si="98"/>
        <v>46312</v>
      </c>
      <c r="J672" t="s">
        <v>44</v>
      </c>
      <c r="K672" t="str">
        <f t="shared" si="99"/>
        <v>/* OCTUBRE        */ { nombre: "Ordinario, Semana XXVIII, SÁBADO", archivo: "/ev/to/28/sábado.mp3", fecha: `${year}-10-17` },</v>
      </c>
      <c r="L672" s="10">
        <f t="shared" si="100"/>
        <v>46312</v>
      </c>
    </row>
    <row r="673" spans="1:12" x14ac:dyDescent="0.25">
      <c r="A673" t="str" cm="1">
        <f t="array" ref="A673">_xlfn.IFS(E673="Adviento","ta", E673="Navidad","tn", E673="Epifania","te", E673="Ordinario","to", E673="Cuaresma","tc", E673="Domingo De Ramos","tc", E673="Semana Santa","ss", E673="Triduo Pascual","tp", E673="Vigilia Pascual","tp", E673="Pascual","tp")</f>
        <v>to</v>
      </c>
      <c r="B673" s="14" t="str">
        <f t="shared" si="106"/>
        <v>/* OCTUBRE        */</v>
      </c>
      <c r="C673" s="15">
        <f t="shared" si="96"/>
        <v>46313</v>
      </c>
      <c r="D673" s="9">
        <f t="shared" si="97"/>
        <v>46313</v>
      </c>
      <c r="E673" t="s">
        <v>47</v>
      </c>
      <c r="F673" t="s">
        <v>43</v>
      </c>
      <c r="G673">
        <f>+G672+1</f>
        <v>29</v>
      </c>
      <c r="I673" s="11">
        <f t="shared" si="98"/>
        <v>46313</v>
      </c>
      <c r="J673" t="s">
        <v>44</v>
      </c>
      <c r="K673" t="str">
        <f t="shared" si="99"/>
        <v>/* OCTUBRE        */ { nombre: "Ordinario, Semana XXIX, DOMINGO", archivo: "/ev/to/29/domingo.mp3", fecha: `${year}-10-18` },</v>
      </c>
      <c r="L673" s="10">
        <f t="shared" si="100"/>
        <v>46313</v>
      </c>
    </row>
    <row r="674" spans="1:12" x14ac:dyDescent="0.25">
      <c r="A674" t="str" cm="1">
        <f t="array" ref="A674">_xlfn.IFS(E674="Adviento","ta", E674="Navidad","tn", E674="Epifania","te", E674="Ordinario","to", E674="Cuaresma","tc", E674="Domingo De Ramos","tc", E674="Semana Santa","ss", E674="Triduo Pascual","tp", E674="Vigilia Pascual","tp", E674="Pascual","tp")</f>
        <v>to</v>
      </c>
      <c r="B674" s="14" t="str">
        <f t="shared" si="106"/>
        <v>/* OCTUBRE        */</v>
      </c>
      <c r="C674" s="15">
        <f t="shared" si="96"/>
        <v>46314</v>
      </c>
      <c r="D674" s="9">
        <f t="shared" si="97"/>
        <v>46314</v>
      </c>
      <c r="E674" t="s">
        <v>47</v>
      </c>
      <c r="F674" t="s">
        <v>43</v>
      </c>
      <c r="G674">
        <f>G673</f>
        <v>29</v>
      </c>
      <c r="I674" s="11">
        <f t="shared" si="98"/>
        <v>46314</v>
      </c>
      <c r="J674" t="s">
        <v>44</v>
      </c>
      <c r="K674" t="str">
        <f t="shared" si="99"/>
        <v>/* OCTUBRE        */ { nombre: "Ordinario, Semana XXIX, LUNES", archivo: "/ev/to/29/lunes.mp3", fecha: `${year}-10-19` },</v>
      </c>
      <c r="L674" s="10">
        <f t="shared" si="100"/>
        <v>46314</v>
      </c>
    </row>
    <row r="675" spans="1:12" x14ac:dyDescent="0.25">
      <c r="A675" t="str" cm="1">
        <f t="array" ref="A675">_xlfn.IFS(E675="Adviento","ta", E675="Navidad","tn", E675="Epifania","te", E675="Ordinario","to", E675="Cuaresma","tc", E675="Domingo De Ramos","tc", E675="Semana Santa","ss", E675="Triduo Pascual","tp", E675="Vigilia Pascual","tp", E675="Pascual","tp")</f>
        <v>to</v>
      </c>
      <c r="B675" s="14" t="str">
        <f t="shared" si="106"/>
        <v>/* OCTUBRE        */</v>
      </c>
      <c r="C675" s="15">
        <f t="shared" si="96"/>
        <v>46315</v>
      </c>
      <c r="D675" s="9">
        <f t="shared" si="97"/>
        <v>46315</v>
      </c>
      <c r="E675" t="s">
        <v>47</v>
      </c>
      <c r="F675" t="s">
        <v>43</v>
      </c>
      <c r="G675">
        <f t="shared" ref="G675:G679" si="108">G674</f>
        <v>29</v>
      </c>
      <c r="I675" s="11">
        <f t="shared" si="98"/>
        <v>46315</v>
      </c>
      <c r="J675" t="s">
        <v>44</v>
      </c>
      <c r="K675" t="str">
        <f t="shared" si="99"/>
        <v>/* OCTUBRE        */ { nombre: "Ordinario, Semana XXIX, MARTES", archivo: "/ev/to/29/martes.mp3", fecha: `${year}-10-20` },</v>
      </c>
      <c r="L675" s="10">
        <f t="shared" si="100"/>
        <v>46315</v>
      </c>
    </row>
    <row r="676" spans="1:12" x14ac:dyDescent="0.25">
      <c r="A676" t="str" cm="1">
        <f t="array" ref="A676">_xlfn.IFS(E676="Adviento","ta", E676="Navidad","tn", E676="Epifania","te", E676="Ordinario","to", E676="Cuaresma","tc", E676="Domingo De Ramos","tc", E676="Semana Santa","ss", E676="Triduo Pascual","tp", E676="Vigilia Pascual","tp", E676="Pascual","tp")</f>
        <v>to</v>
      </c>
      <c r="B676" s="14" t="str">
        <f t="shared" si="106"/>
        <v>/* OCTUBRE        */</v>
      </c>
      <c r="C676" s="15">
        <f t="shared" si="96"/>
        <v>46316</v>
      </c>
      <c r="D676" s="9">
        <f t="shared" si="97"/>
        <v>46316</v>
      </c>
      <c r="E676" t="s">
        <v>47</v>
      </c>
      <c r="F676" t="s">
        <v>43</v>
      </c>
      <c r="G676">
        <f t="shared" si="108"/>
        <v>29</v>
      </c>
      <c r="I676" s="11">
        <f t="shared" si="98"/>
        <v>46316</v>
      </c>
      <c r="J676" t="s">
        <v>44</v>
      </c>
      <c r="K676" t="str">
        <f t="shared" si="99"/>
        <v>/* OCTUBRE        */ { nombre: "Ordinario, Semana XXIX, MIÉRCOLES", archivo: "/ev/to/29/miércoles.mp3", fecha: `${year}-10-21` },</v>
      </c>
      <c r="L676" s="10">
        <f t="shared" si="100"/>
        <v>46316</v>
      </c>
    </row>
    <row r="677" spans="1:12" x14ac:dyDescent="0.25">
      <c r="A677" t="str" cm="1">
        <f t="array" ref="A677">_xlfn.IFS(E677="Adviento","ta", E677="Navidad","tn", E677="Epifania","te", E677="Ordinario","to", E677="Cuaresma","tc", E677="Domingo De Ramos","tc", E677="Semana Santa","ss", E677="Triduo Pascual","tp", E677="Vigilia Pascual","tp", E677="Pascual","tp")</f>
        <v>to</v>
      </c>
      <c r="B677" s="14" t="str">
        <f t="shared" si="106"/>
        <v>/* OCTUBRE        */</v>
      </c>
      <c r="C677" s="15">
        <f t="shared" si="96"/>
        <v>46317</v>
      </c>
      <c r="D677" s="9">
        <f t="shared" si="97"/>
        <v>46317</v>
      </c>
      <c r="E677" t="s">
        <v>47</v>
      </c>
      <c r="F677" t="s">
        <v>43</v>
      </c>
      <c r="G677">
        <f t="shared" si="108"/>
        <v>29</v>
      </c>
      <c r="I677" s="11">
        <f t="shared" si="98"/>
        <v>46317</v>
      </c>
      <c r="J677" t="s">
        <v>44</v>
      </c>
      <c r="K677" t="str">
        <f t="shared" si="99"/>
        <v>/* OCTUBRE        */ { nombre: "Ordinario, Semana XXIX, JUEVES", archivo: "/ev/to/29/jueves.mp3", fecha: `${year}-10-22` },</v>
      </c>
      <c r="L677" s="10">
        <f t="shared" si="100"/>
        <v>46317</v>
      </c>
    </row>
    <row r="678" spans="1:12" x14ac:dyDescent="0.25">
      <c r="A678" t="str" cm="1">
        <f t="array" ref="A678">_xlfn.IFS(E678="Adviento","ta", E678="Navidad","tn", E678="Epifania","te", E678="Ordinario","to", E678="Cuaresma","tc", E678="Domingo De Ramos","tc", E678="Semana Santa","ss", E678="Triduo Pascual","tp", E678="Vigilia Pascual","tp", E678="Pascual","tp")</f>
        <v>to</v>
      </c>
      <c r="B678" s="14" t="str">
        <f t="shared" si="106"/>
        <v>/* OCTUBRE        */</v>
      </c>
      <c r="C678" s="15">
        <f t="shared" si="96"/>
        <v>46318</v>
      </c>
      <c r="D678" s="9">
        <f t="shared" si="97"/>
        <v>46318</v>
      </c>
      <c r="E678" t="s">
        <v>47</v>
      </c>
      <c r="F678" t="s">
        <v>43</v>
      </c>
      <c r="G678">
        <f t="shared" si="108"/>
        <v>29</v>
      </c>
      <c r="I678" s="11">
        <f t="shared" si="98"/>
        <v>46318</v>
      </c>
      <c r="J678" t="s">
        <v>44</v>
      </c>
      <c r="K678" t="str">
        <f t="shared" si="99"/>
        <v>/* OCTUBRE        */ { nombre: "Ordinario, Semana XXIX, VIERNES", archivo: "/ev/to/29/viernes.mp3", fecha: `${year}-10-23` },</v>
      </c>
      <c r="L678" s="10">
        <f t="shared" si="100"/>
        <v>46318</v>
      </c>
    </row>
    <row r="679" spans="1:12" x14ac:dyDescent="0.25">
      <c r="A679" t="str" cm="1">
        <f t="array" ref="A679">_xlfn.IFS(E679="Adviento","ta", E679="Navidad","tn", E679="Epifania","te", E679="Ordinario","to", E679="Cuaresma","tc", E679="Domingo De Ramos","tc", E679="Semana Santa","ss", E679="Triduo Pascual","tp", E679="Vigilia Pascual","tp", E679="Pascual","tp")</f>
        <v>to</v>
      </c>
      <c r="B679" s="14" t="str">
        <f t="shared" si="106"/>
        <v>/* OCTUBRE        */</v>
      </c>
      <c r="C679" s="15">
        <f t="shared" si="96"/>
        <v>46319</v>
      </c>
      <c r="D679" s="9">
        <f t="shared" si="97"/>
        <v>46319</v>
      </c>
      <c r="E679" t="s">
        <v>47</v>
      </c>
      <c r="F679" t="s">
        <v>43</v>
      </c>
      <c r="G679">
        <f t="shared" si="108"/>
        <v>29</v>
      </c>
      <c r="I679" s="11">
        <f t="shared" si="98"/>
        <v>46319</v>
      </c>
      <c r="J679" t="s">
        <v>44</v>
      </c>
      <c r="K679" t="str">
        <f t="shared" si="99"/>
        <v>/* OCTUBRE        */ { nombre: "Ordinario, Semana XXIX, SÁBADO", archivo: "/ev/to/29/sábado.mp3", fecha: `${year}-10-24` },</v>
      </c>
      <c r="L679" s="10">
        <f t="shared" si="100"/>
        <v>46319</v>
      </c>
    </row>
    <row r="680" spans="1:12" x14ac:dyDescent="0.25">
      <c r="A680" t="str" cm="1">
        <f t="array" ref="A680">_xlfn.IFS(E680="Adviento","ta", E680="Navidad","tn", E680="Epifania","te", E680="Ordinario","to", E680="Cuaresma","tc", E680="Domingo De Ramos","tc", E680="Semana Santa","ss", E680="Triduo Pascual","tp", E680="Vigilia Pascual","tp", E680="Pascual","tp")</f>
        <v>to</v>
      </c>
      <c r="B680" s="14" t="str">
        <f t="shared" si="106"/>
        <v>/* OCTUBRE        */</v>
      </c>
      <c r="C680" s="15">
        <f t="shared" si="96"/>
        <v>46320</v>
      </c>
      <c r="D680" s="9">
        <f t="shared" si="97"/>
        <v>46320</v>
      </c>
      <c r="E680" t="s">
        <v>47</v>
      </c>
      <c r="F680" t="s">
        <v>43</v>
      </c>
      <c r="G680">
        <f>+G679+1</f>
        <v>30</v>
      </c>
      <c r="I680" s="11">
        <f t="shared" si="98"/>
        <v>46320</v>
      </c>
      <c r="J680" t="s">
        <v>44</v>
      </c>
      <c r="K680" t="str">
        <f t="shared" si="99"/>
        <v>/* OCTUBRE        */ { nombre: "Ordinario, Semana XXX, DOMINGO", archivo: "/ev/to/30/domingo.mp3", fecha: `${year}-10-25` },</v>
      </c>
      <c r="L680" s="10">
        <f t="shared" si="100"/>
        <v>46320</v>
      </c>
    </row>
    <row r="681" spans="1:12" x14ac:dyDescent="0.25">
      <c r="A681" t="str" cm="1">
        <f t="array" ref="A681">_xlfn.IFS(E681="Adviento","ta", E681="Navidad","tn", E681="Epifania","te", E681="Ordinario","to", E681="Cuaresma","tc", E681="Domingo De Ramos","tc", E681="Semana Santa","ss", E681="Triduo Pascual","tp", E681="Vigilia Pascual","tp", E681="Pascual","tp")</f>
        <v>to</v>
      </c>
      <c r="B681" s="14" t="str">
        <f t="shared" si="106"/>
        <v>/* OCTUBRE        */</v>
      </c>
      <c r="C681" s="15">
        <f t="shared" si="96"/>
        <v>46321</v>
      </c>
      <c r="D681" s="9">
        <f t="shared" si="97"/>
        <v>46321</v>
      </c>
      <c r="E681" t="s">
        <v>47</v>
      </c>
      <c r="F681" t="s">
        <v>43</v>
      </c>
      <c r="G681">
        <f>G680</f>
        <v>30</v>
      </c>
      <c r="I681" s="11">
        <f t="shared" si="98"/>
        <v>46321</v>
      </c>
      <c r="J681" t="s">
        <v>44</v>
      </c>
      <c r="K681" t="str">
        <f t="shared" si="99"/>
        <v>/* OCTUBRE        */ { nombre: "Ordinario, Semana XXX, LUNES", archivo: "/ev/to/30/lunes.mp3", fecha: `${year}-10-26` },</v>
      </c>
      <c r="L681" s="10">
        <f t="shared" si="100"/>
        <v>46321</v>
      </c>
    </row>
    <row r="682" spans="1:12" x14ac:dyDescent="0.25">
      <c r="A682" t="str" cm="1">
        <f t="array" ref="A682">_xlfn.IFS(E682="Adviento","ta", E682="Navidad","tn", E682="Epifania","te", E682="Ordinario","to", E682="Cuaresma","tc", E682="Domingo De Ramos","tc", E682="Semana Santa","ss", E682="Triduo Pascual","tp", E682="Vigilia Pascual","tp", E682="Pascual","tp")</f>
        <v>to</v>
      </c>
      <c r="B682" s="14" t="str">
        <f t="shared" si="106"/>
        <v>/* OCTUBRE        */</v>
      </c>
      <c r="C682" s="15">
        <f t="shared" si="96"/>
        <v>46322</v>
      </c>
      <c r="D682" s="9">
        <f t="shared" si="97"/>
        <v>46322</v>
      </c>
      <c r="E682" t="s">
        <v>47</v>
      </c>
      <c r="F682" t="s">
        <v>43</v>
      </c>
      <c r="G682">
        <f t="shared" ref="G682:G686" si="109">G681</f>
        <v>30</v>
      </c>
      <c r="I682" s="11">
        <f t="shared" si="98"/>
        <v>46322</v>
      </c>
      <c r="J682" t="s">
        <v>44</v>
      </c>
      <c r="K682" t="str">
        <f t="shared" si="99"/>
        <v>/* OCTUBRE        */ { nombre: "Ordinario, Semana XXX, MARTES", archivo: "/ev/to/30/martes.mp3", fecha: `${year}-10-27` },</v>
      </c>
      <c r="L682" s="10">
        <f t="shared" si="100"/>
        <v>46322</v>
      </c>
    </row>
    <row r="683" spans="1:12" x14ac:dyDescent="0.25">
      <c r="A683" t="str" cm="1">
        <f t="array" ref="A683">_xlfn.IFS(E683="Adviento","ta", E683="Navidad","tn", E683="Epifania","te", E683="Ordinario","to", E683="Cuaresma","tc", E683="Domingo De Ramos","tc", E683="Semana Santa","ss", E683="Triduo Pascual","tp", E683="Vigilia Pascual","tp", E683="Pascual","tp")</f>
        <v>to</v>
      </c>
      <c r="B683" s="14" t="str">
        <f t="shared" si="106"/>
        <v>/* OCTUBRE        */</v>
      </c>
      <c r="C683" s="15">
        <f t="shared" si="96"/>
        <v>46323</v>
      </c>
      <c r="D683" s="9">
        <f t="shared" si="97"/>
        <v>46323</v>
      </c>
      <c r="E683" t="s">
        <v>47</v>
      </c>
      <c r="F683" t="s">
        <v>43</v>
      </c>
      <c r="G683">
        <f t="shared" si="109"/>
        <v>30</v>
      </c>
      <c r="I683" s="11">
        <f t="shared" si="98"/>
        <v>46323</v>
      </c>
      <c r="J683" t="s">
        <v>44</v>
      </c>
      <c r="K683" t="str">
        <f t="shared" si="99"/>
        <v>/* OCTUBRE        */ { nombre: "Ordinario, Semana XXX, MIÉRCOLES", archivo: "/ev/to/30/miércoles.mp3", fecha: `${year}-10-28` },</v>
      </c>
      <c r="L683" s="10">
        <f t="shared" si="100"/>
        <v>46323</v>
      </c>
    </row>
    <row r="684" spans="1:12" x14ac:dyDescent="0.25">
      <c r="A684" t="str" cm="1">
        <f t="array" ref="A684">_xlfn.IFS(E684="Adviento","ta", E684="Navidad","tn", E684="Epifania","te", E684="Ordinario","to", E684="Cuaresma","tc", E684="Domingo De Ramos","tc", E684="Semana Santa","ss", E684="Triduo Pascual","tp", E684="Vigilia Pascual","tp", E684="Pascual","tp")</f>
        <v>to</v>
      </c>
      <c r="B684" s="14" t="str">
        <f t="shared" si="106"/>
        <v>/* OCTUBRE        */</v>
      </c>
      <c r="C684" s="15">
        <f t="shared" si="96"/>
        <v>46324</v>
      </c>
      <c r="D684" s="9">
        <f t="shared" si="97"/>
        <v>46324</v>
      </c>
      <c r="E684" t="s">
        <v>47</v>
      </c>
      <c r="F684" t="s">
        <v>43</v>
      </c>
      <c r="G684">
        <f t="shared" si="109"/>
        <v>30</v>
      </c>
      <c r="I684" s="11">
        <f t="shared" si="98"/>
        <v>46324</v>
      </c>
      <c r="J684" t="s">
        <v>44</v>
      </c>
      <c r="K684" t="str">
        <f t="shared" si="99"/>
        <v>/* OCTUBRE        */ { nombre: "Ordinario, Semana XXX, JUEVES", archivo: "/ev/to/30/jueves.mp3", fecha: `${year}-10-29` },</v>
      </c>
      <c r="L684" s="10">
        <f t="shared" si="100"/>
        <v>46324</v>
      </c>
    </row>
    <row r="685" spans="1:12" x14ac:dyDescent="0.25">
      <c r="A685" t="str" cm="1">
        <f t="array" ref="A685">_xlfn.IFS(E685="Adviento","ta", E685="Navidad","tn", E685="Epifania","te", E685="Ordinario","to", E685="Cuaresma","tc", E685="Domingo De Ramos","tc", E685="Semana Santa","ss", E685="Triduo Pascual","tp", E685="Vigilia Pascual","tp", E685="Pascual","tp")</f>
        <v>to</v>
      </c>
      <c r="B685" s="14" t="str">
        <f t="shared" si="106"/>
        <v>/* OCTUBRE        */</v>
      </c>
      <c r="C685" s="15">
        <f t="shared" si="96"/>
        <v>46325</v>
      </c>
      <c r="D685" s="9">
        <f t="shared" si="97"/>
        <v>46325</v>
      </c>
      <c r="E685" t="s">
        <v>47</v>
      </c>
      <c r="F685" t="s">
        <v>43</v>
      </c>
      <c r="G685">
        <f t="shared" si="109"/>
        <v>30</v>
      </c>
      <c r="I685" s="11">
        <f t="shared" si="98"/>
        <v>46325</v>
      </c>
      <c r="J685" t="s">
        <v>44</v>
      </c>
      <c r="K685" t="str">
        <f t="shared" si="99"/>
        <v>/* OCTUBRE        */ { nombre: "Ordinario, Semana XXX, VIERNES", archivo: "/ev/to/30/viernes.mp3", fecha: `${year}-10-30` },</v>
      </c>
      <c r="L685" s="10">
        <f t="shared" si="100"/>
        <v>46325</v>
      </c>
    </row>
    <row r="686" spans="1:12" x14ac:dyDescent="0.25">
      <c r="A686" t="str" cm="1">
        <f t="array" ref="A686">_xlfn.IFS(E686="Adviento","ta", E686="Navidad","tn", E686="Epifania","te", E686="Ordinario","to", E686="Cuaresma","tc", E686="Domingo De Ramos","tc", E686="Semana Santa","ss", E686="Triduo Pascual","tp", E686="Vigilia Pascual","tp", E686="Pascual","tp")</f>
        <v>to</v>
      </c>
      <c r="B686" s="14" t="str">
        <f t="shared" si="106"/>
        <v>/* OCTUBRE        */</v>
      </c>
      <c r="C686" s="15">
        <f t="shared" si="96"/>
        <v>46326</v>
      </c>
      <c r="D686" s="9">
        <f t="shared" si="97"/>
        <v>46326</v>
      </c>
      <c r="E686" t="s">
        <v>47</v>
      </c>
      <c r="F686" t="s">
        <v>43</v>
      </c>
      <c r="G686">
        <f t="shared" si="109"/>
        <v>30</v>
      </c>
      <c r="I686" s="11">
        <f t="shared" si="98"/>
        <v>46326</v>
      </c>
      <c r="J686" t="s">
        <v>44</v>
      </c>
      <c r="K686" t="str">
        <f t="shared" si="99"/>
        <v>/* OCTUBRE        */ { nombre: "Ordinario, Semana XXX, SÁBADO", archivo: "/ev/to/30/sábado.mp3", fecha: `${year}-10-31` },</v>
      </c>
      <c r="L686" s="10">
        <f t="shared" si="100"/>
        <v>46326</v>
      </c>
    </row>
    <row r="687" spans="1:12" x14ac:dyDescent="0.25">
      <c r="A687" t="str" cm="1">
        <f t="array" ref="A687">_xlfn.IFS(E687="Adviento","ta", E687="Navidad","tn", E687="Epifania","te", E687="Ordinario","to", E687="Cuaresma","tc", E687="Domingo De Ramos","tc", E687="Semana Santa","ss", E687="Triduo Pascual","tp", E687="Vigilia Pascual","tp", E687="Pascual","tp")</f>
        <v>to</v>
      </c>
      <c r="B687" s="14" t="str">
        <f t="shared" si="106"/>
        <v>/* NOVIEMBRE        */</v>
      </c>
      <c r="C687" s="15">
        <f t="shared" si="96"/>
        <v>46327</v>
      </c>
      <c r="D687" s="9">
        <f t="shared" si="97"/>
        <v>46327</v>
      </c>
      <c r="E687" t="s">
        <v>47</v>
      </c>
      <c r="F687" t="s">
        <v>43</v>
      </c>
      <c r="G687">
        <f>+G686+1</f>
        <v>31</v>
      </c>
      <c r="I687" s="11">
        <f t="shared" si="98"/>
        <v>46327</v>
      </c>
      <c r="J687" t="s">
        <v>44</v>
      </c>
      <c r="K687" t="str">
        <f t="shared" si="99"/>
        <v>/* NOVIEMBRE        */ { nombre: "Ordinario, Semana XXXI, DOMINGO", archivo: "/ev/to/31/domingo.mp3", fecha: `${year}-11-01` },</v>
      </c>
      <c r="L687" s="10">
        <f t="shared" si="100"/>
        <v>46327</v>
      </c>
    </row>
    <row r="688" spans="1:12" x14ac:dyDescent="0.25">
      <c r="A688" t="str" cm="1">
        <f t="array" ref="A688">_xlfn.IFS(E688="Adviento","ta", E688="Navidad","tn", E688="Epifania","te", E688="Ordinario","to", E688="Cuaresma","tc", E688="Domingo De Ramos","tc", E688="Semana Santa","ss", E688="Triduo Pascual","tp", E688="Vigilia Pascual","tp", E688="Pascual","tp")</f>
        <v>to</v>
      </c>
      <c r="B688" s="14" t="str">
        <f t="shared" si="106"/>
        <v>/* NOVIEMBRE        */</v>
      </c>
      <c r="C688" s="15">
        <f t="shared" si="96"/>
        <v>46328</v>
      </c>
      <c r="D688" s="9">
        <f t="shared" si="97"/>
        <v>46328</v>
      </c>
      <c r="E688" t="s">
        <v>47</v>
      </c>
      <c r="F688" t="s">
        <v>43</v>
      </c>
      <c r="G688">
        <f>G687</f>
        <v>31</v>
      </c>
      <c r="I688" s="11">
        <f t="shared" si="98"/>
        <v>46328</v>
      </c>
      <c r="J688" t="s">
        <v>44</v>
      </c>
      <c r="K688" t="str">
        <f t="shared" si="99"/>
        <v>/* NOVIEMBRE        */ { nombre: "Ordinario, Semana XXXI, LUNES", archivo: "/ev/to/31/lunes.mp3", fecha: `${year}-11-02` },</v>
      </c>
      <c r="L688" s="10">
        <f t="shared" si="100"/>
        <v>46328</v>
      </c>
    </row>
    <row r="689" spans="1:12" x14ac:dyDescent="0.25">
      <c r="A689" t="str" cm="1">
        <f t="array" ref="A689">_xlfn.IFS(E689="Adviento","ta", E689="Navidad","tn", E689="Epifania","te", E689="Ordinario","to", E689="Cuaresma","tc", E689="Domingo De Ramos","tc", E689="Semana Santa","ss", E689="Triduo Pascual","tp", E689="Vigilia Pascual","tp", E689="Pascual","tp")</f>
        <v>to</v>
      </c>
      <c r="B689" s="14" t="str">
        <f t="shared" si="106"/>
        <v>/* NOVIEMBRE        */</v>
      </c>
      <c r="C689" s="15">
        <f t="shared" si="96"/>
        <v>46329</v>
      </c>
      <c r="D689" s="9">
        <f t="shared" si="97"/>
        <v>46329</v>
      </c>
      <c r="E689" t="s">
        <v>47</v>
      </c>
      <c r="F689" t="s">
        <v>43</v>
      </c>
      <c r="G689">
        <f t="shared" ref="G689:G693" si="110">G688</f>
        <v>31</v>
      </c>
      <c r="I689" s="11">
        <f t="shared" si="98"/>
        <v>46329</v>
      </c>
      <c r="J689" t="s">
        <v>44</v>
      </c>
      <c r="K689" t="str">
        <f t="shared" si="99"/>
        <v>/* NOVIEMBRE        */ { nombre: "Ordinario, Semana XXXI, MARTES", archivo: "/ev/to/31/martes.mp3", fecha: `${year}-11-03` },</v>
      </c>
      <c r="L689" s="10">
        <f t="shared" si="100"/>
        <v>46329</v>
      </c>
    </row>
    <row r="690" spans="1:12" x14ac:dyDescent="0.25">
      <c r="A690" t="str" cm="1">
        <f t="array" ref="A690">_xlfn.IFS(E690="Adviento","ta", E690="Navidad","tn", E690="Epifania","te", E690="Ordinario","to", E690="Cuaresma","tc", E690="Domingo De Ramos","tc", E690="Semana Santa","ss", E690="Triduo Pascual","tp", E690="Vigilia Pascual","tp", E690="Pascual","tp")</f>
        <v>to</v>
      </c>
      <c r="B690" s="14" t="str">
        <f t="shared" si="106"/>
        <v>/* NOVIEMBRE        */</v>
      </c>
      <c r="C690" s="15">
        <f t="shared" si="96"/>
        <v>46330</v>
      </c>
      <c r="D690" s="9">
        <f t="shared" si="97"/>
        <v>46330</v>
      </c>
      <c r="E690" t="s">
        <v>47</v>
      </c>
      <c r="F690" t="s">
        <v>43</v>
      </c>
      <c r="G690">
        <f t="shared" si="110"/>
        <v>31</v>
      </c>
      <c r="I690" s="11">
        <f t="shared" si="98"/>
        <v>46330</v>
      </c>
      <c r="J690" t="s">
        <v>44</v>
      </c>
      <c r="K690" t="str">
        <f t="shared" si="99"/>
        <v>/* NOVIEMBRE        */ { nombre: "Ordinario, Semana XXXI, MIÉRCOLES", archivo: "/ev/to/31/miércoles.mp3", fecha: `${year}-11-04` },</v>
      </c>
      <c r="L690" s="10">
        <f t="shared" si="100"/>
        <v>46330</v>
      </c>
    </row>
    <row r="691" spans="1:12" x14ac:dyDescent="0.25">
      <c r="A691" t="str" cm="1">
        <f t="array" ref="A691">_xlfn.IFS(E691="Adviento","ta", E691="Navidad","tn", E691="Epifania","te", E691="Ordinario","to", E691="Cuaresma","tc", E691="Domingo De Ramos","tc", E691="Semana Santa","ss", E691="Triduo Pascual","tp", E691="Vigilia Pascual","tp", E691="Pascual","tp")</f>
        <v>to</v>
      </c>
      <c r="B691" s="14" t="str">
        <f t="shared" si="106"/>
        <v>/* NOVIEMBRE        */</v>
      </c>
      <c r="C691" s="15">
        <f t="shared" si="96"/>
        <v>46331</v>
      </c>
      <c r="D691" s="9">
        <f t="shared" si="97"/>
        <v>46331</v>
      </c>
      <c r="E691" t="s">
        <v>47</v>
      </c>
      <c r="F691" t="s">
        <v>43</v>
      </c>
      <c r="G691">
        <f t="shared" si="110"/>
        <v>31</v>
      </c>
      <c r="I691" s="11">
        <f t="shared" si="98"/>
        <v>46331</v>
      </c>
      <c r="J691" t="s">
        <v>44</v>
      </c>
      <c r="K691" t="str">
        <f t="shared" si="99"/>
        <v>/* NOVIEMBRE        */ { nombre: "Ordinario, Semana XXXI, JUEVES", archivo: "/ev/to/31/jueves.mp3", fecha: `${year}-11-05` },</v>
      </c>
      <c r="L691" s="10">
        <f t="shared" si="100"/>
        <v>46331</v>
      </c>
    </row>
    <row r="692" spans="1:12" x14ac:dyDescent="0.25">
      <c r="A692" t="str" cm="1">
        <f t="array" ref="A692">_xlfn.IFS(E692="Adviento","ta", E692="Navidad","tn", E692="Epifania","te", E692="Ordinario","to", E692="Cuaresma","tc", E692="Domingo De Ramos","tc", E692="Semana Santa","ss", E692="Triduo Pascual","tp", E692="Vigilia Pascual","tp", E692="Pascual","tp")</f>
        <v>to</v>
      </c>
      <c r="B692" s="14" t="str">
        <f t="shared" si="106"/>
        <v>/* NOVIEMBRE        */</v>
      </c>
      <c r="C692" s="15">
        <f t="shared" si="96"/>
        <v>46332</v>
      </c>
      <c r="D692" s="9">
        <f t="shared" si="97"/>
        <v>46332</v>
      </c>
      <c r="E692" t="s">
        <v>47</v>
      </c>
      <c r="F692" t="s">
        <v>43</v>
      </c>
      <c r="G692">
        <f t="shared" si="110"/>
        <v>31</v>
      </c>
      <c r="I692" s="11">
        <f t="shared" si="98"/>
        <v>46332</v>
      </c>
      <c r="J692" t="s">
        <v>44</v>
      </c>
      <c r="K692" t="str">
        <f t="shared" si="99"/>
        <v>/* NOVIEMBRE        */ { nombre: "Ordinario, Semana XXXI, VIERNES", archivo: "/ev/to/31/viernes.mp3", fecha: `${year}-11-06` },</v>
      </c>
      <c r="L692" s="10">
        <f t="shared" si="100"/>
        <v>46332</v>
      </c>
    </row>
    <row r="693" spans="1:12" x14ac:dyDescent="0.25">
      <c r="A693" t="str" cm="1">
        <f t="array" ref="A693">_xlfn.IFS(E693="Adviento","ta", E693="Navidad","tn", E693="Epifania","te", E693="Ordinario","to", E693="Cuaresma","tc", E693="Domingo De Ramos","tc", E693="Semana Santa","ss", E693="Triduo Pascual","tp", E693="Vigilia Pascual","tp", E693="Pascual","tp")</f>
        <v>to</v>
      </c>
      <c r="B693" s="14" t="str">
        <f t="shared" si="106"/>
        <v>/* NOVIEMBRE        */</v>
      </c>
      <c r="C693" s="15">
        <f t="shared" ref="C693:C756" si="111">+C692+1</f>
        <v>46333</v>
      </c>
      <c r="D693" s="9">
        <f t="shared" ref="D693:D756" si="112">+D692+1</f>
        <v>46333</v>
      </c>
      <c r="E693" t="s">
        <v>47</v>
      </c>
      <c r="F693" t="s">
        <v>43</v>
      </c>
      <c r="G693">
        <f t="shared" si="110"/>
        <v>31</v>
      </c>
      <c r="I693" s="11">
        <f t="shared" ref="I693:I756" si="113">D693</f>
        <v>46333</v>
      </c>
      <c r="J693" t="s">
        <v>44</v>
      </c>
      <c r="K693" t="str">
        <f t="shared" ref="K693:K756" si="114">_xlfn.CONCAT(B693, " ", "{ nombre: ", CHAR(34), E693, ", ", F693, " ", ROMAN(G693),H693, ", ", UPPER(TEXT(D693, "[$-es-ES]dddd")), CHAR(34), ", archivo: ", CHAR(34), "/ev/", _xlfn.IFS(E693="Adviento","ta", E693="Navidad","tn", E693="Epifania","te", E693="Ordinario","to", E693="Cuaresma","tc", E693="Domingo De Ramos","tc", E693="Semana Santa","ss", E693="Triduo Pascual","tp", E693="Vigilia Pascual","tp", E693="Pascual","tp"), "/", G693, "/", TEXT(D693, "[$-es-ES]dddd"), ".mp3", CHAR(34), ", fecha: `${year}-", TEXT(D693, "mm-dd"), "` },")</f>
        <v>/* NOVIEMBRE        */ { nombre: "Ordinario, Semana XXXI, SÁBADO", archivo: "/ev/to/31/sábado.mp3", fecha: `${year}-11-07` },</v>
      </c>
      <c r="L693" s="10">
        <f t="shared" ref="L693:L756" si="115">D693</f>
        <v>46333</v>
      </c>
    </row>
    <row r="694" spans="1:12" x14ac:dyDescent="0.25">
      <c r="A694" t="str" cm="1">
        <f t="array" ref="A694">_xlfn.IFS(E694="Adviento","ta", E694="Navidad","tn", E694="Epifania","te", E694="Ordinario","to", E694="Cuaresma","tc", E694="Domingo De Ramos","tc", E694="Semana Santa","ss", E694="Triduo Pascual","tp", E694="Vigilia Pascual","tp", E694="Pascual","tp")</f>
        <v>to</v>
      </c>
      <c r="B694" s="14" t="str">
        <f t="shared" si="106"/>
        <v>/* NOVIEMBRE        */</v>
      </c>
      <c r="C694" s="15">
        <f t="shared" si="111"/>
        <v>46334</v>
      </c>
      <c r="D694" s="9">
        <f t="shared" si="112"/>
        <v>46334</v>
      </c>
      <c r="E694" t="s">
        <v>47</v>
      </c>
      <c r="F694" t="s">
        <v>43</v>
      </c>
      <c r="G694">
        <f>+G693+1</f>
        <v>32</v>
      </c>
      <c r="I694" s="11">
        <f t="shared" si="113"/>
        <v>46334</v>
      </c>
      <c r="J694" t="s">
        <v>44</v>
      </c>
      <c r="K694" t="str">
        <f t="shared" si="114"/>
        <v>/* NOVIEMBRE        */ { nombre: "Ordinario, Semana XXXII, DOMINGO", archivo: "/ev/to/32/domingo.mp3", fecha: `${year}-11-08` },</v>
      </c>
      <c r="L694" s="10">
        <f t="shared" si="115"/>
        <v>46334</v>
      </c>
    </row>
    <row r="695" spans="1:12" x14ac:dyDescent="0.25">
      <c r="A695" t="str" cm="1">
        <f t="array" ref="A695">_xlfn.IFS(E695="Adviento","ta", E695="Navidad","tn", E695="Epifania","te", E695="Ordinario","to", E695="Cuaresma","tc", E695="Domingo De Ramos","tc", E695="Semana Santa","ss", E695="Triduo Pascual","tp", E695="Vigilia Pascual","tp", E695="Pascual","tp")</f>
        <v>to</v>
      </c>
      <c r="B695" s="14" t="str">
        <f t="shared" si="106"/>
        <v>/* NOVIEMBRE        */</v>
      </c>
      <c r="C695" s="15">
        <f t="shared" si="111"/>
        <v>46335</v>
      </c>
      <c r="D695" s="9">
        <f t="shared" si="112"/>
        <v>46335</v>
      </c>
      <c r="E695" t="s">
        <v>47</v>
      </c>
      <c r="F695" t="s">
        <v>43</v>
      </c>
      <c r="G695">
        <f>G694</f>
        <v>32</v>
      </c>
      <c r="I695" s="11">
        <f t="shared" si="113"/>
        <v>46335</v>
      </c>
      <c r="J695" t="s">
        <v>44</v>
      </c>
      <c r="K695" t="str">
        <f t="shared" si="114"/>
        <v>/* NOVIEMBRE        */ { nombre: "Ordinario, Semana XXXII, LUNES", archivo: "/ev/to/32/lunes.mp3", fecha: `${year}-11-09` },</v>
      </c>
      <c r="L695" s="10">
        <f t="shared" si="115"/>
        <v>46335</v>
      </c>
    </row>
    <row r="696" spans="1:12" x14ac:dyDescent="0.25">
      <c r="A696" t="str" cm="1">
        <f t="array" ref="A696">_xlfn.IFS(E696="Adviento","ta", E696="Navidad","tn", E696="Epifania","te", E696="Ordinario","to", E696="Cuaresma","tc", E696="Domingo De Ramos","tc", E696="Semana Santa","ss", E696="Triduo Pascual","tp", E696="Vigilia Pascual","tp", E696="Pascual","tp")</f>
        <v>to</v>
      </c>
      <c r="B696" s="14" t="str">
        <f t="shared" si="106"/>
        <v>/* NOVIEMBRE        */</v>
      </c>
      <c r="C696" s="15">
        <f t="shared" si="111"/>
        <v>46336</v>
      </c>
      <c r="D696" s="9">
        <f t="shared" si="112"/>
        <v>46336</v>
      </c>
      <c r="E696" t="s">
        <v>47</v>
      </c>
      <c r="F696" t="s">
        <v>43</v>
      </c>
      <c r="G696">
        <f t="shared" ref="G696:G700" si="116">G695</f>
        <v>32</v>
      </c>
      <c r="I696" s="11">
        <f t="shared" si="113"/>
        <v>46336</v>
      </c>
      <c r="J696" t="s">
        <v>44</v>
      </c>
      <c r="K696" t="str">
        <f t="shared" si="114"/>
        <v>/* NOVIEMBRE        */ { nombre: "Ordinario, Semana XXXII, MARTES", archivo: "/ev/to/32/martes.mp3", fecha: `${year}-11-10` },</v>
      </c>
      <c r="L696" s="10">
        <f t="shared" si="115"/>
        <v>46336</v>
      </c>
    </row>
    <row r="697" spans="1:12" x14ac:dyDescent="0.25">
      <c r="A697" t="str" cm="1">
        <f t="array" ref="A697">_xlfn.IFS(E697="Adviento","ta", E697="Navidad","tn", E697="Epifania","te", E697="Ordinario","to", E697="Cuaresma","tc", E697="Domingo De Ramos","tc", E697="Semana Santa","ss", E697="Triduo Pascual","tp", E697="Vigilia Pascual","tp", E697="Pascual","tp")</f>
        <v>to</v>
      </c>
      <c r="B697" s="14" t="str">
        <f t="shared" si="106"/>
        <v>/* NOVIEMBRE        */</v>
      </c>
      <c r="C697" s="15">
        <f t="shared" si="111"/>
        <v>46337</v>
      </c>
      <c r="D697" s="9">
        <f t="shared" si="112"/>
        <v>46337</v>
      </c>
      <c r="E697" t="s">
        <v>47</v>
      </c>
      <c r="F697" t="s">
        <v>43</v>
      </c>
      <c r="G697">
        <f t="shared" si="116"/>
        <v>32</v>
      </c>
      <c r="I697" s="11">
        <f t="shared" si="113"/>
        <v>46337</v>
      </c>
      <c r="J697" t="s">
        <v>44</v>
      </c>
      <c r="K697" t="str">
        <f t="shared" si="114"/>
        <v>/* NOVIEMBRE        */ { nombre: "Ordinario, Semana XXXII, MIÉRCOLES", archivo: "/ev/to/32/miércoles.mp3", fecha: `${year}-11-11` },</v>
      </c>
      <c r="L697" s="10">
        <f t="shared" si="115"/>
        <v>46337</v>
      </c>
    </row>
    <row r="698" spans="1:12" x14ac:dyDescent="0.25">
      <c r="A698" t="str" cm="1">
        <f t="array" ref="A698">_xlfn.IFS(E698="Adviento","ta", E698="Navidad","tn", E698="Epifania","te", E698="Ordinario","to", E698="Cuaresma","tc", E698="Domingo De Ramos","tc", E698="Semana Santa","ss", E698="Triduo Pascual","tp", E698="Vigilia Pascual","tp", E698="Pascual","tp")</f>
        <v>to</v>
      </c>
      <c r="B698" s="14" t="str">
        <f t="shared" si="106"/>
        <v>/* NOVIEMBRE        */</v>
      </c>
      <c r="C698" s="15">
        <f t="shared" si="111"/>
        <v>46338</v>
      </c>
      <c r="D698" s="9">
        <f t="shared" si="112"/>
        <v>46338</v>
      </c>
      <c r="E698" t="s">
        <v>47</v>
      </c>
      <c r="F698" t="s">
        <v>43</v>
      </c>
      <c r="G698">
        <f t="shared" si="116"/>
        <v>32</v>
      </c>
      <c r="I698" s="11">
        <f t="shared" si="113"/>
        <v>46338</v>
      </c>
      <c r="J698" t="s">
        <v>44</v>
      </c>
      <c r="K698" t="str">
        <f t="shared" si="114"/>
        <v>/* NOVIEMBRE        */ { nombre: "Ordinario, Semana XXXII, JUEVES", archivo: "/ev/to/32/jueves.mp3", fecha: `${year}-11-12` },</v>
      </c>
      <c r="L698" s="10">
        <f t="shared" si="115"/>
        <v>46338</v>
      </c>
    </row>
    <row r="699" spans="1:12" x14ac:dyDescent="0.25">
      <c r="A699" t="str" cm="1">
        <f t="array" ref="A699">_xlfn.IFS(E699="Adviento","ta", E699="Navidad","tn", E699="Epifania","te", E699="Ordinario","to", E699="Cuaresma","tc", E699="Domingo De Ramos","tc", E699="Semana Santa","ss", E699="Triduo Pascual","tp", E699="Vigilia Pascual","tp", E699="Pascual","tp")</f>
        <v>to</v>
      </c>
      <c r="B699" s="14" t="str">
        <f t="shared" si="106"/>
        <v>/* NOVIEMBRE        */</v>
      </c>
      <c r="C699" s="15">
        <f t="shared" si="111"/>
        <v>46339</v>
      </c>
      <c r="D699" s="9">
        <f t="shared" si="112"/>
        <v>46339</v>
      </c>
      <c r="E699" t="s">
        <v>47</v>
      </c>
      <c r="F699" t="s">
        <v>43</v>
      </c>
      <c r="G699">
        <f t="shared" si="116"/>
        <v>32</v>
      </c>
      <c r="I699" s="11">
        <f t="shared" si="113"/>
        <v>46339</v>
      </c>
      <c r="J699" t="s">
        <v>44</v>
      </c>
      <c r="K699" t="str">
        <f t="shared" si="114"/>
        <v>/* NOVIEMBRE        */ { nombre: "Ordinario, Semana XXXII, VIERNES", archivo: "/ev/to/32/viernes.mp3", fecha: `${year}-11-13` },</v>
      </c>
      <c r="L699" s="10">
        <f t="shared" si="115"/>
        <v>46339</v>
      </c>
    </row>
    <row r="700" spans="1:12" x14ac:dyDescent="0.25">
      <c r="A700" t="str" cm="1">
        <f t="array" ref="A700">_xlfn.IFS(E700="Adviento","ta", E700="Navidad","tn", E700="Epifania","te", E700="Ordinario","to", E700="Cuaresma","tc", E700="Domingo De Ramos","tc", E700="Semana Santa","ss", E700="Triduo Pascual","tp", E700="Vigilia Pascual","tp", E700="Pascual","tp")</f>
        <v>to</v>
      </c>
      <c r="B700" s="14" t="str">
        <f t="shared" si="106"/>
        <v>/* NOVIEMBRE        */</v>
      </c>
      <c r="C700" s="15">
        <f t="shared" si="111"/>
        <v>46340</v>
      </c>
      <c r="D700" s="9">
        <f t="shared" si="112"/>
        <v>46340</v>
      </c>
      <c r="E700" t="s">
        <v>47</v>
      </c>
      <c r="F700" t="s">
        <v>43</v>
      </c>
      <c r="G700">
        <f t="shared" si="116"/>
        <v>32</v>
      </c>
      <c r="I700" s="11">
        <f t="shared" si="113"/>
        <v>46340</v>
      </c>
      <c r="J700" t="s">
        <v>44</v>
      </c>
      <c r="K700" t="str">
        <f t="shared" si="114"/>
        <v>/* NOVIEMBRE        */ { nombre: "Ordinario, Semana XXXII, SÁBADO", archivo: "/ev/to/32/sábado.mp3", fecha: `${year}-11-14` },</v>
      </c>
      <c r="L700" s="10">
        <f t="shared" si="115"/>
        <v>46340</v>
      </c>
    </row>
    <row r="701" spans="1:12" x14ac:dyDescent="0.25">
      <c r="A701" t="str" cm="1">
        <f t="array" ref="A701">_xlfn.IFS(E701="Adviento","ta", E701="Navidad","tn", E701="Epifania","te", E701="Ordinario","to", E701="Cuaresma","tc", E701="Domingo De Ramos","tc", E701="Semana Santa","ss", E701="Triduo Pascual","tp", E701="Vigilia Pascual","tp", E701="Pascual","tp")</f>
        <v>to</v>
      </c>
      <c r="B701" s="14" t="str">
        <f t="shared" si="106"/>
        <v>/* NOVIEMBRE        */</v>
      </c>
      <c r="C701" s="15">
        <f t="shared" si="111"/>
        <v>46341</v>
      </c>
      <c r="D701" s="9">
        <f t="shared" si="112"/>
        <v>46341</v>
      </c>
      <c r="E701" t="s">
        <v>47</v>
      </c>
      <c r="F701" t="s">
        <v>43</v>
      </c>
      <c r="G701">
        <f>+G700+1</f>
        <v>33</v>
      </c>
      <c r="I701" s="11">
        <f t="shared" si="113"/>
        <v>46341</v>
      </c>
      <c r="J701" t="s">
        <v>44</v>
      </c>
      <c r="K701" t="str">
        <f t="shared" si="114"/>
        <v>/* NOVIEMBRE        */ { nombre: "Ordinario, Semana XXXIII, DOMINGO", archivo: "/ev/to/33/domingo.mp3", fecha: `${year}-11-15` },</v>
      </c>
      <c r="L701" s="10">
        <f t="shared" si="115"/>
        <v>46341</v>
      </c>
    </row>
    <row r="702" spans="1:12" x14ac:dyDescent="0.25">
      <c r="A702" t="str" cm="1">
        <f t="array" ref="A702">_xlfn.IFS(E702="Adviento","ta", E702="Navidad","tn", E702="Epifania","te", E702="Ordinario","to", E702="Cuaresma","tc", E702="Domingo De Ramos","tc", E702="Semana Santa","ss", E702="Triduo Pascual","tp", E702="Vigilia Pascual","tp", E702="Pascual","tp")</f>
        <v>to</v>
      </c>
      <c r="B702" s="14" t="str">
        <f t="shared" si="106"/>
        <v>/* NOVIEMBRE        */</v>
      </c>
      <c r="C702" s="15">
        <f t="shared" si="111"/>
        <v>46342</v>
      </c>
      <c r="D702" s="9">
        <f t="shared" si="112"/>
        <v>46342</v>
      </c>
      <c r="E702" t="s">
        <v>47</v>
      </c>
      <c r="F702" t="s">
        <v>43</v>
      </c>
      <c r="G702">
        <f>G701</f>
        <v>33</v>
      </c>
      <c r="I702" s="11">
        <f t="shared" si="113"/>
        <v>46342</v>
      </c>
      <c r="J702" t="s">
        <v>44</v>
      </c>
      <c r="K702" t="str">
        <f t="shared" si="114"/>
        <v>/* NOVIEMBRE        */ { nombre: "Ordinario, Semana XXXIII, LUNES", archivo: "/ev/to/33/lunes.mp3", fecha: `${year}-11-16` },</v>
      </c>
      <c r="L702" s="10">
        <f t="shared" si="115"/>
        <v>46342</v>
      </c>
    </row>
    <row r="703" spans="1:12" x14ac:dyDescent="0.25">
      <c r="A703" t="str" cm="1">
        <f t="array" ref="A703">_xlfn.IFS(E703="Adviento","ta", E703="Navidad","tn", E703="Epifania","te", E703="Ordinario","to", E703="Cuaresma","tc", E703="Domingo De Ramos","tc", E703="Semana Santa","ss", E703="Triduo Pascual","tp", E703="Vigilia Pascual","tp", E703="Pascual","tp")</f>
        <v>to</v>
      </c>
      <c r="B703" s="14" t="str">
        <f t="shared" si="106"/>
        <v>/* NOVIEMBRE        */</v>
      </c>
      <c r="C703" s="15">
        <f t="shared" si="111"/>
        <v>46343</v>
      </c>
      <c r="D703" s="9">
        <f t="shared" si="112"/>
        <v>46343</v>
      </c>
      <c r="E703" t="s">
        <v>47</v>
      </c>
      <c r="F703" t="s">
        <v>43</v>
      </c>
      <c r="G703">
        <f t="shared" ref="G703:G707" si="117">G702</f>
        <v>33</v>
      </c>
      <c r="I703" s="11">
        <f t="shared" si="113"/>
        <v>46343</v>
      </c>
      <c r="J703" t="s">
        <v>44</v>
      </c>
      <c r="K703" t="str">
        <f t="shared" si="114"/>
        <v>/* NOVIEMBRE        */ { nombre: "Ordinario, Semana XXXIII, MARTES", archivo: "/ev/to/33/martes.mp3", fecha: `${year}-11-17` },</v>
      </c>
      <c r="L703" s="10">
        <f t="shared" si="115"/>
        <v>46343</v>
      </c>
    </row>
    <row r="704" spans="1:12" x14ac:dyDescent="0.25">
      <c r="A704" t="str" cm="1">
        <f t="array" ref="A704">_xlfn.IFS(E704="Adviento","ta", E704="Navidad","tn", E704="Epifania","te", E704="Ordinario","to", E704="Cuaresma","tc", E704="Domingo De Ramos","tc", E704="Semana Santa","ss", E704="Triduo Pascual","tp", E704="Vigilia Pascual","tp", E704="Pascual","tp")</f>
        <v>to</v>
      </c>
      <c r="B704" s="14" t="str">
        <f t="shared" si="106"/>
        <v>/* NOVIEMBRE        */</v>
      </c>
      <c r="C704" s="15">
        <f t="shared" si="111"/>
        <v>46344</v>
      </c>
      <c r="D704" s="9">
        <f t="shared" si="112"/>
        <v>46344</v>
      </c>
      <c r="E704" t="s">
        <v>47</v>
      </c>
      <c r="F704" t="s">
        <v>43</v>
      </c>
      <c r="G704">
        <f t="shared" si="117"/>
        <v>33</v>
      </c>
      <c r="I704" s="11">
        <f t="shared" si="113"/>
        <v>46344</v>
      </c>
      <c r="J704" t="s">
        <v>44</v>
      </c>
      <c r="K704" t="str">
        <f t="shared" si="114"/>
        <v>/* NOVIEMBRE        */ { nombre: "Ordinario, Semana XXXIII, MIÉRCOLES", archivo: "/ev/to/33/miércoles.mp3", fecha: `${year}-11-18` },</v>
      </c>
      <c r="L704" s="10">
        <f t="shared" si="115"/>
        <v>46344</v>
      </c>
    </row>
    <row r="705" spans="1:12" x14ac:dyDescent="0.25">
      <c r="A705" t="str" cm="1">
        <f t="array" ref="A705">_xlfn.IFS(E705="Adviento","ta", E705="Navidad","tn", E705="Epifania","te", E705="Ordinario","to", E705="Cuaresma","tc", E705="Domingo De Ramos","tc", E705="Semana Santa","ss", E705="Triduo Pascual","tp", E705="Vigilia Pascual","tp", E705="Pascual","tp")</f>
        <v>to</v>
      </c>
      <c r="B705" s="14" t="str">
        <f t="shared" si="106"/>
        <v>/* NOVIEMBRE        */</v>
      </c>
      <c r="C705" s="15">
        <f t="shared" si="111"/>
        <v>46345</v>
      </c>
      <c r="D705" s="9">
        <f t="shared" si="112"/>
        <v>46345</v>
      </c>
      <c r="E705" t="s">
        <v>47</v>
      </c>
      <c r="F705" t="s">
        <v>43</v>
      </c>
      <c r="G705">
        <f t="shared" si="117"/>
        <v>33</v>
      </c>
      <c r="I705" s="11">
        <f t="shared" si="113"/>
        <v>46345</v>
      </c>
      <c r="J705" t="s">
        <v>44</v>
      </c>
      <c r="K705" t="str">
        <f t="shared" si="114"/>
        <v>/* NOVIEMBRE        */ { nombre: "Ordinario, Semana XXXIII, JUEVES", archivo: "/ev/to/33/jueves.mp3", fecha: `${year}-11-19` },</v>
      </c>
      <c r="L705" s="10">
        <f t="shared" si="115"/>
        <v>46345</v>
      </c>
    </row>
    <row r="706" spans="1:12" x14ac:dyDescent="0.25">
      <c r="A706" t="str" cm="1">
        <f t="array" ref="A706">_xlfn.IFS(E706="Adviento","ta", E706="Navidad","tn", E706="Epifania","te", E706="Ordinario","to", E706="Cuaresma","tc", E706="Domingo De Ramos","tc", E706="Semana Santa","ss", E706="Triduo Pascual","tp", E706="Vigilia Pascual","tp", E706="Pascual","tp")</f>
        <v>to</v>
      </c>
      <c r="B706" s="14" t="str">
        <f t="shared" si="106"/>
        <v>/* NOVIEMBRE        */</v>
      </c>
      <c r="C706" s="15">
        <f t="shared" si="111"/>
        <v>46346</v>
      </c>
      <c r="D706" s="9">
        <f t="shared" si="112"/>
        <v>46346</v>
      </c>
      <c r="E706" t="s">
        <v>47</v>
      </c>
      <c r="F706" t="s">
        <v>43</v>
      </c>
      <c r="G706">
        <f t="shared" si="117"/>
        <v>33</v>
      </c>
      <c r="I706" s="11">
        <f t="shared" si="113"/>
        <v>46346</v>
      </c>
      <c r="J706" t="s">
        <v>44</v>
      </c>
      <c r="K706" t="str">
        <f t="shared" si="114"/>
        <v>/* NOVIEMBRE        */ { nombre: "Ordinario, Semana XXXIII, VIERNES", archivo: "/ev/to/33/viernes.mp3", fecha: `${year}-11-20` },</v>
      </c>
      <c r="L706" s="10">
        <f t="shared" si="115"/>
        <v>46346</v>
      </c>
    </row>
    <row r="707" spans="1:12" x14ac:dyDescent="0.25">
      <c r="A707" t="str" cm="1">
        <f t="array" ref="A707">_xlfn.IFS(E707="Adviento","ta", E707="Navidad","tn", E707="Epifania","te", E707="Ordinario","to", E707="Cuaresma","tc", E707="Domingo De Ramos","tc", E707="Semana Santa","ss", E707="Triduo Pascual","tp", E707="Vigilia Pascual","tp", E707="Pascual","tp")</f>
        <v>to</v>
      </c>
      <c r="B707" s="14" t="str">
        <f t="shared" si="106"/>
        <v>/* NOVIEMBRE        */</v>
      </c>
      <c r="C707" s="15">
        <f t="shared" si="111"/>
        <v>46347</v>
      </c>
      <c r="D707" s="9">
        <f t="shared" si="112"/>
        <v>46347</v>
      </c>
      <c r="E707" t="s">
        <v>47</v>
      </c>
      <c r="F707" t="s">
        <v>43</v>
      </c>
      <c r="G707">
        <f t="shared" si="117"/>
        <v>33</v>
      </c>
      <c r="I707" s="11">
        <f t="shared" si="113"/>
        <v>46347</v>
      </c>
      <c r="J707" t="s">
        <v>44</v>
      </c>
      <c r="K707" t="str">
        <f t="shared" si="114"/>
        <v>/* NOVIEMBRE        */ { nombre: "Ordinario, Semana XXXIII, SÁBADO", archivo: "/ev/to/33/sábado.mp3", fecha: `${year}-11-21` },</v>
      </c>
      <c r="L707" s="10">
        <f t="shared" si="115"/>
        <v>46347</v>
      </c>
    </row>
    <row r="708" spans="1:12" x14ac:dyDescent="0.25">
      <c r="A708" t="str" cm="1">
        <f t="array" ref="A708">_xlfn.IFS(E708="Adviento","ta", E708="Navidad","tn", E708="Epifania","te", E708="Ordinario","to", E708="Cuaresma","tc", E708="Domingo De Ramos","tc", E708="Semana Santa","ss", E708="Triduo Pascual","tp", E708="Vigilia Pascual","tp", E708="Pascual","tp")</f>
        <v>to</v>
      </c>
      <c r="B708" s="14" t="str">
        <f t="shared" si="106"/>
        <v>/* NOVIEMBRE        */</v>
      </c>
      <c r="C708" s="15">
        <f t="shared" si="111"/>
        <v>46348</v>
      </c>
      <c r="D708" s="9">
        <f t="shared" si="112"/>
        <v>46348</v>
      </c>
      <c r="E708" t="s">
        <v>47</v>
      </c>
      <c r="F708" t="s">
        <v>43</v>
      </c>
      <c r="G708">
        <f>+G707+1</f>
        <v>34</v>
      </c>
      <c r="I708" s="11">
        <f t="shared" si="113"/>
        <v>46348</v>
      </c>
      <c r="J708" t="s">
        <v>44</v>
      </c>
      <c r="K708" t="str">
        <f t="shared" si="114"/>
        <v>/* NOVIEMBRE        */ { nombre: "Ordinario, Semana XXXIV, DOMINGO", archivo: "/ev/to/34/domingo.mp3", fecha: `${year}-11-22` },</v>
      </c>
      <c r="L708" s="10">
        <f t="shared" si="115"/>
        <v>46348</v>
      </c>
    </row>
    <row r="709" spans="1:12" x14ac:dyDescent="0.25">
      <c r="A709" t="str" cm="1">
        <f t="array" ref="A709">_xlfn.IFS(E709="Adviento","ta", E709="Navidad","tn", E709="Epifania","te", E709="Ordinario","to", E709="Cuaresma","tc", E709="Domingo De Ramos","tc", E709="Semana Santa","ss", E709="Triduo Pascual","tp", E709="Vigilia Pascual","tp", E709="Pascual","tp")</f>
        <v>to</v>
      </c>
      <c r="B709" s="14" t="str">
        <f t="shared" si="106"/>
        <v>/* NOVIEMBRE        */</v>
      </c>
      <c r="C709" s="15">
        <f t="shared" si="111"/>
        <v>46349</v>
      </c>
      <c r="D709" s="9">
        <f t="shared" si="112"/>
        <v>46349</v>
      </c>
      <c r="E709" t="s">
        <v>47</v>
      </c>
      <c r="F709" t="s">
        <v>43</v>
      </c>
      <c r="G709">
        <f>G708</f>
        <v>34</v>
      </c>
      <c r="I709" s="11">
        <f t="shared" si="113"/>
        <v>46349</v>
      </c>
      <c r="J709" t="s">
        <v>44</v>
      </c>
      <c r="K709" t="str">
        <f t="shared" si="114"/>
        <v>/* NOVIEMBRE        */ { nombre: "Ordinario, Semana XXXIV, LUNES", archivo: "/ev/to/34/lunes.mp3", fecha: `${year}-11-23` },</v>
      </c>
      <c r="L709" s="10">
        <f t="shared" si="115"/>
        <v>46349</v>
      </c>
    </row>
    <row r="710" spans="1:12" x14ac:dyDescent="0.25">
      <c r="A710" t="str" cm="1">
        <f t="array" ref="A710">_xlfn.IFS(E710="Adviento","ta", E710="Navidad","tn", E710="Epifania","te", E710="Ordinario","to", E710="Cuaresma","tc", E710="Domingo De Ramos","tc", E710="Semana Santa","ss", E710="Triduo Pascual","tp", E710="Vigilia Pascual","tp", E710="Pascual","tp")</f>
        <v>to</v>
      </c>
      <c r="B710" s="14" t="str">
        <f t="shared" si="106"/>
        <v>/* NOVIEMBRE        */</v>
      </c>
      <c r="C710" s="15">
        <f t="shared" si="111"/>
        <v>46350</v>
      </c>
      <c r="D710" s="9">
        <f t="shared" si="112"/>
        <v>46350</v>
      </c>
      <c r="E710" t="s">
        <v>47</v>
      </c>
      <c r="F710" t="s">
        <v>43</v>
      </c>
      <c r="G710">
        <f t="shared" ref="G710:G714" si="118">G709</f>
        <v>34</v>
      </c>
      <c r="I710" s="11">
        <f t="shared" si="113"/>
        <v>46350</v>
      </c>
      <c r="J710" t="s">
        <v>44</v>
      </c>
      <c r="K710" t="str">
        <f t="shared" si="114"/>
        <v>/* NOVIEMBRE        */ { nombre: "Ordinario, Semana XXXIV, MARTES", archivo: "/ev/to/34/martes.mp3", fecha: `${year}-11-24` },</v>
      </c>
      <c r="L710" s="10">
        <f t="shared" si="115"/>
        <v>46350</v>
      </c>
    </row>
    <row r="711" spans="1:12" x14ac:dyDescent="0.25">
      <c r="A711" t="str" cm="1">
        <f t="array" ref="A711">_xlfn.IFS(E711="Adviento","ta", E711="Navidad","tn", E711="Epifania","te", E711="Ordinario","to", E711="Cuaresma","tc", E711="Domingo De Ramos","tc", E711="Semana Santa","ss", E711="Triduo Pascual","tp", E711="Vigilia Pascual","tp", E711="Pascual","tp")</f>
        <v>to</v>
      </c>
      <c r="B711" s="14" t="str">
        <f t="shared" si="106"/>
        <v>/* NOVIEMBRE        */</v>
      </c>
      <c r="C711" s="15">
        <f t="shared" si="111"/>
        <v>46351</v>
      </c>
      <c r="D711" s="9">
        <f t="shared" si="112"/>
        <v>46351</v>
      </c>
      <c r="E711" t="s">
        <v>47</v>
      </c>
      <c r="F711" t="s">
        <v>43</v>
      </c>
      <c r="G711">
        <f t="shared" si="118"/>
        <v>34</v>
      </c>
      <c r="I711" s="11">
        <f t="shared" si="113"/>
        <v>46351</v>
      </c>
      <c r="J711" t="s">
        <v>44</v>
      </c>
      <c r="K711" t="str">
        <f t="shared" si="114"/>
        <v>/* NOVIEMBRE        */ { nombre: "Ordinario, Semana XXXIV, MIÉRCOLES", archivo: "/ev/to/34/miércoles.mp3", fecha: `${year}-11-25` },</v>
      </c>
      <c r="L711" s="10">
        <f t="shared" si="115"/>
        <v>46351</v>
      </c>
    </row>
    <row r="712" spans="1:12" x14ac:dyDescent="0.25">
      <c r="A712" t="str" cm="1">
        <f t="array" ref="A712">_xlfn.IFS(E712="Adviento","ta", E712="Navidad","tn", E712="Epifania","te", E712="Ordinario","to", E712="Cuaresma","tc", E712="Domingo De Ramos","tc", E712="Semana Santa","ss", E712="Triduo Pascual","tp", E712="Vigilia Pascual","tp", E712="Pascual","tp")</f>
        <v>to</v>
      </c>
      <c r="B712" s="14" t="str">
        <f t="shared" si="106"/>
        <v>/* NOVIEMBRE        */</v>
      </c>
      <c r="C712" s="15">
        <f t="shared" si="111"/>
        <v>46352</v>
      </c>
      <c r="D712" s="9">
        <f t="shared" si="112"/>
        <v>46352</v>
      </c>
      <c r="E712" t="s">
        <v>47</v>
      </c>
      <c r="F712" t="s">
        <v>43</v>
      </c>
      <c r="G712">
        <f t="shared" si="118"/>
        <v>34</v>
      </c>
      <c r="I712" s="11">
        <f t="shared" si="113"/>
        <v>46352</v>
      </c>
      <c r="J712" t="s">
        <v>44</v>
      </c>
      <c r="K712" t="str">
        <f t="shared" si="114"/>
        <v>/* NOVIEMBRE        */ { nombre: "Ordinario, Semana XXXIV, JUEVES", archivo: "/ev/to/34/jueves.mp3", fecha: `${year}-11-26` },</v>
      </c>
      <c r="L712" s="10">
        <f t="shared" si="115"/>
        <v>46352</v>
      </c>
    </row>
    <row r="713" spans="1:12" x14ac:dyDescent="0.25">
      <c r="A713" t="str" cm="1">
        <f t="array" ref="A713">_xlfn.IFS(E713="Adviento","ta", E713="Navidad","tn", E713="Epifania","te", E713="Ordinario","to", E713="Cuaresma","tc", E713="Domingo De Ramos","tc", E713="Semana Santa","ss", E713="Triduo Pascual","tp", E713="Vigilia Pascual","tp", E713="Pascual","tp")</f>
        <v>to</v>
      </c>
      <c r="B713" s="14" t="str">
        <f t="shared" si="106"/>
        <v>/* NOVIEMBRE        */</v>
      </c>
      <c r="C713" s="15">
        <f t="shared" si="111"/>
        <v>46353</v>
      </c>
      <c r="D713" s="9">
        <f t="shared" si="112"/>
        <v>46353</v>
      </c>
      <c r="E713" t="s">
        <v>47</v>
      </c>
      <c r="F713" t="s">
        <v>43</v>
      </c>
      <c r="G713">
        <f t="shared" si="118"/>
        <v>34</v>
      </c>
      <c r="I713" s="11">
        <f t="shared" si="113"/>
        <v>46353</v>
      </c>
      <c r="J713" t="s">
        <v>44</v>
      </c>
      <c r="K713" t="str">
        <f t="shared" si="114"/>
        <v>/* NOVIEMBRE        */ { nombre: "Ordinario, Semana XXXIV, VIERNES", archivo: "/ev/to/34/viernes.mp3", fecha: `${year}-11-27` },</v>
      </c>
      <c r="L713" s="10">
        <f t="shared" si="115"/>
        <v>46353</v>
      </c>
    </row>
    <row r="714" spans="1:12" x14ac:dyDescent="0.25">
      <c r="A714" t="str" cm="1">
        <f t="array" ref="A714">_xlfn.IFS(E714="Adviento","ta", E714="Navidad","tn", E714="Epifania","te", E714="Ordinario","to", E714="Cuaresma","tc", E714="Domingo De Ramos","tc", E714="Semana Santa","ss", E714="Triduo Pascual","tp", E714="Vigilia Pascual","tp", E714="Pascual","tp")</f>
        <v>to</v>
      </c>
      <c r="B714" s="14" t="str">
        <f t="shared" si="106"/>
        <v>/* NOVIEMBRE        */</v>
      </c>
      <c r="C714" s="15">
        <f t="shared" si="111"/>
        <v>46354</v>
      </c>
      <c r="D714" s="9">
        <f t="shared" si="112"/>
        <v>46354</v>
      </c>
      <c r="E714" t="s">
        <v>47</v>
      </c>
      <c r="F714" t="s">
        <v>43</v>
      </c>
      <c r="G714">
        <f t="shared" si="118"/>
        <v>34</v>
      </c>
      <c r="I714" s="11">
        <f t="shared" si="113"/>
        <v>46354</v>
      </c>
      <c r="J714" t="s">
        <v>44</v>
      </c>
      <c r="K714" t="str">
        <f t="shared" si="114"/>
        <v>/* NOVIEMBRE        */ { nombre: "Ordinario, Semana XXXIV, SÁBADO", archivo: "/ev/to/34/sábado.mp3", fecha: `${year}-11-28` },</v>
      </c>
      <c r="L714" s="10">
        <f t="shared" si="115"/>
        <v>46354</v>
      </c>
    </row>
    <row r="715" spans="1:12" x14ac:dyDescent="0.25">
      <c r="A715" t="str" cm="1">
        <f t="array" ref="A715">_xlfn.IFS(E715="Adviento","ta", E715="Navidad","tn", E715="Epifania","te", E715="Ordinario","to", E715="Cuaresma","tc", E715="Domingo De Ramos","tc", E715="Semana Santa","ss", E715="Triduo Pascual","tp", E715="Vigilia Pascual","tp", E715="Pascual","tp")</f>
        <v>ta</v>
      </c>
      <c r="B715" s="14" t="str">
        <f t="shared" si="106"/>
        <v>/* NOVIEMBRE        */</v>
      </c>
      <c r="C715" s="15">
        <f t="shared" si="111"/>
        <v>46355</v>
      </c>
      <c r="D715" s="9">
        <f t="shared" si="112"/>
        <v>46355</v>
      </c>
      <c r="E715" t="s">
        <v>46</v>
      </c>
      <c r="F715" t="s">
        <v>43</v>
      </c>
      <c r="G715">
        <v>1</v>
      </c>
      <c r="I715" s="11">
        <f t="shared" si="113"/>
        <v>46355</v>
      </c>
      <c r="J715" t="s">
        <v>44</v>
      </c>
      <c r="K715" t="str">
        <f t="shared" si="114"/>
        <v>/* NOVIEMBRE        */ { nombre: "Adviento, Semana I, DOMINGO", archivo: "/ev/ta/1/domingo.mp3", fecha: `${year}-11-29` },</v>
      </c>
      <c r="L715" s="10">
        <f t="shared" si="115"/>
        <v>46355</v>
      </c>
    </row>
    <row r="716" spans="1:12" x14ac:dyDescent="0.25">
      <c r="A716" t="str" cm="1">
        <f t="array" ref="A716">_xlfn.IFS(E716="Adviento","ta", E716="Navidad","tn", E716="Epifania","te", E716="Ordinario","to", E716="Cuaresma","tc", E716="Domingo De Ramos","tc", E716="Semana Santa","ss", E716="Triduo Pascual","tp", E716="Vigilia Pascual","tp", E716="Pascual","tp")</f>
        <v>ta</v>
      </c>
      <c r="B716" s="14" t="str">
        <f t="shared" si="106"/>
        <v>/* NOVIEMBRE        */</v>
      </c>
      <c r="C716" s="15">
        <f t="shared" si="111"/>
        <v>46356</v>
      </c>
      <c r="D716" s="9">
        <f t="shared" si="112"/>
        <v>46356</v>
      </c>
      <c r="E716" t="s">
        <v>46</v>
      </c>
      <c r="F716" t="s">
        <v>43</v>
      </c>
      <c r="G716">
        <f>G715</f>
        <v>1</v>
      </c>
      <c r="I716" s="11">
        <f t="shared" si="113"/>
        <v>46356</v>
      </c>
      <c r="J716" t="s">
        <v>44</v>
      </c>
      <c r="K716" t="str">
        <f t="shared" si="114"/>
        <v>/* NOVIEMBRE        */ { nombre: "Adviento, Semana I, LUNES", archivo: "/ev/ta/1/lunes.mp3", fecha: `${year}-11-30` },</v>
      </c>
      <c r="L716" s="10">
        <f t="shared" si="115"/>
        <v>46356</v>
      </c>
    </row>
    <row r="717" spans="1:12" x14ac:dyDescent="0.25">
      <c r="A717" t="str" cm="1">
        <f t="array" ref="A717">_xlfn.IFS(E717="Adviento","ta", E717="Navidad","tn", E717="Epifania","te", E717="Ordinario","to", E717="Cuaresma","tc", E717="Domingo De Ramos","tc", E717="Semana Santa","ss", E717="Triduo Pascual","tp", E717="Vigilia Pascual","tp", E717="Pascual","tp")</f>
        <v>ta</v>
      </c>
      <c r="B717" s="14" t="str">
        <f t="shared" si="106"/>
        <v>/* DICIEMBRE        */</v>
      </c>
      <c r="C717" s="15">
        <f t="shared" si="111"/>
        <v>46357</v>
      </c>
      <c r="D717" s="9">
        <f t="shared" si="112"/>
        <v>46357</v>
      </c>
      <c r="E717" t="s">
        <v>46</v>
      </c>
      <c r="F717" t="s">
        <v>43</v>
      </c>
      <c r="G717">
        <f t="shared" ref="G717:G721" si="119">G716</f>
        <v>1</v>
      </c>
      <c r="I717" s="11">
        <f t="shared" si="113"/>
        <v>46357</v>
      </c>
      <c r="J717" t="s">
        <v>44</v>
      </c>
      <c r="K717" t="str">
        <f t="shared" si="114"/>
        <v>/* DICIEMBRE        */ { nombre: "Adviento, Semana I, MARTES", archivo: "/ev/ta/1/martes.mp3", fecha: `${year}-12-01` },</v>
      </c>
      <c r="L717" s="10">
        <f t="shared" si="115"/>
        <v>46357</v>
      </c>
    </row>
    <row r="718" spans="1:12" x14ac:dyDescent="0.25">
      <c r="A718" t="str" cm="1">
        <f t="array" ref="A718">_xlfn.IFS(E718="Adviento","ta", E718="Navidad","tn", E718="Epifania","te", E718="Ordinario","to", E718="Cuaresma","tc", E718="Domingo De Ramos","tc", E718="Semana Santa","ss", E718="Triduo Pascual","tp", E718="Vigilia Pascual","tp", E718="Pascual","tp")</f>
        <v>ta</v>
      </c>
      <c r="B718" s="14" t="str">
        <f t="shared" si="106"/>
        <v>/* DICIEMBRE        */</v>
      </c>
      <c r="C718" s="15">
        <f t="shared" si="111"/>
        <v>46358</v>
      </c>
      <c r="D718" s="9">
        <f t="shared" si="112"/>
        <v>46358</v>
      </c>
      <c r="E718" t="s">
        <v>46</v>
      </c>
      <c r="F718" t="s">
        <v>43</v>
      </c>
      <c r="G718">
        <f t="shared" si="119"/>
        <v>1</v>
      </c>
      <c r="I718" s="11">
        <f t="shared" si="113"/>
        <v>46358</v>
      </c>
      <c r="J718" t="s">
        <v>44</v>
      </c>
      <c r="K718" t="str">
        <f t="shared" si="114"/>
        <v>/* DICIEMBRE        */ { nombre: "Adviento, Semana I, MIÉRCOLES", archivo: "/ev/ta/1/miércoles.mp3", fecha: `${year}-12-02` },</v>
      </c>
      <c r="L718" s="10">
        <f t="shared" si="115"/>
        <v>46358</v>
      </c>
    </row>
    <row r="719" spans="1:12" x14ac:dyDescent="0.25">
      <c r="A719" t="str" cm="1">
        <f t="array" ref="A719">_xlfn.IFS(E719="Adviento","ta", E719="Navidad","tn", E719="Epifania","te", E719="Ordinario","to", E719="Cuaresma","tc", E719="Domingo De Ramos","tc", E719="Semana Santa","ss", E719="Triduo Pascual","tp", E719="Vigilia Pascual","tp", E719="Pascual","tp")</f>
        <v>ta</v>
      </c>
      <c r="B719" s="14" t="str">
        <f t="shared" si="106"/>
        <v>/* DICIEMBRE        */</v>
      </c>
      <c r="C719" s="15">
        <f t="shared" si="111"/>
        <v>46359</v>
      </c>
      <c r="D719" s="9">
        <f t="shared" si="112"/>
        <v>46359</v>
      </c>
      <c r="E719" t="s">
        <v>46</v>
      </c>
      <c r="F719" t="s">
        <v>43</v>
      </c>
      <c r="G719">
        <f t="shared" si="119"/>
        <v>1</v>
      </c>
      <c r="I719" s="11">
        <f t="shared" si="113"/>
        <v>46359</v>
      </c>
      <c r="J719" t="s">
        <v>44</v>
      </c>
      <c r="K719" t="str">
        <f t="shared" si="114"/>
        <v>/* DICIEMBRE        */ { nombre: "Adviento, Semana I, JUEVES", archivo: "/ev/ta/1/jueves.mp3", fecha: `${year}-12-03` },</v>
      </c>
      <c r="L719" s="10">
        <f t="shared" si="115"/>
        <v>46359</v>
      </c>
    </row>
    <row r="720" spans="1:12" x14ac:dyDescent="0.25">
      <c r="A720" t="str" cm="1">
        <f t="array" ref="A720">_xlfn.IFS(E720="Adviento","ta", E720="Navidad","tn", E720="Epifania","te", E720="Ordinario","to", E720="Cuaresma","tc", E720="Domingo De Ramos","tc", E720="Semana Santa","ss", E720="Triduo Pascual","tp", E720="Vigilia Pascual","tp", E720="Pascual","tp")</f>
        <v>ta</v>
      </c>
      <c r="B720" s="14" t="str">
        <f t="shared" si="106"/>
        <v>/* DICIEMBRE        */</v>
      </c>
      <c r="C720" s="15">
        <f t="shared" si="111"/>
        <v>46360</v>
      </c>
      <c r="D720" s="9">
        <f t="shared" si="112"/>
        <v>46360</v>
      </c>
      <c r="E720" t="s">
        <v>46</v>
      </c>
      <c r="F720" t="s">
        <v>43</v>
      </c>
      <c r="G720">
        <f t="shared" si="119"/>
        <v>1</v>
      </c>
      <c r="I720" s="11">
        <f t="shared" si="113"/>
        <v>46360</v>
      </c>
      <c r="J720" t="s">
        <v>44</v>
      </c>
      <c r="K720" t="str">
        <f t="shared" si="114"/>
        <v>/* DICIEMBRE        */ { nombre: "Adviento, Semana I, VIERNES", archivo: "/ev/ta/1/viernes.mp3", fecha: `${year}-12-04` },</v>
      </c>
      <c r="L720" s="10">
        <f t="shared" si="115"/>
        <v>46360</v>
      </c>
    </row>
    <row r="721" spans="1:12" x14ac:dyDescent="0.25">
      <c r="A721" t="str" cm="1">
        <f t="array" ref="A721">_xlfn.IFS(E721="Adviento","ta", E721="Navidad","tn", E721="Epifania","te", E721="Ordinario","to", E721="Cuaresma","tc", E721="Domingo De Ramos","tc", E721="Semana Santa","ss", E721="Triduo Pascual","tp", E721="Vigilia Pascual","tp", E721="Pascual","tp")</f>
        <v>ta</v>
      </c>
      <c r="B721" s="14" t="str">
        <f t="shared" si="106"/>
        <v>/* DICIEMBRE        */</v>
      </c>
      <c r="C721" s="15">
        <f t="shared" si="111"/>
        <v>46361</v>
      </c>
      <c r="D721" s="9">
        <f t="shared" si="112"/>
        <v>46361</v>
      </c>
      <c r="E721" t="s">
        <v>46</v>
      </c>
      <c r="F721" t="s">
        <v>43</v>
      </c>
      <c r="G721">
        <f t="shared" si="119"/>
        <v>1</v>
      </c>
      <c r="I721" s="11">
        <f t="shared" si="113"/>
        <v>46361</v>
      </c>
      <c r="J721" t="s">
        <v>44</v>
      </c>
      <c r="K721" t="str">
        <f t="shared" si="114"/>
        <v>/* DICIEMBRE        */ { nombre: "Adviento, Semana I, SÁBADO", archivo: "/ev/ta/1/sábado.mp3", fecha: `${year}-12-05` },</v>
      </c>
      <c r="L721" s="10">
        <f t="shared" si="115"/>
        <v>46361</v>
      </c>
    </row>
    <row r="722" spans="1:12" x14ac:dyDescent="0.25">
      <c r="A722" t="str" cm="1">
        <f t="array" ref="A722">_xlfn.IFS(E722="Adviento","ta", E722="Navidad","tn", E722="Epifania","te", E722="Ordinario","to", E722="Cuaresma","tc", E722="Domingo De Ramos","tc", E722="Semana Santa","ss", E722="Triduo Pascual","tp", E722="Vigilia Pascual","tp", E722="Pascual","tp")</f>
        <v>ta</v>
      </c>
      <c r="B722" s="14" t="str">
        <f t="shared" si="106"/>
        <v>/* DICIEMBRE        */</v>
      </c>
      <c r="C722" s="15">
        <f t="shared" si="111"/>
        <v>46362</v>
      </c>
      <c r="D722" s="9">
        <f t="shared" si="112"/>
        <v>46362</v>
      </c>
      <c r="E722" t="s">
        <v>46</v>
      </c>
      <c r="F722" t="s">
        <v>43</v>
      </c>
      <c r="G722">
        <f>+G721+1</f>
        <v>2</v>
      </c>
      <c r="I722" s="11">
        <f t="shared" si="113"/>
        <v>46362</v>
      </c>
      <c r="J722" t="s">
        <v>44</v>
      </c>
      <c r="K722" t="str">
        <f t="shared" si="114"/>
        <v>/* DICIEMBRE        */ { nombre: "Adviento, Semana II, DOMINGO", archivo: "/ev/ta/2/domingo.mp3", fecha: `${year}-12-06` },</v>
      </c>
      <c r="L722" s="10">
        <f t="shared" si="115"/>
        <v>46362</v>
      </c>
    </row>
    <row r="723" spans="1:12" x14ac:dyDescent="0.25">
      <c r="A723" t="str" cm="1">
        <f t="array" ref="A723">_xlfn.IFS(E723="Adviento","ta", E723="Navidad","tn", E723="Epifania","te", E723="Ordinario","to", E723="Cuaresma","tc", E723="Domingo De Ramos","tc", E723="Semana Santa","ss", E723="Triduo Pascual","tp", E723="Vigilia Pascual","tp", E723="Pascual","tp")</f>
        <v>ta</v>
      </c>
      <c r="B723" s="14" t="str">
        <f t="shared" si="106"/>
        <v>/* DICIEMBRE        */</v>
      </c>
      <c r="C723" s="15">
        <f t="shared" si="111"/>
        <v>46363</v>
      </c>
      <c r="D723" s="9">
        <f t="shared" si="112"/>
        <v>46363</v>
      </c>
      <c r="E723" t="s">
        <v>46</v>
      </c>
      <c r="F723" t="s">
        <v>43</v>
      </c>
      <c r="G723">
        <f>G722</f>
        <v>2</v>
      </c>
      <c r="I723" s="11">
        <f t="shared" si="113"/>
        <v>46363</v>
      </c>
      <c r="J723" t="s">
        <v>44</v>
      </c>
      <c r="K723" t="str">
        <f t="shared" si="114"/>
        <v>/* DICIEMBRE        */ { nombre: "Adviento, Semana II, LUNES", archivo: "/ev/ta/2/lunes.mp3", fecha: `${year}-12-07` },</v>
      </c>
      <c r="L723" s="10">
        <f t="shared" si="115"/>
        <v>46363</v>
      </c>
    </row>
    <row r="724" spans="1:12" x14ac:dyDescent="0.25">
      <c r="A724" t="str" cm="1">
        <f t="array" ref="A724">_xlfn.IFS(E724="Adviento","ta", E724="Navidad","tn", E724="Epifania","te", E724="Ordinario","to", E724="Cuaresma","tc", E724="Domingo De Ramos","tc", E724="Semana Santa","ss", E724="Triduo Pascual","tp", E724="Vigilia Pascual","tp", E724="Pascual","tp")</f>
        <v>ta</v>
      </c>
      <c r="B724" s="14" t="str">
        <f t="shared" si="106"/>
        <v>/* DICIEMBRE        */</v>
      </c>
      <c r="C724" s="15">
        <f t="shared" si="111"/>
        <v>46364</v>
      </c>
      <c r="D724" s="9">
        <f t="shared" si="112"/>
        <v>46364</v>
      </c>
      <c r="E724" t="s">
        <v>46</v>
      </c>
      <c r="F724" t="s">
        <v>43</v>
      </c>
      <c r="G724">
        <f t="shared" ref="G724:G728" si="120">G723</f>
        <v>2</v>
      </c>
      <c r="H724" t="s">
        <v>97</v>
      </c>
      <c r="I724" s="11">
        <f t="shared" si="113"/>
        <v>46364</v>
      </c>
      <c r="J724" t="s">
        <v>44</v>
      </c>
      <c r="K724" t="str">
        <f t="shared" si="114"/>
        <v>/* DICIEMBRE        */ { nombre: "Adviento, Semana II, La Inmaculada Concepción de la Bienaventurada Virgen María, MARTES", archivo: "/ev/ta/2/martes.mp3", fecha: `${year}-12-08` },</v>
      </c>
      <c r="L724" s="10">
        <f t="shared" si="115"/>
        <v>46364</v>
      </c>
    </row>
    <row r="725" spans="1:12" x14ac:dyDescent="0.25">
      <c r="A725" t="str" cm="1">
        <f t="array" ref="A725">_xlfn.IFS(E725="Adviento","ta", E725="Navidad","tn", E725="Epifania","te", E725="Ordinario","to", E725="Cuaresma","tc", E725="Domingo De Ramos","tc", E725="Semana Santa","ss", E725="Triduo Pascual","tp", E725="Vigilia Pascual","tp", E725="Pascual","tp")</f>
        <v>ta</v>
      </c>
      <c r="B725" s="14" t="str">
        <f t="shared" si="106"/>
        <v>/* DICIEMBRE        */</v>
      </c>
      <c r="C725" s="15">
        <f t="shared" si="111"/>
        <v>46365</v>
      </c>
      <c r="D725" s="9">
        <f t="shared" si="112"/>
        <v>46365</v>
      </c>
      <c r="E725" t="s">
        <v>46</v>
      </c>
      <c r="F725" t="s">
        <v>43</v>
      </c>
      <c r="G725">
        <f t="shared" si="120"/>
        <v>2</v>
      </c>
      <c r="I725" s="11">
        <f t="shared" si="113"/>
        <v>46365</v>
      </c>
      <c r="J725" t="s">
        <v>44</v>
      </c>
      <c r="K725" t="str">
        <f t="shared" si="114"/>
        <v>/* DICIEMBRE        */ { nombre: "Adviento, Semana II, MIÉRCOLES", archivo: "/ev/ta/2/miércoles.mp3", fecha: `${year}-12-09` },</v>
      </c>
      <c r="L725" s="10">
        <f t="shared" si="115"/>
        <v>46365</v>
      </c>
    </row>
    <row r="726" spans="1:12" x14ac:dyDescent="0.25">
      <c r="A726" t="str" cm="1">
        <f t="array" ref="A726">_xlfn.IFS(E726="Adviento","ta", E726="Navidad","tn", E726="Epifania","te", E726="Ordinario","to", E726="Cuaresma","tc", E726="Domingo De Ramos","tc", E726="Semana Santa","ss", E726="Triduo Pascual","tp", E726="Vigilia Pascual","tp", E726="Pascual","tp")</f>
        <v>ta</v>
      </c>
      <c r="B726" s="14" t="str">
        <f t="shared" ref="B726:B789" si="121">_xlfn.CONCAT("/* ",UPPER(TEXT(D726,"[$-es-ES]mmmm")),"        */")</f>
        <v>/* DICIEMBRE        */</v>
      </c>
      <c r="C726" s="15">
        <f t="shared" si="111"/>
        <v>46366</v>
      </c>
      <c r="D726" s="9">
        <f t="shared" si="112"/>
        <v>46366</v>
      </c>
      <c r="E726" t="s">
        <v>46</v>
      </c>
      <c r="F726" t="s">
        <v>43</v>
      </c>
      <c r="G726">
        <f t="shared" si="120"/>
        <v>2</v>
      </c>
      <c r="I726" s="11">
        <f t="shared" si="113"/>
        <v>46366</v>
      </c>
      <c r="J726" t="s">
        <v>44</v>
      </c>
      <c r="K726" t="str">
        <f t="shared" si="114"/>
        <v>/* DICIEMBRE        */ { nombre: "Adviento, Semana II, JUEVES", archivo: "/ev/ta/2/jueves.mp3", fecha: `${year}-12-10` },</v>
      </c>
      <c r="L726" s="10">
        <f t="shared" si="115"/>
        <v>46366</v>
      </c>
    </row>
    <row r="727" spans="1:12" x14ac:dyDescent="0.25">
      <c r="A727" t="str" cm="1">
        <f t="array" ref="A727">_xlfn.IFS(E727="Adviento","ta", E727="Navidad","tn", E727="Epifania","te", E727="Ordinario","to", E727="Cuaresma","tc", E727="Domingo De Ramos","tc", E727="Semana Santa","ss", E727="Triduo Pascual","tp", E727="Vigilia Pascual","tp", E727="Pascual","tp")</f>
        <v>ta</v>
      </c>
      <c r="B727" s="14" t="str">
        <f t="shared" si="121"/>
        <v>/* DICIEMBRE        */</v>
      </c>
      <c r="C727" s="15">
        <f t="shared" si="111"/>
        <v>46367</v>
      </c>
      <c r="D727" s="9">
        <f t="shared" si="112"/>
        <v>46367</v>
      </c>
      <c r="E727" t="s">
        <v>46</v>
      </c>
      <c r="F727" t="s">
        <v>43</v>
      </c>
      <c r="G727">
        <f t="shared" si="120"/>
        <v>2</v>
      </c>
      <c r="I727" s="11">
        <f t="shared" si="113"/>
        <v>46367</v>
      </c>
      <c r="J727" t="s">
        <v>44</v>
      </c>
      <c r="K727" t="str">
        <f t="shared" si="114"/>
        <v>/* DICIEMBRE        */ { nombre: "Adviento, Semana II, VIERNES", archivo: "/ev/ta/2/viernes.mp3", fecha: `${year}-12-11` },</v>
      </c>
      <c r="L727" s="10">
        <f t="shared" si="115"/>
        <v>46367</v>
      </c>
    </row>
    <row r="728" spans="1:12" x14ac:dyDescent="0.25">
      <c r="A728" t="str" cm="1">
        <f t="array" ref="A728">_xlfn.IFS(E728="Adviento","ta", E728="Navidad","tn", E728="Epifania","te", E728="Ordinario","to", E728="Cuaresma","tc", E728="Domingo De Ramos","tc", E728="Semana Santa","ss", E728="Triduo Pascual","tp", E728="Vigilia Pascual","tp", E728="Pascual","tp")</f>
        <v>ta</v>
      </c>
      <c r="B728" s="14" t="str">
        <f t="shared" si="121"/>
        <v>/* DICIEMBRE        */</v>
      </c>
      <c r="C728" s="15">
        <f t="shared" si="111"/>
        <v>46368</v>
      </c>
      <c r="D728" s="9">
        <f t="shared" si="112"/>
        <v>46368</v>
      </c>
      <c r="E728" t="s">
        <v>46</v>
      </c>
      <c r="F728" t="s">
        <v>43</v>
      </c>
      <c r="G728">
        <f t="shared" si="120"/>
        <v>2</v>
      </c>
      <c r="I728" s="11">
        <f t="shared" si="113"/>
        <v>46368</v>
      </c>
      <c r="J728" t="s">
        <v>44</v>
      </c>
      <c r="K728" t="str">
        <f t="shared" si="114"/>
        <v>/* DICIEMBRE        */ { nombre: "Adviento, Semana II, SÁBADO", archivo: "/ev/ta/2/sábado.mp3", fecha: `${year}-12-12` },</v>
      </c>
      <c r="L728" s="10">
        <f t="shared" si="115"/>
        <v>46368</v>
      </c>
    </row>
    <row r="729" spans="1:12" x14ac:dyDescent="0.25">
      <c r="A729" t="str" cm="1">
        <f t="array" ref="A729">_xlfn.IFS(E729="Adviento","ta", E729="Navidad","tn", E729="Epifania","te", E729="Ordinario","to", E729="Cuaresma","tc", E729="Domingo De Ramos","tc", E729="Semana Santa","ss", E729="Triduo Pascual","tp", E729="Vigilia Pascual","tp", E729="Pascual","tp")</f>
        <v>ta</v>
      </c>
      <c r="B729" s="14" t="str">
        <f t="shared" si="121"/>
        <v>/* DICIEMBRE        */</v>
      </c>
      <c r="C729" s="15">
        <f t="shared" si="111"/>
        <v>46369</v>
      </c>
      <c r="D729" s="9">
        <f t="shared" si="112"/>
        <v>46369</v>
      </c>
      <c r="E729" t="s">
        <v>46</v>
      </c>
      <c r="F729" t="s">
        <v>43</v>
      </c>
      <c r="G729">
        <f>+G728+1</f>
        <v>3</v>
      </c>
      <c r="I729" s="11">
        <f t="shared" si="113"/>
        <v>46369</v>
      </c>
      <c r="J729" t="s">
        <v>44</v>
      </c>
      <c r="K729" t="str">
        <f t="shared" si="114"/>
        <v>/* DICIEMBRE        */ { nombre: "Adviento, Semana III, DOMINGO", archivo: "/ev/ta/3/domingo.mp3", fecha: `${year}-12-13` },</v>
      </c>
      <c r="L729" s="10">
        <f t="shared" si="115"/>
        <v>46369</v>
      </c>
    </row>
    <row r="730" spans="1:12" x14ac:dyDescent="0.25">
      <c r="A730" t="str" cm="1">
        <f t="array" ref="A730">_xlfn.IFS(E730="Adviento","ta", E730="Navidad","tn", E730="Epifania","te", E730="Ordinario","to", E730="Cuaresma","tc", E730="Domingo De Ramos","tc", E730="Semana Santa","ss", E730="Triduo Pascual","tp", E730="Vigilia Pascual","tp", E730="Pascual","tp")</f>
        <v>ta</v>
      </c>
      <c r="B730" s="14" t="str">
        <f t="shared" si="121"/>
        <v>/* DICIEMBRE        */</v>
      </c>
      <c r="C730" s="15">
        <f t="shared" si="111"/>
        <v>46370</v>
      </c>
      <c r="D730" s="9">
        <f t="shared" si="112"/>
        <v>46370</v>
      </c>
      <c r="E730" t="s">
        <v>46</v>
      </c>
      <c r="F730" t="s">
        <v>43</v>
      </c>
      <c r="G730">
        <f>G729</f>
        <v>3</v>
      </c>
      <c r="I730" s="11">
        <f t="shared" si="113"/>
        <v>46370</v>
      </c>
      <c r="J730" t="s">
        <v>44</v>
      </c>
      <c r="K730" t="str">
        <f t="shared" si="114"/>
        <v>/* DICIEMBRE        */ { nombre: "Adviento, Semana III, LUNES", archivo: "/ev/ta/3/lunes.mp3", fecha: `${year}-12-14` },</v>
      </c>
      <c r="L730" s="10">
        <f t="shared" si="115"/>
        <v>46370</v>
      </c>
    </row>
    <row r="731" spans="1:12" x14ac:dyDescent="0.25">
      <c r="A731" t="str" cm="1">
        <f t="array" ref="A731">_xlfn.IFS(E731="Adviento","ta", E731="Navidad","tn", E731="Epifania","te", E731="Ordinario","to", E731="Cuaresma","tc", E731="Domingo De Ramos","tc", E731="Semana Santa","ss", E731="Triduo Pascual","tp", E731="Vigilia Pascual","tp", E731="Pascual","tp")</f>
        <v>ta</v>
      </c>
      <c r="B731" s="14" t="str">
        <f t="shared" si="121"/>
        <v>/* DICIEMBRE        */</v>
      </c>
      <c r="C731" s="15">
        <f t="shared" si="111"/>
        <v>46371</v>
      </c>
      <c r="D731" s="9">
        <f t="shared" si="112"/>
        <v>46371</v>
      </c>
      <c r="E731" t="s">
        <v>46</v>
      </c>
      <c r="F731" t="s">
        <v>43</v>
      </c>
      <c r="G731">
        <f t="shared" ref="G731:G735" si="122">G730</f>
        <v>3</v>
      </c>
      <c r="I731" s="11">
        <f t="shared" si="113"/>
        <v>46371</v>
      </c>
      <c r="J731" t="s">
        <v>44</v>
      </c>
      <c r="K731" t="str">
        <f t="shared" si="114"/>
        <v>/* DICIEMBRE        */ { nombre: "Adviento, Semana III, MARTES", archivo: "/ev/ta/3/martes.mp3", fecha: `${year}-12-15` },</v>
      </c>
      <c r="L731" s="10">
        <f t="shared" si="115"/>
        <v>46371</v>
      </c>
    </row>
    <row r="732" spans="1:12" x14ac:dyDescent="0.25">
      <c r="A732" t="str" cm="1">
        <f t="array" ref="A732">_xlfn.IFS(E732="Adviento","ta", E732="Navidad","tn", E732="Epifania","te", E732="Ordinario","to", E732="Cuaresma","tc", E732="Domingo De Ramos","tc", E732="Semana Santa","ss", E732="Triduo Pascual","tp", E732="Vigilia Pascual","tp", E732="Pascual","tp")</f>
        <v>ta</v>
      </c>
      <c r="B732" s="14" t="str">
        <f t="shared" si="121"/>
        <v>/* DICIEMBRE        */</v>
      </c>
      <c r="C732" s="15">
        <f t="shared" si="111"/>
        <v>46372</v>
      </c>
      <c r="D732" s="9">
        <f t="shared" si="112"/>
        <v>46372</v>
      </c>
      <c r="E732" t="s">
        <v>46</v>
      </c>
      <c r="F732" t="s">
        <v>43</v>
      </c>
      <c r="G732">
        <f t="shared" si="122"/>
        <v>3</v>
      </c>
      <c r="I732" s="11">
        <f t="shared" si="113"/>
        <v>46372</v>
      </c>
      <c r="J732" t="s">
        <v>44</v>
      </c>
      <c r="K732" t="str">
        <f t="shared" si="114"/>
        <v>/* DICIEMBRE        */ { nombre: "Adviento, Semana III, MIÉRCOLES", archivo: "/ev/ta/3/miércoles.mp3", fecha: `${year}-12-16` },</v>
      </c>
      <c r="L732" s="10">
        <f t="shared" si="115"/>
        <v>46372</v>
      </c>
    </row>
    <row r="733" spans="1:12" x14ac:dyDescent="0.25">
      <c r="A733" t="str" cm="1">
        <f t="array" ref="A733">_xlfn.IFS(E733="Adviento","ta", E733="Navidad","tn", E733="Epifania","te", E733="Ordinario","to", E733="Cuaresma","tc", E733="Domingo De Ramos","tc", E733="Semana Santa","ss", E733="Triduo Pascual","tp", E733="Vigilia Pascual","tp", E733="Pascual","tp")</f>
        <v>ta</v>
      </c>
      <c r="B733" s="14" t="str">
        <f t="shared" si="121"/>
        <v>/* DICIEMBRE        */</v>
      </c>
      <c r="C733" s="15">
        <f t="shared" si="111"/>
        <v>46373</v>
      </c>
      <c r="D733" s="9">
        <f t="shared" si="112"/>
        <v>46373</v>
      </c>
      <c r="E733" t="s">
        <v>46</v>
      </c>
      <c r="F733" t="s">
        <v>43</v>
      </c>
      <c r="G733">
        <f t="shared" si="122"/>
        <v>3</v>
      </c>
      <c r="I733" s="11">
        <f t="shared" si="113"/>
        <v>46373</v>
      </c>
      <c r="J733" t="s">
        <v>44</v>
      </c>
      <c r="K733" t="str">
        <f t="shared" si="114"/>
        <v>/* DICIEMBRE        */ { nombre: "Adviento, Semana III, JUEVES", archivo: "/ev/ta/3/jueves.mp3", fecha: `${year}-12-17` },</v>
      </c>
      <c r="L733" s="10">
        <f t="shared" si="115"/>
        <v>46373</v>
      </c>
    </row>
    <row r="734" spans="1:12" x14ac:dyDescent="0.25">
      <c r="A734" t="str" cm="1">
        <f t="array" ref="A734">_xlfn.IFS(E734="Adviento","ta", E734="Navidad","tn", E734="Epifania","te", E734="Ordinario","to", E734="Cuaresma","tc", E734="Domingo De Ramos","tc", E734="Semana Santa","ss", E734="Triduo Pascual","tp", E734="Vigilia Pascual","tp", E734="Pascual","tp")</f>
        <v>ta</v>
      </c>
      <c r="B734" s="14" t="str">
        <f t="shared" si="121"/>
        <v>/* DICIEMBRE        */</v>
      </c>
      <c r="C734" s="15">
        <f t="shared" si="111"/>
        <v>46374</v>
      </c>
      <c r="D734" s="9">
        <f t="shared" si="112"/>
        <v>46374</v>
      </c>
      <c r="E734" t="s">
        <v>46</v>
      </c>
      <c r="F734" t="s">
        <v>43</v>
      </c>
      <c r="G734">
        <f t="shared" si="122"/>
        <v>3</v>
      </c>
      <c r="I734" s="11">
        <f t="shared" si="113"/>
        <v>46374</v>
      </c>
      <c r="J734" t="s">
        <v>44</v>
      </c>
      <c r="K734" t="str">
        <f t="shared" si="114"/>
        <v>/* DICIEMBRE        */ { nombre: "Adviento, Semana III, VIERNES", archivo: "/ev/ta/3/viernes.mp3", fecha: `${year}-12-18` },</v>
      </c>
      <c r="L734" s="10">
        <f t="shared" si="115"/>
        <v>46374</v>
      </c>
    </row>
    <row r="735" spans="1:12" x14ac:dyDescent="0.25">
      <c r="A735" t="str" cm="1">
        <f t="array" ref="A735">_xlfn.IFS(E735="Adviento","ta", E735="Navidad","tn", E735="Epifania","te", E735="Ordinario","to", E735="Cuaresma","tc", E735="Domingo De Ramos","tc", E735="Semana Santa","ss", E735="Triduo Pascual","tp", E735="Vigilia Pascual","tp", E735="Pascual","tp")</f>
        <v>ta</v>
      </c>
      <c r="B735" s="14" t="str">
        <f t="shared" si="121"/>
        <v>/* DICIEMBRE        */</v>
      </c>
      <c r="C735" s="15">
        <f t="shared" si="111"/>
        <v>46375</v>
      </c>
      <c r="D735" s="9">
        <f t="shared" si="112"/>
        <v>46375</v>
      </c>
      <c r="E735" t="s">
        <v>46</v>
      </c>
      <c r="F735" t="s">
        <v>43</v>
      </c>
      <c r="G735">
        <f t="shared" si="122"/>
        <v>3</v>
      </c>
      <c r="I735" s="11">
        <f t="shared" si="113"/>
        <v>46375</v>
      </c>
      <c r="J735" t="s">
        <v>44</v>
      </c>
      <c r="K735" t="str">
        <f t="shared" si="114"/>
        <v>/* DICIEMBRE        */ { nombre: "Adviento, Semana III, SÁBADO", archivo: "/ev/ta/3/sábado.mp3", fecha: `${year}-12-19` },</v>
      </c>
      <c r="L735" s="10">
        <f t="shared" si="115"/>
        <v>46375</v>
      </c>
    </row>
    <row r="736" spans="1:12" x14ac:dyDescent="0.25">
      <c r="A736" t="str" cm="1">
        <f t="array" ref="A736">_xlfn.IFS(E736="Adviento","ta", E736="Navidad","tn", E736="Epifania","te", E736="Ordinario","to", E736="Cuaresma","tc", E736="Domingo De Ramos","tc", E736="Semana Santa","ss", E736="Triduo Pascual","tp", E736="Vigilia Pascual","tp", E736="Pascual","tp")</f>
        <v>ta</v>
      </c>
      <c r="B736" s="14" t="str">
        <f t="shared" si="121"/>
        <v>/* DICIEMBRE        */</v>
      </c>
      <c r="C736" s="15">
        <f t="shared" si="111"/>
        <v>46376</v>
      </c>
      <c r="D736" s="9">
        <f t="shared" si="112"/>
        <v>46376</v>
      </c>
      <c r="E736" t="s">
        <v>46</v>
      </c>
      <c r="F736" t="s">
        <v>43</v>
      </c>
      <c r="G736">
        <f>+G735+1</f>
        <v>4</v>
      </c>
      <c r="I736" s="11">
        <f t="shared" si="113"/>
        <v>46376</v>
      </c>
      <c r="J736" t="s">
        <v>44</v>
      </c>
      <c r="K736" t="str">
        <f t="shared" si="114"/>
        <v>/* DICIEMBRE        */ { nombre: "Adviento, Semana IV, DOMINGO", archivo: "/ev/ta/4/domingo.mp3", fecha: `${year}-12-20` },</v>
      </c>
      <c r="L736" s="10">
        <f t="shared" si="115"/>
        <v>46376</v>
      </c>
    </row>
    <row r="737" spans="1:12" x14ac:dyDescent="0.25">
      <c r="A737" t="str" cm="1">
        <f t="array" ref="A737">_xlfn.IFS(E737="Adviento","ta", E737="Navidad","tn", E737="Epifania","te", E737="Ordinario","to", E737="Cuaresma","tc", E737="Domingo De Ramos","tc", E737="Semana Santa","ss", E737="Triduo Pascual","tp", E737="Vigilia Pascual","tp", E737="Pascual","tp")</f>
        <v>ta</v>
      </c>
      <c r="B737" s="14" t="str">
        <f t="shared" si="121"/>
        <v>/* DICIEMBRE        */</v>
      </c>
      <c r="C737" s="15">
        <f t="shared" si="111"/>
        <v>46377</v>
      </c>
      <c r="D737" s="9">
        <f t="shared" si="112"/>
        <v>46377</v>
      </c>
      <c r="E737" t="s">
        <v>46</v>
      </c>
      <c r="F737" t="s">
        <v>43</v>
      </c>
      <c r="G737">
        <f>G736</f>
        <v>4</v>
      </c>
      <c r="I737" s="11">
        <f t="shared" si="113"/>
        <v>46377</v>
      </c>
      <c r="J737" t="s">
        <v>44</v>
      </c>
      <c r="K737" t="str">
        <f t="shared" si="114"/>
        <v>/* DICIEMBRE        */ { nombre: "Adviento, Semana IV, LUNES", archivo: "/ev/ta/4/lunes.mp3", fecha: `${year}-12-21` },</v>
      </c>
      <c r="L737" s="10">
        <f t="shared" si="115"/>
        <v>46377</v>
      </c>
    </row>
    <row r="738" spans="1:12" x14ac:dyDescent="0.25">
      <c r="A738" t="str" cm="1">
        <f t="array" ref="A738">_xlfn.IFS(E738="Adviento","ta", E738="Navidad","tn", E738="Epifania","te", E738="Ordinario","to", E738="Cuaresma","tc", E738="Domingo De Ramos","tc", E738="Semana Santa","ss", E738="Triduo Pascual","tp", E738="Vigilia Pascual","tp", E738="Pascual","tp")</f>
        <v>ta</v>
      </c>
      <c r="B738" s="14" t="str">
        <f t="shared" si="121"/>
        <v>/* DICIEMBRE        */</v>
      </c>
      <c r="C738" s="15">
        <f t="shared" si="111"/>
        <v>46378</v>
      </c>
      <c r="D738" s="9">
        <f t="shared" si="112"/>
        <v>46378</v>
      </c>
      <c r="E738" t="s">
        <v>46</v>
      </c>
      <c r="F738" t="s">
        <v>43</v>
      </c>
      <c r="G738">
        <f t="shared" ref="G738:G742" si="123">G737</f>
        <v>4</v>
      </c>
      <c r="I738" s="11">
        <f t="shared" si="113"/>
        <v>46378</v>
      </c>
      <c r="J738" t="s">
        <v>44</v>
      </c>
      <c r="K738" t="str">
        <f t="shared" si="114"/>
        <v>/* DICIEMBRE        */ { nombre: "Adviento, Semana IV, MARTES", archivo: "/ev/ta/4/martes.mp3", fecha: `${year}-12-22` },</v>
      </c>
      <c r="L738" s="10">
        <f t="shared" si="115"/>
        <v>46378</v>
      </c>
    </row>
    <row r="739" spans="1:12" x14ac:dyDescent="0.25">
      <c r="A739" t="str" cm="1">
        <f t="array" ref="A739">_xlfn.IFS(E739="Adviento","ta", E739="Navidad","tn", E739="Epifania","te", E739="Ordinario","to", E739="Cuaresma","tc", E739="Domingo De Ramos","tc", E739="Semana Santa","ss", E739="Triduo Pascual","tp", E739="Vigilia Pascual","tp", E739="Pascual","tp")</f>
        <v>ta</v>
      </c>
      <c r="B739" s="14" t="str">
        <f t="shared" si="121"/>
        <v>/* DICIEMBRE        */</v>
      </c>
      <c r="C739" s="15">
        <f t="shared" si="111"/>
        <v>46379</v>
      </c>
      <c r="D739" s="9">
        <f t="shared" si="112"/>
        <v>46379</v>
      </c>
      <c r="E739" t="s">
        <v>46</v>
      </c>
      <c r="F739" t="s">
        <v>43</v>
      </c>
      <c r="G739">
        <f t="shared" si="123"/>
        <v>4</v>
      </c>
      <c r="I739" s="11">
        <f t="shared" si="113"/>
        <v>46379</v>
      </c>
      <c r="J739" t="s">
        <v>44</v>
      </c>
      <c r="K739" t="str">
        <f t="shared" si="114"/>
        <v>/* DICIEMBRE        */ { nombre: "Adviento, Semana IV, MIÉRCOLES", archivo: "/ev/ta/4/miércoles.mp3", fecha: `${year}-12-23` },</v>
      </c>
      <c r="L739" s="10">
        <f t="shared" si="115"/>
        <v>46379</v>
      </c>
    </row>
    <row r="740" spans="1:12" x14ac:dyDescent="0.25">
      <c r="A740" t="str" cm="1">
        <f t="array" ref="A740">_xlfn.IFS(E740="Adviento","ta", E740="Navidad","tn", E740="Epifania","te", E740="Ordinario","to", E740="Cuaresma","tc", E740="Domingo De Ramos","tc", E740="Semana Santa","ss", E740="Triduo Pascual","tp", E740="Vigilia Pascual","tp", E740="Pascual","tp")</f>
        <v>ta</v>
      </c>
      <c r="B740" s="14" t="str">
        <f t="shared" si="121"/>
        <v>/* DICIEMBRE        */</v>
      </c>
      <c r="C740" s="15">
        <f t="shared" si="111"/>
        <v>46380</v>
      </c>
      <c r="D740" s="9">
        <f t="shared" si="112"/>
        <v>46380</v>
      </c>
      <c r="E740" t="s">
        <v>46</v>
      </c>
      <c r="F740" t="s">
        <v>43</v>
      </c>
      <c r="G740">
        <f t="shared" si="123"/>
        <v>4</v>
      </c>
      <c r="I740" s="11">
        <f t="shared" si="113"/>
        <v>46380</v>
      </c>
      <c r="J740" t="s">
        <v>44</v>
      </c>
      <c r="K740" t="str">
        <f t="shared" si="114"/>
        <v>/* DICIEMBRE        */ { nombre: "Adviento, Semana IV, JUEVES", archivo: "/ev/ta/4/jueves.mp3", fecha: `${year}-12-24` },</v>
      </c>
      <c r="L740" s="10">
        <f t="shared" si="115"/>
        <v>46380</v>
      </c>
    </row>
    <row r="741" spans="1:12" x14ac:dyDescent="0.25">
      <c r="A741" t="str" cm="1">
        <f t="array" ref="A741">_xlfn.IFS(E741="Adviento","ta", E741="Navidad","tn", E741="Epifania","te", E741="Ordinario","to", E741="Cuaresma","tc", E741="Domingo De Ramos","tc", E741="Semana Santa","ss", E741="Triduo Pascual","tp", E741="Vigilia Pascual","tp", E741="Pascual","tp")</f>
        <v>tn</v>
      </c>
      <c r="B741" s="14" t="str">
        <f t="shared" si="121"/>
        <v>/* DICIEMBRE        */</v>
      </c>
      <c r="C741" s="15">
        <f t="shared" si="111"/>
        <v>46381</v>
      </c>
      <c r="D741" s="9">
        <f t="shared" si="112"/>
        <v>46381</v>
      </c>
      <c r="E741" t="s">
        <v>42</v>
      </c>
      <c r="F741" t="s">
        <v>43</v>
      </c>
      <c r="G741">
        <v>1</v>
      </c>
      <c r="H741" t="s">
        <v>98</v>
      </c>
      <c r="I741" s="11">
        <f t="shared" si="113"/>
        <v>46381</v>
      </c>
      <c r="J741" t="s">
        <v>44</v>
      </c>
      <c r="K741" t="str">
        <f t="shared" si="114"/>
        <v>/* DICIEMBRE        */ { nombre: "Navidad, Semana I, La Natividad del Señor, VIERNES", archivo: "/ev/tn/1/viernes.mp3", fecha: `${year}-12-25` },</v>
      </c>
      <c r="L741" s="10">
        <f t="shared" si="115"/>
        <v>46381</v>
      </c>
    </row>
    <row r="742" spans="1:12" x14ac:dyDescent="0.25">
      <c r="A742" t="str" cm="1">
        <f t="array" ref="A742">_xlfn.IFS(E742="Adviento","ta", E742="Navidad","tn", E742="Epifania","te", E742="Ordinario","to", E742="Cuaresma","tc", E742="Domingo De Ramos","tc", E742="Semana Santa","ss", E742="Triduo Pascual","tp", E742="Vigilia Pascual","tp", E742="Pascual","tp")</f>
        <v>tn</v>
      </c>
      <c r="B742" s="14" t="str">
        <f t="shared" si="121"/>
        <v>/* DICIEMBRE        */</v>
      </c>
      <c r="C742" s="15">
        <f t="shared" si="111"/>
        <v>46382</v>
      </c>
      <c r="D742" s="9">
        <f t="shared" si="112"/>
        <v>46382</v>
      </c>
      <c r="E742" t="s">
        <v>42</v>
      </c>
      <c r="F742" t="s">
        <v>43</v>
      </c>
      <c r="G742">
        <v>2</v>
      </c>
      <c r="H742" t="s">
        <v>99</v>
      </c>
      <c r="I742" s="11">
        <f t="shared" si="113"/>
        <v>46382</v>
      </c>
      <c r="J742" t="s">
        <v>44</v>
      </c>
      <c r="K742" t="str">
        <f t="shared" si="114"/>
        <v>/* DICIEMBRE        */ { nombre: "Navidad, Semana II, La Sagrada Familia de Jesús, María y José, SÁBADO", archivo: "/ev/tn/2/sábado.mp3", fecha: `${year}-12-26` },</v>
      </c>
      <c r="L742" s="10">
        <f t="shared" si="115"/>
        <v>46382</v>
      </c>
    </row>
    <row r="743" spans="1:12" x14ac:dyDescent="0.25">
      <c r="A743" t="str" cm="1">
        <f t="array" ref="A743">_xlfn.IFS(E743="Adviento","ta", E743="Navidad","tn", E743="Epifania","te", E743="Ordinario","to", E743="Cuaresma","tc", E743="Domingo De Ramos","tc", E743="Semana Santa","ss", E743="Triduo Pascual","tp", E743="Vigilia Pascual","tp", E743="Pascual","tp")</f>
        <v>tn</v>
      </c>
      <c r="B743" s="14" t="str">
        <f t="shared" si="121"/>
        <v>/* DICIEMBRE        */</v>
      </c>
      <c r="C743" s="15">
        <f t="shared" si="111"/>
        <v>46383</v>
      </c>
      <c r="D743" s="9">
        <f t="shared" si="112"/>
        <v>46383</v>
      </c>
      <c r="E743" t="s">
        <v>42</v>
      </c>
      <c r="F743" t="s">
        <v>43</v>
      </c>
      <c r="G743">
        <v>3</v>
      </c>
      <c r="H743" t="s">
        <v>100</v>
      </c>
      <c r="I743" s="11">
        <f t="shared" si="113"/>
        <v>46383</v>
      </c>
      <c r="J743" t="s">
        <v>44</v>
      </c>
      <c r="K743" t="str">
        <f t="shared" si="114"/>
        <v>/* DICIEMBRE        */ { nombre: "Navidad, Semana III, Los Santos Inocentes, mártires, DOMINGO", archivo: "/ev/tn/3/domingo.mp3", fecha: `${year}-12-27` },</v>
      </c>
      <c r="L743" s="10">
        <f t="shared" si="115"/>
        <v>46383</v>
      </c>
    </row>
    <row r="744" spans="1:12" x14ac:dyDescent="0.25">
      <c r="A744" t="str" cm="1">
        <f t="array" ref="A744">_xlfn.IFS(E744="Adviento","ta", E744="Navidad","tn", E744="Epifania","te", E744="Ordinario","to", E744="Cuaresma","tc", E744="Domingo De Ramos","tc", E744="Semana Santa","ss", E744="Triduo Pascual","tp", E744="Vigilia Pascual","tp", E744="Pascual","tp")</f>
        <v>tn</v>
      </c>
      <c r="B744" s="14" t="str">
        <f t="shared" si="121"/>
        <v>/* DICIEMBRE        */</v>
      </c>
      <c r="C744" s="15">
        <f t="shared" si="111"/>
        <v>46384</v>
      </c>
      <c r="D744" s="9">
        <f t="shared" si="112"/>
        <v>46384</v>
      </c>
      <c r="E744" t="s">
        <v>42</v>
      </c>
      <c r="F744" t="s">
        <v>43</v>
      </c>
      <c r="G744">
        <v>4</v>
      </c>
      <c r="I744" s="11">
        <f t="shared" si="113"/>
        <v>46384</v>
      </c>
      <c r="J744" t="s">
        <v>44</v>
      </c>
      <c r="K744" t="str">
        <f t="shared" si="114"/>
        <v>/* DICIEMBRE        */ { nombre: "Navidad, Semana IV, LUNES", archivo: "/ev/tn/4/lunes.mp3", fecha: `${year}-12-28` },</v>
      </c>
      <c r="L744" s="10">
        <f t="shared" si="115"/>
        <v>46384</v>
      </c>
    </row>
    <row r="745" spans="1:12" x14ac:dyDescent="0.25">
      <c r="A745" t="str" cm="1">
        <f t="array" ref="A745">_xlfn.IFS(E745="Adviento","ta", E745="Navidad","tn", E745="Epifania","te", E745="Ordinario","to", E745="Cuaresma","tc", E745="Domingo De Ramos","tc", E745="Semana Santa","ss", E745="Triduo Pascual","tp", E745="Vigilia Pascual","tp", E745="Pascual","tp")</f>
        <v>tn</v>
      </c>
      <c r="B745" s="14" t="str">
        <f t="shared" si="121"/>
        <v>/* DICIEMBRE        */</v>
      </c>
      <c r="C745" s="15">
        <f t="shared" si="111"/>
        <v>46385</v>
      </c>
      <c r="D745" s="9">
        <f t="shared" si="112"/>
        <v>46385</v>
      </c>
      <c r="E745" t="s">
        <v>42</v>
      </c>
      <c r="F745" t="s">
        <v>43</v>
      </c>
      <c r="G745">
        <v>5</v>
      </c>
      <c r="I745" s="11">
        <f t="shared" si="113"/>
        <v>46385</v>
      </c>
      <c r="J745" t="s">
        <v>44</v>
      </c>
      <c r="K745" t="str">
        <f t="shared" si="114"/>
        <v>/* DICIEMBRE        */ { nombre: "Navidad, Semana V, MARTES", archivo: "/ev/tn/5/martes.mp3", fecha: `${year}-12-29` },</v>
      </c>
      <c r="L745" s="10">
        <f t="shared" si="115"/>
        <v>46385</v>
      </c>
    </row>
    <row r="746" spans="1:12" x14ac:dyDescent="0.25">
      <c r="A746" t="str" cm="1">
        <f t="array" ref="A746">_xlfn.IFS(E746="Adviento","ta", E746="Navidad","tn", E746="Epifania","te", E746="Ordinario","to", E746="Cuaresma","tc", E746="Domingo De Ramos","tc", E746="Semana Santa","ss", E746="Triduo Pascual","tp", E746="Vigilia Pascual","tp", E746="Pascual","tp")</f>
        <v>tn</v>
      </c>
      <c r="B746" s="14" t="str">
        <f t="shared" si="121"/>
        <v>/* DICIEMBRE        */</v>
      </c>
      <c r="C746" s="15">
        <f t="shared" si="111"/>
        <v>46386</v>
      </c>
      <c r="D746" s="9">
        <f t="shared" si="112"/>
        <v>46386</v>
      </c>
      <c r="E746" t="s">
        <v>42</v>
      </c>
      <c r="F746" t="s">
        <v>43</v>
      </c>
      <c r="G746">
        <v>6</v>
      </c>
      <c r="I746" s="11">
        <f t="shared" si="113"/>
        <v>46386</v>
      </c>
      <c r="J746" t="s">
        <v>44</v>
      </c>
      <c r="K746" t="str">
        <f t="shared" si="114"/>
        <v>/* DICIEMBRE        */ { nombre: "Navidad, Semana VI, MIÉRCOLES", archivo: "/ev/tn/6/miércoles.mp3", fecha: `${year}-12-30` },</v>
      </c>
      <c r="L746" s="10">
        <f t="shared" si="115"/>
        <v>46386</v>
      </c>
    </row>
    <row r="747" spans="1:12" x14ac:dyDescent="0.25">
      <c r="A747" t="str" cm="1">
        <f t="array" ref="A747">_xlfn.IFS(E747="Adviento","ta", E747="Navidad","tn", E747="Epifania","te", E747="Ordinario","to", E747="Cuaresma","tc", E747="Domingo De Ramos","tc", E747="Semana Santa","ss", E747="Triduo Pascual","tp", E747="Vigilia Pascual","tp", E747="Pascual","tp")</f>
        <v>tn</v>
      </c>
      <c r="B747" s="14" t="str">
        <f t="shared" si="121"/>
        <v>/* DICIEMBRE        */</v>
      </c>
      <c r="C747" s="15">
        <f t="shared" si="111"/>
        <v>46387</v>
      </c>
      <c r="D747" s="9">
        <f t="shared" si="112"/>
        <v>46387</v>
      </c>
      <c r="E747" t="s">
        <v>42</v>
      </c>
      <c r="F747" t="s">
        <v>43</v>
      </c>
      <c r="G747">
        <v>7</v>
      </c>
      <c r="I747" s="11">
        <f t="shared" si="113"/>
        <v>46387</v>
      </c>
      <c r="J747" t="s">
        <v>44</v>
      </c>
      <c r="K747" t="str">
        <f t="shared" si="114"/>
        <v>/* DICIEMBRE        */ { nombre: "Navidad, Semana VII, JUEVES", archivo: "/ev/tn/7/jueves.mp3", fecha: `${year}-12-31` },</v>
      </c>
      <c r="L747" s="10">
        <f t="shared" si="115"/>
        <v>46387</v>
      </c>
    </row>
    <row r="748" spans="1:12" hidden="1" x14ac:dyDescent="0.25">
      <c r="A748" t="str" cm="1">
        <f t="array" ref="A748">_xlfn.IFS(E748="Adviento","ta", E748="Navidad","tn", E748="Epifania","te", E748="Ordinario","to", E748="Cuaresma","tc", E748="Domingo De Ramos","tc", E748="Semana Santa","ss", E748="Triduo Pascual","tp", E748="Vigilia Pascual","tp", E748="Pascual","tp")</f>
        <v>ta</v>
      </c>
      <c r="B748" s="14" t="str">
        <f t="shared" si="121"/>
        <v>/* ENERO        */</v>
      </c>
      <c r="C748" s="15">
        <f t="shared" si="111"/>
        <v>46388</v>
      </c>
      <c r="D748" s="9">
        <f t="shared" si="112"/>
        <v>46388</v>
      </c>
      <c r="E748" t="s">
        <v>46</v>
      </c>
      <c r="F748" t="s">
        <v>43</v>
      </c>
      <c r="G748">
        <v>1</v>
      </c>
      <c r="I748" s="11">
        <f t="shared" si="113"/>
        <v>46388</v>
      </c>
      <c r="J748" t="s">
        <v>44</v>
      </c>
      <c r="K748" t="str">
        <f t="shared" si="114"/>
        <v>/* ENERO        */ { nombre: "Adviento, Semana I, VIERNES", archivo: "/ev/ta/1/viernes.mp3", fecha: `${year}-01-01` },</v>
      </c>
      <c r="L748" s="10">
        <f t="shared" si="115"/>
        <v>46388</v>
      </c>
    </row>
    <row r="749" spans="1:12" hidden="1" x14ac:dyDescent="0.25">
      <c r="A749" t="str" cm="1">
        <f t="array" ref="A749">_xlfn.IFS(E749="Adviento","ta", E749="Navidad","tn", E749="Epifania","te", E749="Ordinario","to", E749="Cuaresma","tc", E749="Domingo De Ramos","tc", E749="Semana Santa","ss", E749="Triduo Pascual","tp", E749="Vigilia Pascual","tp", E749="Pascual","tp")</f>
        <v>ta</v>
      </c>
      <c r="B749" s="14" t="str">
        <f t="shared" si="121"/>
        <v>/* ENERO        */</v>
      </c>
      <c r="C749" s="15">
        <f t="shared" si="111"/>
        <v>46389</v>
      </c>
      <c r="D749" s="9">
        <f t="shared" si="112"/>
        <v>46389</v>
      </c>
      <c r="E749" t="s">
        <v>46</v>
      </c>
      <c r="F749" t="s">
        <v>43</v>
      </c>
      <c r="G749">
        <v>1</v>
      </c>
      <c r="I749" s="11">
        <f t="shared" si="113"/>
        <v>46389</v>
      </c>
      <c r="J749" t="s">
        <v>44</v>
      </c>
      <c r="K749" t="str">
        <f t="shared" si="114"/>
        <v>/* ENERO        */ { nombre: "Adviento, Semana I, SÁBADO", archivo: "/ev/ta/1/sábado.mp3", fecha: `${year}-01-02` },</v>
      </c>
      <c r="L749" s="10">
        <f t="shared" si="115"/>
        <v>46389</v>
      </c>
    </row>
    <row r="750" spans="1:12" hidden="1" x14ac:dyDescent="0.25">
      <c r="A750" t="str" cm="1">
        <f t="array" ref="A750">_xlfn.IFS(E750="Adviento","ta", E750="Navidad","tn", E750="Epifania","te", E750="Ordinario","to", E750="Cuaresma","tc", E750="Domingo De Ramos","tc", E750="Semana Santa","ss", E750="Triduo Pascual","tp", E750="Vigilia Pascual","tp", E750="Pascual","tp")</f>
        <v>ta</v>
      </c>
      <c r="B750" s="14" t="str">
        <f t="shared" si="121"/>
        <v>/* ENERO        */</v>
      </c>
      <c r="C750" s="15">
        <f t="shared" si="111"/>
        <v>46390</v>
      </c>
      <c r="D750" s="9">
        <f t="shared" si="112"/>
        <v>46390</v>
      </c>
      <c r="E750" t="s">
        <v>46</v>
      </c>
      <c r="F750" t="s">
        <v>43</v>
      </c>
      <c r="G750">
        <v>1</v>
      </c>
      <c r="I750" s="11">
        <f t="shared" si="113"/>
        <v>46390</v>
      </c>
      <c r="J750" t="s">
        <v>44</v>
      </c>
      <c r="K750" t="str">
        <f t="shared" si="114"/>
        <v>/* ENERO        */ { nombre: "Adviento, Semana I, DOMINGO", archivo: "/ev/ta/1/domingo.mp3", fecha: `${year}-01-03` },</v>
      </c>
      <c r="L750" s="10">
        <f t="shared" si="115"/>
        <v>46390</v>
      </c>
    </row>
    <row r="751" spans="1:12" hidden="1" x14ac:dyDescent="0.25">
      <c r="A751" t="str" cm="1">
        <f t="array" ref="A751">_xlfn.IFS(E751="Adviento","ta", E751="Navidad","tn", E751="Epifania","te", E751="Ordinario","to", E751="Cuaresma","tc", E751="Domingo De Ramos","tc", E751="Semana Santa","ss", E751="Triduo Pascual","tp", E751="Vigilia Pascual","tp", E751="Pascual","tp")</f>
        <v>ta</v>
      </c>
      <c r="B751" s="14" t="str">
        <f t="shared" si="121"/>
        <v>/* ENERO        */</v>
      </c>
      <c r="C751" s="15">
        <f t="shared" si="111"/>
        <v>46391</v>
      </c>
      <c r="D751" s="9">
        <f t="shared" si="112"/>
        <v>46391</v>
      </c>
      <c r="E751" t="s">
        <v>46</v>
      </c>
      <c r="F751" t="s">
        <v>43</v>
      </c>
      <c r="G751">
        <v>1</v>
      </c>
      <c r="I751" s="11">
        <f t="shared" si="113"/>
        <v>46391</v>
      </c>
      <c r="J751" t="s">
        <v>44</v>
      </c>
      <c r="K751" t="str">
        <f t="shared" si="114"/>
        <v>/* ENERO        */ { nombre: "Adviento, Semana I, LUNES", archivo: "/ev/ta/1/lunes.mp3", fecha: `${year}-01-04` },</v>
      </c>
      <c r="L751" s="10">
        <f t="shared" si="115"/>
        <v>46391</v>
      </c>
    </row>
    <row r="752" spans="1:12" hidden="1" x14ac:dyDescent="0.25">
      <c r="A752" t="str" cm="1">
        <f t="array" ref="A752">_xlfn.IFS(E752="Adviento","ta", E752="Navidad","tn", E752="Epifania","te", E752="Ordinario","to", E752="Cuaresma","tc", E752="Domingo De Ramos","tc", E752="Semana Santa","ss", E752="Triduo Pascual","tp", E752="Vigilia Pascual","tp", E752="Pascual","tp")</f>
        <v>ta</v>
      </c>
      <c r="B752" s="14" t="str">
        <f t="shared" si="121"/>
        <v>/* ENERO        */</v>
      </c>
      <c r="C752" s="15">
        <f t="shared" si="111"/>
        <v>46392</v>
      </c>
      <c r="D752" s="9">
        <f t="shared" si="112"/>
        <v>46392</v>
      </c>
      <c r="E752" t="s">
        <v>46</v>
      </c>
      <c r="F752" t="s">
        <v>43</v>
      </c>
      <c r="G752">
        <v>1</v>
      </c>
      <c r="I752" s="11">
        <f t="shared" si="113"/>
        <v>46392</v>
      </c>
      <c r="J752" t="s">
        <v>44</v>
      </c>
      <c r="K752" t="str">
        <f t="shared" si="114"/>
        <v>/* ENERO        */ { nombre: "Adviento, Semana I, MARTES", archivo: "/ev/ta/1/martes.mp3", fecha: `${year}-01-05` },</v>
      </c>
      <c r="L752" s="10">
        <f t="shared" si="115"/>
        <v>46392</v>
      </c>
    </row>
    <row r="753" spans="1:12" hidden="1" x14ac:dyDescent="0.25">
      <c r="A753" t="str" cm="1">
        <f t="array" ref="A753">_xlfn.IFS(E753="Adviento","ta", E753="Navidad","tn", E753="Epifania","te", E753="Ordinario","to", E753="Cuaresma","tc", E753="Domingo De Ramos","tc", E753="Semana Santa","ss", E753="Triduo Pascual","tp", E753="Vigilia Pascual","tp", E753="Pascual","tp")</f>
        <v>ta</v>
      </c>
      <c r="B753" s="14" t="str">
        <f t="shared" si="121"/>
        <v>/* ENERO        */</v>
      </c>
      <c r="C753" s="15">
        <f t="shared" si="111"/>
        <v>46393</v>
      </c>
      <c r="D753" s="9">
        <f t="shared" si="112"/>
        <v>46393</v>
      </c>
      <c r="E753" t="s">
        <v>46</v>
      </c>
      <c r="F753" t="s">
        <v>43</v>
      </c>
      <c r="G753">
        <v>1</v>
      </c>
      <c r="I753" s="11">
        <f t="shared" si="113"/>
        <v>46393</v>
      </c>
      <c r="J753" t="s">
        <v>44</v>
      </c>
      <c r="K753" t="str">
        <f t="shared" si="114"/>
        <v>/* ENERO        */ { nombre: "Adviento, Semana I, MIÉRCOLES", archivo: "/ev/ta/1/miércoles.mp3", fecha: `${year}-01-06` },</v>
      </c>
      <c r="L753" s="10">
        <f t="shared" si="115"/>
        <v>46393</v>
      </c>
    </row>
    <row r="754" spans="1:12" hidden="1" x14ac:dyDescent="0.25">
      <c r="A754" t="str" cm="1">
        <f t="array" ref="A754">_xlfn.IFS(E754="Adviento","ta", E754="Navidad","tn", E754="Epifania","te", E754="Ordinario","to", E754="Cuaresma","tc", E754="Domingo De Ramos","tc", E754="Semana Santa","ss", E754="Triduo Pascual","tp", E754="Vigilia Pascual","tp", E754="Pascual","tp")</f>
        <v>ta</v>
      </c>
      <c r="B754" s="14" t="str">
        <f t="shared" si="121"/>
        <v>/* ENERO        */</v>
      </c>
      <c r="C754" s="15">
        <f t="shared" si="111"/>
        <v>46394</v>
      </c>
      <c r="D754" s="9">
        <f t="shared" si="112"/>
        <v>46394</v>
      </c>
      <c r="E754" t="s">
        <v>46</v>
      </c>
      <c r="F754" t="s">
        <v>43</v>
      </c>
      <c r="G754">
        <v>1</v>
      </c>
      <c r="I754" s="11">
        <f t="shared" si="113"/>
        <v>46394</v>
      </c>
      <c r="J754" t="s">
        <v>44</v>
      </c>
      <c r="K754" t="str">
        <f t="shared" si="114"/>
        <v>/* ENERO        */ { nombre: "Adviento, Semana I, JUEVES", archivo: "/ev/ta/1/jueves.mp3", fecha: `${year}-01-07` },</v>
      </c>
      <c r="L754" s="10">
        <f t="shared" si="115"/>
        <v>46394</v>
      </c>
    </row>
    <row r="755" spans="1:12" hidden="1" x14ac:dyDescent="0.25">
      <c r="A755" t="str" cm="1">
        <f t="array" ref="A755">_xlfn.IFS(E755="Adviento","ta", E755="Navidad","tn", E755="Epifania","te", E755="Ordinario","to", E755="Cuaresma","tc", E755="Domingo De Ramos","tc", E755="Semana Santa","ss", E755="Triduo Pascual","tp", E755="Vigilia Pascual","tp", E755="Pascual","tp")</f>
        <v>ta</v>
      </c>
      <c r="B755" s="14" t="str">
        <f t="shared" si="121"/>
        <v>/* ENERO        */</v>
      </c>
      <c r="C755" s="15">
        <f t="shared" si="111"/>
        <v>46395</v>
      </c>
      <c r="D755" s="9">
        <f t="shared" si="112"/>
        <v>46395</v>
      </c>
      <c r="E755" t="s">
        <v>46</v>
      </c>
      <c r="F755" t="s">
        <v>43</v>
      </c>
      <c r="G755">
        <v>1</v>
      </c>
      <c r="I755" s="11">
        <f t="shared" si="113"/>
        <v>46395</v>
      </c>
      <c r="J755" t="s">
        <v>44</v>
      </c>
      <c r="K755" t="str">
        <f t="shared" si="114"/>
        <v>/* ENERO        */ { nombre: "Adviento, Semana I, VIERNES", archivo: "/ev/ta/1/viernes.mp3", fecha: `${year}-01-08` },</v>
      </c>
      <c r="L755" s="10">
        <f t="shared" si="115"/>
        <v>46395</v>
      </c>
    </row>
    <row r="756" spans="1:12" hidden="1" x14ac:dyDescent="0.25">
      <c r="A756" t="str" cm="1">
        <f t="array" ref="A756">_xlfn.IFS(E756="Adviento","ta", E756="Navidad","tn", E756="Epifania","te", E756="Ordinario","to", E756="Cuaresma","tc", E756="Domingo De Ramos","tc", E756="Semana Santa","ss", E756="Triduo Pascual","tp", E756="Vigilia Pascual","tp", E756="Pascual","tp")</f>
        <v>ta</v>
      </c>
      <c r="B756" s="14" t="str">
        <f t="shared" si="121"/>
        <v>/* ENERO        */</v>
      </c>
      <c r="C756" s="15">
        <f t="shared" si="111"/>
        <v>46396</v>
      </c>
      <c r="D756" s="9">
        <f t="shared" si="112"/>
        <v>46396</v>
      </c>
      <c r="E756" t="s">
        <v>46</v>
      </c>
      <c r="F756" t="s">
        <v>43</v>
      </c>
      <c r="G756">
        <v>1</v>
      </c>
      <c r="I756" s="11">
        <f t="shared" si="113"/>
        <v>46396</v>
      </c>
      <c r="J756" t="s">
        <v>44</v>
      </c>
      <c r="K756" t="str">
        <f t="shared" si="114"/>
        <v>/* ENERO        */ { nombre: "Adviento, Semana I, SÁBADO", archivo: "/ev/ta/1/sábado.mp3", fecha: `${year}-01-09` },</v>
      </c>
      <c r="L756" s="10">
        <f t="shared" si="115"/>
        <v>46396</v>
      </c>
    </row>
    <row r="757" spans="1:12" hidden="1" x14ac:dyDescent="0.25">
      <c r="A757" t="str" cm="1">
        <f t="array" ref="A757">_xlfn.IFS(E757="Adviento","ta", E757="Navidad","tn", E757="Epifania","te", E757="Ordinario","to", E757="Cuaresma","tc", E757="Domingo De Ramos","tc", E757="Semana Santa","ss", E757="Triduo Pascual","tp", E757="Vigilia Pascual","tp", E757="Pascual","tp")</f>
        <v>ta</v>
      </c>
      <c r="B757" s="14" t="str">
        <f t="shared" si="121"/>
        <v>/* ENERO        */</v>
      </c>
      <c r="C757" s="15">
        <f t="shared" ref="C757:C820" si="124">+C756+1</f>
        <v>46397</v>
      </c>
      <c r="D757" s="9">
        <f t="shared" ref="D757:D820" si="125">+D756+1</f>
        <v>46397</v>
      </c>
      <c r="E757" t="s">
        <v>46</v>
      </c>
      <c r="F757" t="s">
        <v>43</v>
      </c>
      <c r="G757">
        <v>1</v>
      </c>
      <c r="I757" s="11">
        <f t="shared" ref="I757:I820" si="126">D757</f>
        <v>46397</v>
      </c>
      <c r="J757" t="s">
        <v>44</v>
      </c>
      <c r="K757" t="str">
        <f t="shared" ref="K757:K820" si="127">_xlfn.CONCAT(B757, " ", "{ nombre: ", CHAR(34), E757, ", ", F757, " ", ROMAN(G757),H757, ", ", UPPER(TEXT(D757, "[$-es-ES]dddd")), CHAR(34), ", archivo: ", CHAR(34), "/ev/", _xlfn.IFS(E757="Adviento","ta", E757="Navidad","tn", E757="Epifania","te", E757="Ordinario","to", E757="Cuaresma","tc", E757="Domingo De Ramos","tc", E757="Semana Santa","ss", E757="Triduo Pascual","tp", E757="Vigilia Pascual","tp", E757="Pascual","tp"), "/", G757, "/", TEXT(D757, "[$-es-ES]dddd"), ".mp3", CHAR(34), ", fecha: `${year}-", TEXT(D757, "mm-dd"), "` },")</f>
        <v>/* ENERO        */ { nombre: "Adviento, Semana I, DOMINGO", archivo: "/ev/ta/1/domingo.mp3", fecha: `${year}-01-10` },</v>
      </c>
      <c r="L757" s="10">
        <f t="shared" ref="L757:L820" si="128">D757</f>
        <v>46397</v>
      </c>
    </row>
    <row r="758" spans="1:12" hidden="1" x14ac:dyDescent="0.25">
      <c r="A758" t="str" cm="1">
        <f t="array" ref="A758">_xlfn.IFS(E758="Adviento","ta", E758="Navidad","tn", E758="Epifania","te", E758="Ordinario","to", E758="Cuaresma","tc", E758="Domingo De Ramos","tc", E758="Semana Santa","ss", E758="Triduo Pascual","tp", E758="Vigilia Pascual","tp", E758="Pascual","tp")</f>
        <v>ta</v>
      </c>
      <c r="B758" s="14" t="str">
        <f t="shared" si="121"/>
        <v>/* ENERO        */</v>
      </c>
      <c r="C758" s="15">
        <f t="shared" si="124"/>
        <v>46398</v>
      </c>
      <c r="D758" s="9">
        <f t="shared" si="125"/>
        <v>46398</v>
      </c>
      <c r="E758" t="s">
        <v>46</v>
      </c>
      <c r="F758" t="s">
        <v>43</v>
      </c>
      <c r="G758">
        <v>1</v>
      </c>
      <c r="I758" s="11">
        <f t="shared" si="126"/>
        <v>46398</v>
      </c>
      <c r="J758" t="s">
        <v>44</v>
      </c>
      <c r="K758" t="str">
        <f t="shared" si="127"/>
        <v>/* ENERO        */ { nombre: "Adviento, Semana I, LUNES", archivo: "/ev/ta/1/lunes.mp3", fecha: `${year}-01-11` },</v>
      </c>
      <c r="L758" s="10">
        <f t="shared" si="128"/>
        <v>46398</v>
      </c>
    </row>
    <row r="759" spans="1:12" hidden="1" x14ac:dyDescent="0.25">
      <c r="A759" t="str" cm="1">
        <f t="array" ref="A759">_xlfn.IFS(E759="Adviento","ta", E759="Navidad","tn", E759="Epifania","te", E759="Ordinario","to", E759="Cuaresma","tc", E759="Domingo De Ramos","tc", E759="Semana Santa","ss", E759="Triduo Pascual","tp", E759="Vigilia Pascual","tp", E759="Pascual","tp")</f>
        <v>ta</v>
      </c>
      <c r="B759" s="14" t="str">
        <f t="shared" si="121"/>
        <v>/* ENERO        */</v>
      </c>
      <c r="C759" s="15">
        <f t="shared" si="124"/>
        <v>46399</v>
      </c>
      <c r="D759" s="9">
        <f t="shared" si="125"/>
        <v>46399</v>
      </c>
      <c r="E759" t="s">
        <v>46</v>
      </c>
      <c r="F759" t="s">
        <v>43</v>
      </c>
      <c r="G759">
        <v>1</v>
      </c>
      <c r="I759" s="11">
        <f t="shared" si="126"/>
        <v>46399</v>
      </c>
      <c r="J759" t="s">
        <v>44</v>
      </c>
      <c r="K759" t="str">
        <f t="shared" si="127"/>
        <v>/* ENERO        */ { nombre: "Adviento, Semana I, MARTES", archivo: "/ev/ta/1/martes.mp3", fecha: `${year}-01-12` },</v>
      </c>
      <c r="L759" s="10">
        <f t="shared" si="128"/>
        <v>46399</v>
      </c>
    </row>
    <row r="760" spans="1:12" hidden="1" x14ac:dyDescent="0.25">
      <c r="A760" t="str" cm="1">
        <f t="array" ref="A760">_xlfn.IFS(E760="Adviento","ta", E760="Navidad","tn", E760="Epifania","te", E760="Ordinario","to", E760="Cuaresma","tc", E760="Domingo De Ramos","tc", E760="Semana Santa","ss", E760="Triduo Pascual","tp", E760="Vigilia Pascual","tp", E760="Pascual","tp")</f>
        <v>ta</v>
      </c>
      <c r="B760" s="14" t="str">
        <f t="shared" si="121"/>
        <v>/* ENERO        */</v>
      </c>
      <c r="C760" s="15">
        <f t="shared" si="124"/>
        <v>46400</v>
      </c>
      <c r="D760" s="9">
        <f t="shared" si="125"/>
        <v>46400</v>
      </c>
      <c r="E760" t="s">
        <v>46</v>
      </c>
      <c r="F760" t="s">
        <v>43</v>
      </c>
      <c r="G760">
        <v>1</v>
      </c>
      <c r="I760" s="11">
        <f t="shared" si="126"/>
        <v>46400</v>
      </c>
      <c r="J760" t="s">
        <v>44</v>
      </c>
      <c r="K760" t="str">
        <f t="shared" si="127"/>
        <v>/* ENERO        */ { nombre: "Adviento, Semana I, MIÉRCOLES", archivo: "/ev/ta/1/miércoles.mp3", fecha: `${year}-01-13` },</v>
      </c>
      <c r="L760" s="10">
        <f t="shared" si="128"/>
        <v>46400</v>
      </c>
    </row>
    <row r="761" spans="1:12" hidden="1" x14ac:dyDescent="0.25">
      <c r="A761" t="str" cm="1">
        <f t="array" ref="A761">_xlfn.IFS(E761="Adviento","ta", E761="Navidad","tn", E761="Epifania","te", E761="Ordinario","to", E761="Cuaresma","tc", E761="Domingo De Ramos","tc", E761="Semana Santa","ss", E761="Triduo Pascual","tp", E761="Vigilia Pascual","tp", E761="Pascual","tp")</f>
        <v>ta</v>
      </c>
      <c r="B761" s="14" t="str">
        <f t="shared" si="121"/>
        <v>/* ENERO        */</v>
      </c>
      <c r="C761" s="15">
        <f t="shared" si="124"/>
        <v>46401</v>
      </c>
      <c r="D761" s="9">
        <f t="shared" si="125"/>
        <v>46401</v>
      </c>
      <c r="E761" t="s">
        <v>46</v>
      </c>
      <c r="F761" t="s">
        <v>43</v>
      </c>
      <c r="G761">
        <v>1</v>
      </c>
      <c r="I761" s="11">
        <f t="shared" si="126"/>
        <v>46401</v>
      </c>
      <c r="J761" t="s">
        <v>44</v>
      </c>
      <c r="K761" t="str">
        <f t="shared" si="127"/>
        <v>/* ENERO        */ { nombre: "Adviento, Semana I, JUEVES", archivo: "/ev/ta/1/jueves.mp3", fecha: `${year}-01-14` },</v>
      </c>
      <c r="L761" s="10">
        <f t="shared" si="128"/>
        <v>46401</v>
      </c>
    </row>
    <row r="762" spans="1:12" hidden="1" x14ac:dyDescent="0.25">
      <c r="A762" t="str" cm="1">
        <f t="array" ref="A762">_xlfn.IFS(E762="Adviento","ta", E762="Navidad","tn", E762="Epifania","te", E762="Ordinario","to", E762="Cuaresma","tc", E762="Domingo De Ramos","tc", E762="Semana Santa","ss", E762="Triduo Pascual","tp", E762="Vigilia Pascual","tp", E762="Pascual","tp")</f>
        <v>ta</v>
      </c>
      <c r="B762" s="14" t="str">
        <f t="shared" si="121"/>
        <v>/* ENERO        */</v>
      </c>
      <c r="C762" s="15">
        <f t="shared" si="124"/>
        <v>46402</v>
      </c>
      <c r="D762" s="9">
        <f t="shared" si="125"/>
        <v>46402</v>
      </c>
      <c r="E762" t="s">
        <v>46</v>
      </c>
      <c r="F762" t="s">
        <v>43</v>
      </c>
      <c r="G762">
        <v>1</v>
      </c>
      <c r="I762" s="11">
        <f t="shared" si="126"/>
        <v>46402</v>
      </c>
      <c r="J762" t="s">
        <v>44</v>
      </c>
      <c r="K762" t="str">
        <f t="shared" si="127"/>
        <v>/* ENERO        */ { nombre: "Adviento, Semana I, VIERNES", archivo: "/ev/ta/1/viernes.mp3", fecha: `${year}-01-15` },</v>
      </c>
      <c r="L762" s="10">
        <f t="shared" si="128"/>
        <v>46402</v>
      </c>
    </row>
    <row r="763" spans="1:12" hidden="1" x14ac:dyDescent="0.25">
      <c r="A763" t="str" cm="1">
        <f t="array" ref="A763">_xlfn.IFS(E763="Adviento","ta", E763="Navidad","tn", E763="Epifania","te", E763="Ordinario","to", E763="Cuaresma","tc", E763="Domingo De Ramos","tc", E763="Semana Santa","ss", E763="Triduo Pascual","tp", E763="Vigilia Pascual","tp", E763="Pascual","tp")</f>
        <v>ta</v>
      </c>
      <c r="B763" s="14" t="str">
        <f t="shared" si="121"/>
        <v>/* ENERO        */</v>
      </c>
      <c r="C763" s="15">
        <f t="shared" si="124"/>
        <v>46403</v>
      </c>
      <c r="D763" s="9">
        <f t="shared" si="125"/>
        <v>46403</v>
      </c>
      <c r="E763" t="s">
        <v>46</v>
      </c>
      <c r="F763" t="s">
        <v>43</v>
      </c>
      <c r="G763">
        <v>1</v>
      </c>
      <c r="I763" s="11">
        <f t="shared" si="126"/>
        <v>46403</v>
      </c>
      <c r="J763" t="s">
        <v>44</v>
      </c>
      <c r="K763" t="str">
        <f t="shared" si="127"/>
        <v>/* ENERO        */ { nombre: "Adviento, Semana I, SÁBADO", archivo: "/ev/ta/1/sábado.mp3", fecha: `${year}-01-16` },</v>
      </c>
      <c r="L763" s="10">
        <f t="shared" si="128"/>
        <v>46403</v>
      </c>
    </row>
    <row r="764" spans="1:12" hidden="1" x14ac:dyDescent="0.25">
      <c r="A764" t="str" cm="1">
        <f t="array" ref="A764">_xlfn.IFS(E764="Adviento","ta", E764="Navidad","tn", E764="Epifania","te", E764="Ordinario","to", E764="Cuaresma","tc", E764="Domingo De Ramos","tc", E764="Semana Santa","ss", E764="Triduo Pascual","tp", E764="Vigilia Pascual","tp", E764="Pascual","tp")</f>
        <v>ta</v>
      </c>
      <c r="B764" s="14" t="str">
        <f t="shared" si="121"/>
        <v>/* ENERO        */</v>
      </c>
      <c r="C764" s="15">
        <f t="shared" si="124"/>
        <v>46404</v>
      </c>
      <c r="D764" s="9">
        <f t="shared" si="125"/>
        <v>46404</v>
      </c>
      <c r="E764" t="s">
        <v>46</v>
      </c>
      <c r="F764" t="s">
        <v>43</v>
      </c>
      <c r="G764">
        <v>1</v>
      </c>
      <c r="I764" s="11">
        <f t="shared" si="126"/>
        <v>46404</v>
      </c>
      <c r="J764" t="s">
        <v>44</v>
      </c>
      <c r="K764" t="str">
        <f t="shared" si="127"/>
        <v>/* ENERO        */ { nombre: "Adviento, Semana I, DOMINGO", archivo: "/ev/ta/1/domingo.mp3", fecha: `${year}-01-17` },</v>
      </c>
      <c r="L764" s="10">
        <f t="shared" si="128"/>
        <v>46404</v>
      </c>
    </row>
    <row r="765" spans="1:12" hidden="1" x14ac:dyDescent="0.25">
      <c r="A765" t="str" cm="1">
        <f t="array" ref="A765">_xlfn.IFS(E765="Adviento","ta", E765="Navidad","tn", E765="Epifania","te", E765="Ordinario","to", E765="Cuaresma","tc", E765="Domingo De Ramos","tc", E765="Semana Santa","ss", E765="Triduo Pascual","tp", E765="Vigilia Pascual","tp", E765="Pascual","tp")</f>
        <v>ta</v>
      </c>
      <c r="B765" s="14" t="str">
        <f t="shared" si="121"/>
        <v>/* ENERO        */</v>
      </c>
      <c r="C765" s="15">
        <f t="shared" si="124"/>
        <v>46405</v>
      </c>
      <c r="D765" s="9">
        <f t="shared" si="125"/>
        <v>46405</v>
      </c>
      <c r="E765" t="s">
        <v>46</v>
      </c>
      <c r="F765" t="s">
        <v>43</v>
      </c>
      <c r="G765">
        <v>1</v>
      </c>
      <c r="I765" s="11">
        <f t="shared" si="126"/>
        <v>46405</v>
      </c>
      <c r="J765" t="s">
        <v>44</v>
      </c>
      <c r="K765" t="str">
        <f t="shared" si="127"/>
        <v>/* ENERO        */ { nombre: "Adviento, Semana I, LUNES", archivo: "/ev/ta/1/lunes.mp3", fecha: `${year}-01-18` },</v>
      </c>
      <c r="L765" s="10">
        <f t="shared" si="128"/>
        <v>46405</v>
      </c>
    </row>
    <row r="766" spans="1:12" hidden="1" x14ac:dyDescent="0.25">
      <c r="A766" t="str" cm="1">
        <f t="array" ref="A766">_xlfn.IFS(E766="Adviento","ta", E766="Navidad","tn", E766="Epifania","te", E766="Ordinario","to", E766="Cuaresma","tc", E766="Domingo De Ramos","tc", E766="Semana Santa","ss", E766="Triduo Pascual","tp", E766="Vigilia Pascual","tp", E766="Pascual","tp")</f>
        <v>ta</v>
      </c>
      <c r="B766" s="14" t="str">
        <f t="shared" si="121"/>
        <v>/* ENERO        */</v>
      </c>
      <c r="C766" s="15">
        <f t="shared" si="124"/>
        <v>46406</v>
      </c>
      <c r="D766" s="9">
        <f t="shared" si="125"/>
        <v>46406</v>
      </c>
      <c r="E766" t="s">
        <v>46</v>
      </c>
      <c r="F766" t="s">
        <v>43</v>
      </c>
      <c r="G766">
        <v>1</v>
      </c>
      <c r="I766" s="11">
        <f t="shared" si="126"/>
        <v>46406</v>
      </c>
      <c r="J766" t="s">
        <v>44</v>
      </c>
      <c r="K766" t="str">
        <f t="shared" si="127"/>
        <v>/* ENERO        */ { nombre: "Adviento, Semana I, MARTES", archivo: "/ev/ta/1/martes.mp3", fecha: `${year}-01-19` },</v>
      </c>
      <c r="L766" s="10">
        <f t="shared" si="128"/>
        <v>46406</v>
      </c>
    </row>
    <row r="767" spans="1:12" hidden="1" x14ac:dyDescent="0.25">
      <c r="A767" t="str" cm="1">
        <f t="array" ref="A767">_xlfn.IFS(E767="Adviento","ta", E767="Navidad","tn", E767="Epifania","te", E767="Ordinario","to", E767="Cuaresma","tc", E767="Domingo De Ramos","tc", E767="Semana Santa","ss", E767="Triduo Pascual","tp", E767="Vigilia Pascual","tp", E767="Pascual","tp")</f>
        <v>ta</v>
      </c>
      <c r="B767" s="14" t="str">
        <f t="shared" si="121"/>
        <v>/* ENERO        */</v>
      </c>
      <c r="C767" s="15">
        <f t="shared" si="124"/>
        <v>46407</v>
      </c>
      <c r="D767" s="9">
        <f t="shared" si="125"/>
        <v>46407</v>
      </c>
      <c r="E767" t="s">
        <v>46</v>
      </c>
      <c r="F767" t="s">
        <v>43</v>
      </c>
      <c r="G767">
        <v>1</v>
      </c>
      <c r="I767" s="11">
        <f t="shared" si="126"/>
        <v>46407</v>
      </c>
      <c r="J767" t="s">
        <v>44</v>
      </c>
      <c r="K767" t="str">
        <f t="shared" si="127"/>
        <v>/* ENERO        */ { nombre: "Adviento, Semana I, MIÉRCOLES", archivo: "/ev/ta/1/miércoles.mp3", fecha: `${year}-01-20` },</v>
      </c>
      <c r="L767" s="10">
        <f t="shared" si="128"/>
        <v>46407</v>
      </c>
    </row>
    <row r="768" spans="1:12" hidden="1" x14ac:dyDescent="0.25">
      <c r="A768" t="str" cm="1">
        <f t="array" ref="A768">_xlfn.IFS(E768="Adviento","ta", E768="Navidad","tn", E768="Epifania","te", E768="Ordinario","to", E768="Cuaresma","tc", E768="Domingo De Ramos","tc", E768="Semana Santa","ss", E768="Triduo Pascual","tp", E768="Vigilia Pascual","tp", E768="Pascual","tp")</f>
        <v>ta</v>
      </c>
      <c r="B768" s="14" t="str">
        <f t="shared" si="121"/>
        <v>/* ENERO        */</v>
      </c>
      <c r="C768" s="15">
        <f t="shared" si="124"/>
        <v>46408</v>
      </c>
      <c r="D768" s="9">
        <f t="shared" si="125"/>
        <v>46408</v>
      </c>
      <c r="E768" t="s">
        <v>46</v>
      </c>
      <c r="F768" t="s">
        <v>43</v>
      </c>
      <c r="G768">
        <v>1</v>
      </c>
      <c r="I768" s="11">
        <f t="shared" si="126"/>
        <v>46408</v>
      </c>
      <c r="J768" t="s">
        <v>44</v>
      </c>
      <c r="K768" t="str">
        <f t="shared" si="127"/>
        <v>/* ENERO        */ { nombre: "Adviento, Semana I, JUEVES", archivo: "/ev/ta/1/jueves.mp3", fecha: `${year}-01-21` },</v>
      </c>
      <c r="L768" s="10">
        <f t="shared" si="128"/>
        <v>46408</v>
      </c>
    </row>
    <row r="769" spans="1:12" hidden="1" x14ac:dyDescent="0.25">
      <c r="A769" t="str" cm="1">
        <f t="array" ref="A769">_xlfn.IFS(E769="Adviento","ta", E769="Navidad","tn", E769="Epifania","te", E769="Ordinario","to", E769="Cuaresma","tc", E769="Domingo De Ramos","tc", E769="Semana Santa","ss", E769="Triduo Pascual","tp", E769="Vigilia Pascual","tp", E769="Pascual","tp")</f>
        <v>ta</v>
      </c>
      <c r="B769" s="14" t="str">
        <f t="shared" si="121"/>
        <v>/* ENERO        */</v>
      </c>
      <c r="C769" s="15">
        <f t="shared" si="124"/>
        <v>46409</v>
      </c>
      <c r="D769" s="9">
        <f t="shared" si="125"/>
        <v>46409</v>
      </c>
      <c r="E769" t="s">
        <v>46</v>
      </c>
      <c r="F769" t="s">
        <v>43</v>
      </c>
      <c r="G769">
        <v>1</v>
      </c>
      <c r="I769" s="11">
        <f t="shared" si="126"/>
        <v>46409</v>
      </c>
      <c r="J769" t="s">
        <v>44</v>
      </c>
      <c r="K769" t="str">
        <f t="shared" si="127"/>
        <v>/* ENERO        */ { nombre: "Adviento, Semana I, VIERNES", archivo: "/ev/ta/1/viernes.mp3", fecha: `${year}-01-22` },</v>
      </c>
      <c r="L769" s="10">
        <f t="shared" si="128"/>
        <v>46409</v>
      </c>
    </row>
    <row r="770" spans="1:12" hidden="1" x14ac:dyDescent="0.25">
      <c r="A770" t="str" cm="1">
        <f t="array" ref="A770">_xlfn.IFS(E770="Adviento","ta", E770="Navidad","tn", E770="Epifania","te", E770="Ordinario","to", E770="Cuaresma","tc", E770="Domingo De Ramos","tc", E770="Semana Santa","ss", E770="Triduo Pascual","tp", E770="Vigilia Pascual","tp", E770="Pascual","tp")</f>
        <v>ta</v>
      </c>
      <c r="B770" s="14" t="str">
        <f t="shared" si="121"/>
        <v>/* ENERO        */</v>
      </c>
      <c r="C770" s="15">
        <f t="shared" si="124"/>
        <v>46410</v>
      </c>
      <c r="D770" s="9">
        <f t="shared" si="125"/>
        <v>46410</v>
      </c>
      <c r="E770" t="s">
        <v>46</v>
      </c>
      <c r="F770" t="s">
        <v>43</v>
      </c>
      <c r="G770">
        <v>1</v>
      </c>
      <c r="I770" s="11">
        <f t="shared" si="126"/>
        <v>46410</v>
      </c>
      <c r="J770" t="s">
        <v>44</v>
      </c>
      <c r="K770" t="str">
        <f t="shared" si="127"/>
        <v>/* ENERO        */ { nombre: "Adviento, Semana I, SÁBADO", archivo: "/ev/ta/1/sábado.mp3", fecha: `${year}-01-23` },</v>
      </c>
      <c r="L770" s="10">
        <f t="shared" si="128"/>
        <v>46410</v>
      </c>
    </row>
    <row r="771" spans="1:12" hidden="1" x14ac:dyDescent="0.25">
      <c r="A771" t="str" cm="1">
        <f t="array" ref="A771">_xlfn.IFS(E771="Adviento","ta", E771="Navidad","tn", E771="Epifania","te", E771="Ordinario","to", E771="Cuaresma","tc", E771="Domingo De Ramos","tc", E771="Semana Santa","ss", E771="Triduo Pascual","tp", E771="Vigilia Pascual","tp", E771="Pascual","tp")</f>
        <v>ta</v>
      </c>
      <c r="B771" s="14" t="str">
        <f t="shared" si="121"/>
        <v>/* ENERO        */</v>
      </c>
      <c r="C771" s="15">
        <f t="shared" si="124"/>
        <v>46411</v>
      </c>
      <c r="D771" s="9">
        <f t="shared" si="125"/>
        <v>46411</v>
      </c>
      <c r="E771" t="s">
        <v>46</v>
      </c>
      <c r="F771" t="s">
        <v>43</v>
      </c>
      <c r="G771">
        <v>1</v>
      </c>
      <c r="I771" s="11">
        <f t="shared" si="126"/>
        <v>46411</v>
      </c>
      <c r="J771" t="s">
        <v>44</v>
      </c>
      <c r="K771" t="str">
        <f t="shared" si="127"/>
        <v>/* ENERO        */ { nombre: "Adviento, Semana I, DOMINGO", archivo: "/ev/ta/1/domingo.mp3", fecha: `${year}-01-24` },</v>
      </c>
      <c r="L771" s="10">
        <f t="shared" si="128"/>
        <v>46411</v>
      </c>
    </row>
    <row r="772" spans="1:12" hidden="1" x14ac:dyDescent="0.25">
      <c r="A772" t="str" cm="1">
        <f t="array" ref="A772">_xlfn.IFS(E772="Adviento","ta", E772="Navidad","tn", E772="Epifania","te", E772="Ordinario","to", E772="Cuaresma","tc", E772="Domingo De Ramos","tc", E772="Semana Santa","ss", E772="Triduo Pascual","tp", E772="Vigilia Pascual","tp", E772="Pascual","tp")</f>
        <v>ta</v>
      </c>
      <c r="B772" s="14" t="str">
        <f t="shared" si="121"/>
        <v>/* ENERO        */</v>
      </c>
      <c r="C772" s="15">
        <f t="shared" si="124"/>
        <v>46412</v>
      </c>
      <c r="D772" s="9">
        <f t="shared" si="125"/>
        <v>46412</v>
      </c>
      <c r="E772" t="s">
        <v>46</v>
      </c>
      <c r="F772" t="s">
        <v>43</v>
      </c>
      <c r="G772">
        <v>1</v>
      </c>
      <c r="I772" s="11">
        <f t="shared" si="126"/>
        <v>46412</v>
      </c>
      <c r="J772" t="s">
        <v>44</v>
      </c>
      <c r="K772" t="str">
        <f t="shared" si="127"/>
        <v>/* ENERO        */ { nombre: "Adviento, Semana I, LUNES", archivo: "/ev/ta/1/lunes.mp3", fecha: `${year}-01-25` },</v>
      </c>
      <c r="L772" s="10">
        <f t="shared" si="128"/>
        <v>46412</v>
      </c>
    </row>
    <row r="773" spans="1:12" hidden="1" x14ac:dyDescent="0.25">
      <c r="A773" t="str" cm="1">
        <f t="array" ref="A773">_xlfn.IFS(E773="Adviento","ta", E773="Navidad","tn", E773="Epifania","te", E773="Ordinario","to", E773="Cuaresma","tc", E773="Domingo De Ramos","tc", E773="Semana Santa","ss", E773="Triduo Pascual","tp", E773="Vigilia Pascual","tp", E773="Pascual","tp")</f>
        <v>ta</v>
      </c>
      <c r="B773" s="14" t="str">
        <f t="shared" si="121"/>
        <v>/* ENERO        */</v>
      </c>
      <c r="C773" s="15">
        <f t="shared" si="124"/>
        <v>46413</v>
      </c>
      <c r="D773" s="9">
        <f t="shared" si="125"/>
        <v>46413</v>
      </c>
      <c r="E773" t="s">
        <v>46</v>
      </c>
      <c r="F773" t="s">
        <v>43</v>
      </c>
      <c r="G773">
        <v>1</v>
      </c>
      <c r="I773" s="11">
        <f t="shared" si="126"/>
        <v>46413</v>
      </c>
      <c r="J773" t="s">
        <v>44</v>
      </c>
      <c r="K773" t="str">
        <f t="shared" si="127"/>
        <v>/* ENERO        */ { nombre: "Adviento, Semana I, MARTES", archivo: "/ev/ta/1/martes.mp3", fecha: `${year}-01-26` },</v>
      </c>
      <c r="L773" s="10">
        <f t="shared" si="128"/>
        <v>46413</v>
      </c>
    </row>
    <row r="774" spans="1:12" hidden="1" x14ac:dyDescent="0.25">
      <c r="A774" t="str" cm="1">
        <f t="array" ref="A774">_xlfn.IFS(E774="Adviento","ta", E774="Navidad","tn", E774="Epifania","te", E774="Ordinario","to", E774="Cuaresma","tc", E774="Domingo De Ramos","tc", E774="Semana Santa","ss", E774="Triduo Pascual","tp", E774="Vigilia Pascual","tp", E774="Pascual","tp")</f>
        <v>ta</v>
      </c>
      <c r="B774" s="14" t="str">
        <f t="shared" si="121"/>
        <v>/* ENERO        */</v>
      </c>
      <c r="C774" s="15">
        <f t="shared" si="124"/>
        <v>46414</v>
      </c>
      <c r="D774" s="9">
        <f t="shared" si="125"/>
        <v>46414</v>
      </c>
      <c r="E774" t="s">
        <v>46</v>
      </c>
      <c r="F774" t="s">
        <v>43</v>
      </c>
      <c r="G774">
        <v>1</v>
      </c>
      <c r="I774" s="11">
        <f t="shared" si="126"/>
        <v>46414</v>
      </c>
      <c r="J774" t="s">
        <v>44</v>
      </c>
      <c r="K774" t="str">
        <f t="shared" si="127"/>
        <v>/* ENERO        */ { nombre: "Adviento, Semana I, MIÉRCOLES", archivo: "/ev/ta/1/miércoles.mp3", fecha: `${year}-01-27` },</v>
      </c>
      <c r="L774" s="10">
        <f t="shared" si="128"/>
        <v>46414</v>
      </c>
    </row>
    <row r="775" spans="1:12" hidden="1" x14ac:dyDescent="0.25">
      <c r="A775" t="str" cm="1">
        <f t="array" ref="A775">_xlfn.IFS(E775="Adviento","ta", E775="Navidad","tn", E775="Epifania","te", E775="Ordinario","to", E775="Cuaresma","tc", E775="Domingo De Ramos","tc", E775="Semana Santa","ss", E775="Triduo Pascual","tp", E775="Vigilia Pascual","tp", E775="Pascual","tp")</f>
        <v>ta</v>
      </c>
      <c r="B775" s="14" t="str">
        <f t="shared" si="121"/>
        <v>/* ENERO        */</v>
      </c>
      <c r="C775" s="15">
        <f t="shared" si="124"/>
        <v>46415</v>
      </c>
      <c r="D775" s="9">
        <f t="shared" si="125"/>
        <v>46415</v>
      </c>
      <c r="E775" t="s">
        <v>46</v>
      </c>
      <c r="F775" t="s">
        <v>43</v>
      </c>
      <c r="G775">
        <v>1</v>
      </c>
      <c r="I775" s="11">
        <f t="shared" si="126"/>
        <v>46415</v>
      </c>
      <c r="J775" t="s">
        <v>44</v>
      </c>
      <c r="K775" t="str">
        <f t="shared" si="127"/>
        <v>/* ENERO        */ { nombre: "Adviento, Semana I, JUEVES", archivo: "/ev/ta/1/jueves.mp3", fecha: `${year}-01-28` },</v>
      </c>
      <c r="L775" s="10">
        <f t="shared" si="128"/>
        <v>46415</v>
      </c>
    </row>
    <row r="776" spans="1:12" hidden="1" x14ac:dyDescent="0.25">
      <c r="A776" t="str" cm="1">
        <f t="array" ref="A776">_xlfn.IFS(E776="Adviento","ta", E776="Navidad","tn", E776="Epifania","te", E776="Ordinario","to", E776="Cuaresma","tc", E776="Domingo De Ramos","tc", E776="Semana Santa","ss", E776="Triduo Pascual","tp", E776="Vigilia Pascual","tp", E776="Pascual","tp")</f>
        <v>ta</v>
      </c>
      <c r="B776" s="14" t="str">
        <f t="shared" si="121"/>
        <v>/* ENERO        */</v>
      </c>
      <c r="C776" s="15">
        <f t="shared" si="124"/>
        <v>46416</v>
      </c>
      <c r="D776" s="9">
        <f t="shared" si="125"/>
        <v>46416</v>
      </c>
      <c r="E776" t="s">
        <v>46</v>
      </c>
      <c r="F776" t="s">
        <v>43</v>
      </c>
      <c r="G776">
        <v>1</v>
      </c>
      <c r="I776" s="11">
        <f t="shared" si="126"/>
        <v>46416</v>
      </c>
      <c r="J776" t="s">
        <v>44</v>
      </c>
      <c r="K776" t="str">
        <f t="shared" si="127"/>
        <v>/* ENERO        */ { nombre: "Adviento, Semana I, VIERNES", archivo: "/ev/ta/1/viernes.mp3", fecha: `${year}-01-29` },</v>
      </c>
      <c r="L776" s="10">
        <f t="shared" si="128"/>
        <v>46416</v>
      </c>
    </row>
    <row r="777" spans="1:12" hidden="1" x14ac:dyDescent="0.25">
      <c r="A777" t="str" cm="1">
        <f t="array" ref="A777">_xlfn.IFS(E777="Adviento","ta", E777="Navidad","tn", E777="Epifania","te", E777="Ordinario","to", E777="Cuaresma","tc", E777="Domingo De Ramos","tc", E777="Semana Santa","ss", E777="Triduo Pascual","tp", E777="Vigilia Pascual","tp", E777="Pascual","tp")</f>
        <v>ta</v>
      </c>
      <c r="B777" s="14" t="str">
        <f t="shared" si="121"/>
        <v>/* ENERO        */</v>
      </c>
      <c r="C777" s="15">
        <f t="shared" si="124"/>
        <v>46417</v>
      </c>
      <c r="D777" s="9">
        <f t="shared" si="125"/>
        <v>46417</v>
      </c>
      <c r="E777" t="s">
        <v>46</v>
      </c>
      <c r="F777" t="s">
        <v>43</v>
      </c>
      <c r="G777">
        <v>1</v>
      </c>
      <c r="I777" s="11">
        <f t="shared" si="126"/>
        <v>46417</v>
      </c>
      <c r="J777" t="s">
        <v>44</v>
      </c>
      <c r="K777" t="str">
        <f t="shared" si="127"/>
        <v>/* ENERO        */ { nombre: "Adviento, Semana I, SÁBADO", archivo: "/ev/ta/1/sábado.mp3", fecha: `${year}-01-30` },</v>
      </c>
      <c r="L777" s="10">
        <f t="shared" si="128"/>
        <v>46417</v>
      </c>
    </row>
    <row r="778" spans="1:12" hidden="1" x14ac:dyDescent="0.25">
      <c r="A778" t="str" cm="1">
        <f t="array" ref="A778">_xlfn.IFS(E778="Adviento","ta", E778="Navidad","tn", E778="Epifania","te", E778="Ordinario","to", E778="Cuaresma","tc", E778="Domingo De Ramos","tc", E778="Semana Santa","ss", E778="Triduo Pascual","tp", E778="Vigilia Pascual","tp", E778="Pascual","tp")</f>
        <v>ta</v>
      </c>
      <c r="B778" s="14" t="str">
        <f t="shared" si="121"/>
        <v>/* ENERO        */</v>
      </c>
      <c r="C778" s="15">
        <f t="shared" si="124"/>
        <v>46418</v>
      </c>
      <c r="D778" s="9">
        <f t="shared" si="125"/>
        <v>46418</v>
      </c>
      <c r="E778" t="s">
        <v>46</v>
      </c>
      <c r="F778" t="s">
        <v>43</v>
      </c>
      <c r="G778">
        <v>1</v>
      </c>
      <c r="I778" s="11">
        <f t="shared" si="126"/>
        <v>46418</v>
      </c>
      <c r="J778" t="s">
        <v>44</v>
      </c>
      <c r="K778" t="str">
        <f t="shared" si="127"/>
        <v>/* ENERO        */ { nombre: "Adviento, Semana I, DOMINGO", archivo: "/ev/ta/1/domingo.mp3", fecha: `${year}-01-31` },</v>
      </c>
      <c r="L778" s="10">
        <f t="shared" si="128"/>
        <v>46418</v>
      </c>
    </row>
    <row r="779" spans="1:12" hidden="1" x14ac:dyDescent="0.25">
      <c r="A779" t="str" cm="1">
        <f t="array" ref="A779">_xlfn.IFS(E779="Adviento","ta", E779="Navidad","tn", E779="Epifania","te", E779="Ordinario","to", E779="Cuaresma","tc", E779="Domingo De Ramos","tc", E779="Semana Santa","ss", E779="Triduo Pascual","tp", E779="Vigilia Pascual","tp", E779="Pascual","tp")</f>
        <v>ta</v>
      </c>
      <c r="B779" s="14" t="str">
        <f t="shared" si="121"/>
        <v>/* FEBRERO        */</v>
      </c>
      <c r="C779" s="15">
        <f t="shared" si="124"/>
        <v>46419</v>
      </c>
      <c r="D779" s="9">
        <f t="shared" si="125"/>
        <v>46419</v>
      </c>
      <c r="E779" t="s">
        <v>46</v>
      </c>
      <c r="F779" t="s">
        <v>43</v>
      </c>
      <c r="G779">
        <v>1</v>
      </c>
      <c r="I779" s="11">
        <f t="shared" si="126"/>
        <v>46419</v>
      </c>
      <c r="J779" t="s">
        <v>44</v>
      </c>
      <c r="K779" t="str">
        <f t="shared" si="127"/>
        <v>/* FEBRERO        */ { nombre: "Adviento, Semana I, LUNES", archivo: "/ev/ta/1/lunes.mp3", fecha: `${year}-02-01` },</v>
      </c>
      <c r="L779" s="10">
        <f t="shared" si="128"/>
        <v>46419</v>
      </c>
    </row>
    <row r="780" spans="1:12" hidden="1" x14ac:dyDescent="0.25">
      <c r="A780" t="str" cm="1">
        <f t="array" ref="A780">_xlfn.IFS(E780="Adviento","ta", E780="Navidad","tn", E780="Epifania","te", E780="Ordinario","to", E780="Cuaresma","tc", E780="Domingo De Ramos","tc", E780="Semana Santa","ss", E780="Triduo Pascual","tp", E780="Vigilia Pascual","tp", E780="Pascual","tp")</f>
        <v>ta</v>
      </c>
      <c r="B780" s="14" t="str">
        <f t="shared" si="121"/>
        <v>/* FEBRERO        */</v>
      </c>
      <c r="C780" s="15">
        <f t="shared" si="124"/>
        <v>46420</v>
      </c>
      <c r="D780" s="9">
        <f t="shared" si="125"/>
        <v>46420</v>
      </c>
      <c r="E780" t="s">
        <v>46</v>
      </c>
      <c r="F780" t="s">
        <v>43</v>
      </c>
      <c r="G780">
        <v>1</v>
      </c>
      <c r="I780" s="11">
        <f t="shared" si="126"/>
        <v>46420</v>
      </c>
      <c r="J780" t="s">
        <v>44</v>
      </c>
      <c r="K780" t="str">
        <f t="shared" si="127"/>
        <v>/* FEBRERO        */ { nombre: "Adviento, Semana I, MARTES", archivo: "/ev/ta/1/martes.mp3", fecha: `${year}-02-02` },</v>
      </c>
      <c r="L780" s="10">
        <f t="shared" si="128"/>
        <v>46420</v>
      </c>
    </row>
    <row r="781" spans="1:12" hidden="1" x14ac:dyDescent="0.25">
      <c r="A781" t="str" cm="1">
        <f t="array" ref="A781">_xlfn.IFS(E781="Adviento","ta", E781="Navidad","tn", E781="Epifania","te", E781="Ordinario","to", E781="Cuaresma","tc", E781="Domingo De Ramos","tc", E781="Semana Santa","ss", E781="Triduo Pascual","tp", E781="Vigilia Pascual","tp", E781="Pascual","tp")</f>
        <v>ta</v>
      </c>
      <c r="B781" s="14" t="str">
        <f t="shared" si="121"/>
        <v>/* FEBRERO        */</v>
      </c>
      <c r="C781" s="15">
        <f t="shared" si="124"/>
        <v>46421</v>
      </c>
      <c r="D781" s="9">
        <f t="shared" si="125"/>
        <v>46421</v>
      </c>
      <c r="E781" t="s">
        <v>46</v>
      </c>
      <c r="F781" t="s">
        <v>43</v>
      </c>
      <c r="G781">
        <v>1</v>
      </c>
      <c r="I781" s="11">
        <f t="shared" si="126"/>
        <v>46421</v>
      </c>
      <c r="J781" t="s">
        <v>44</v>
      </c>
      <c r="K781" t="str">
        <f t="shared" si="127"/>
        <v>/* FEBRERO        */ { nombre: "Adviento, Semana I, MIÉRCOLES", archivo: "/ev/ta/1/miércoles.mp3", fecha: `${year}-02-03` },</v>
      </c>
      <c r="L781" s="10">
        <f t="shared" si="128"/>
        <v>46421</v>
      </c>
    </row>
    <row r="782" spans="1:12" hidden="1" x14ac:dyDescent="0.25">
      <c r="A782" t="str" cm="1">
        <f t="array" ref="A782">_xlfn.IFS(E782="Adviento","ta", E782="Navidad","tn", E782="Epifania","te", E782="Ordinario","to", E782="Cuaresma","tc", E782="Domingo De Ramos","tc", E782="Semana Santa","ss", E782="Triduo Pascual","tp", E782="Vigilia Pascual","tp", E782="Pascual","tp")</f>
        <v>ta</v>
      </c>
      <c r="B782" s="14" t="str">
        <f t="shared" si="121"/>
        <v>/* FEBRERO        */</v>
      </c>
      <c r="C782" s="15">
        <f t="shared" si="124"/>
        <v>46422</v>
      </c>
      <c r="D782" s="9">
        <f t="shared" si="125"/>
        <v>46422</v>
      </c>
      <c r="E782" t="s">
        <v>46</v>
      </c>
      <c r="F782" t="s">
        <v>43</v>
      </c>
      <c r="G782">
        <v>1</v>
      </c>
      <c r="I782" s="11">
        <f t="shared" si="126"/>
        <v>46422</v>
      </c>
      <c r="J782" t="s">
        <v>44</v>
      </c>
      <c r="K782" t="str">
        <f t="shared" si="127"/>
        <v>/* FEBRERO        */ { nombre: "Adviento, Semana I, JUEVES", archivo: "/ev/ta/1/jueves.mp3", fecha: `${year}-02-04` },</v>
      </c>
      <c r="L782" s="10">
        <f t="shared" si="128"/>
        <v>46422</v>
      </c>
    </row>
    <row r="783" spans="1:12" hidden="1" x14ac:dyDescent="0.25">
      <c r="A783" t="str" cm="1">
        <f t="array" ref="A783">_xlfn.IFS(E783="Adviento","ta", E783="Navidad","tn", E783="Epifania","te", E783="Ordinario","to", E783="Cuaresma","tc", E783="Domingo De Ramos","tc", E783="Semana Santa","ss", E783="Triduo Pascual","tp", E783="Vigilia Pascual","tp", E783="Pascual","tp")</f>
        <v>ta</v>
      </c>
      <c r="B783" s="14" t="str">
        <f t="shared" si="121"/>
        <v>/* FEBRERO        */</v>
      </c>
      <c r="C783" s="15">
        <f t="shared" si="124"/>
        <v>46423</v>
      </c>
      <c r="D783" s="9">
        <f t="shared" si="125"/>
        <v>46423</v>
      </c>
      <c r="E783" t="s">
        <v>46</v>
      </c>
      <c r="F783" t="s">
        <v>43</v>
      </c>
      <c r="G783">
        <v>1</v>
      </c>
      <c r="I783" s="11">
        <f t="shared" si="126"/>
        <v>46423</v>
      </c>
      <c r="J783" t="s">
        <v>44</v>
      </c>
      <c r="K783" t="str">
        <f t="shared" si="127"/>
        <v>/* FEBRERO        */ { nombre: "Adviento, Semana I, VIERNES", archivo: "/ev/ta/1/viernes.mp3", fecha: `${year}-02-05` },</v>
      </c>
      <c r="L783" s="10">
        <f t="shared" si="128"/>
        <v>46423</v>
      </c>
    </row>
    <row r="784" spans="1:12" hidden="1" x14ac:dyDescent="0.25">
      <c r="A784" t="str" cm="1">
        <f t="array" ref="A784">_xlfn.IFS(E784="Adviento","ta", E784="Navidad","tn", E784="Epifania","te", E784="Ordinario","to", E784="Cuaresma","tc", E784="Domingo De Ramos","tc", E784="Semana Santa","ss", E784="Triduo Pascual","tp", E784="Vigilia Pascual","tp", E784="Pascual","tp")</f>
        <v>ta</v>
      </c>
      <c r="B784" s="14" t="str">
        <f t="shared" si="121"/>
        <v>/* FEBRERO        */</v>
      </c>
      <c r="C784" s="15">
        <f t="shared" si="124"/>
        <v>46424</v>
      </c>
      <c r="D784" s="9">
        <f t="shared" si="125"/>
        <v>46424</v>
      </c>
      <c r="E784" t="s">
        <v>46</v>
      </c>
      <c r="F784" t="s">
        <v>43</v>
      </c>
      <c r="G784">
        <v>1</v>
      </c>
      <c r="I784" s="11">
        <f t="shared" si="126"/>
        <v>46424</v>
      </c>
      <c r="J784" t="s">
        <v>44</v>
      </c>
      <c r="K784" t="str">
        <f t="shared" si="127"/>
        <v>/* FEBRERO        */ { nombre: "Adviento, Semana I, SÁBADO", archivo: "/ev/ta/1/sábado.mp3", fecha: `${year}-02-06` },</v>
      </c>
      <c r="L784" s="10">
        <f t="shared" si="128"/>
        <v>46424</v>
      </c>
    </row>
    <row r="785" spans="1:12" hidden="1" x14ac:dyDescent="0.25">
      <c r="A785" t="str" cm="1">
        <f t="array" ref="A785">_xlfn.IFS(E785="Adviento","ta", E785="Navidad","tn", E785="Epifania","te", E785="Ordinario","to", E785="Cuaresma","tc", E785="Domingo De Ramos","tc", E785="Semana Santa","ss", E785="Triduo Pascual","tp", E785="Vigilia Pascual","tp", E785="Pascual","tp")</f>
        <v>ta</v>
      </c>
      <c r="B785" s="14" t="str">
        <f t="shared" si="121"/>
        <v>/* FEBRERO        */</v>
      </c>
      <c r="C785" s="15">
        <f t="shared" si="124"/>
        <v>46425</v>
      </c>
      <c r="D785" s="9">
        <f t="shared" si="125"/>
        <v>46425</v>
      </c>
      <c r="E785" t="s">
        <v>46</v>
      </c>
      <c r="F785" t="s">
        <v>43</v>
      </c>
      <c r="G785">
        <v>1</v>
      </c>
      <c r="I785" s="11">
        <f t="shared" si="126"/>
        <v>46425</v>
      </c>
      <c r="J785" t="s">
        <v>44</v>
      </c>
      <c r="K785" t="str">
        <f t="shared" si="127"/>
        <v>/* FEBRERO        */ { nombre: "Adviento, Semana I, DOMINGO", archivo: "/ev/ta/1/domingo.mp3", fecha: `${year}-02-07` },</v>
      </c>
      <c r="L785" s="10">
        <f t="shared" si="128"/>
        <v>46425</v>
      </c>
    </row>
    <row r="786" spans="1:12" hidden="1" x14ac:dyDescent="0.25">
      <c r="A786" t="str" cm="1">
        <f t="array" ref="A786">_xlfn.IFS(E786="Adviento","ta", E786="Navidad","tn", E786="Epifania","te", E786="Ordinario","to", E786="Cuaresma","tc", E786="Domingo De Ramos","tc", E786="Semana Santa","ss", E786="Triduo Pascual","tp", E786="Vigilia Pascual","tp", E786="Pascual","tp")</f>
        <v>ta</v>
      </c>
      <c r="B786" s="14" t="str">
        <f t="shared" si="121"/>
        <v>/* FEBRERO        */</v>
      </c>
      <c r="C786" s="15">
        <f t="shared" si="124"/>
        <v>46426</v>
      </c>
      <c r="D786" s="9">
        <f t="shared" si="125"/>
        <v>46426</v>
      </c>
      <c r="E786" t="s">
        <v>46</v>
      </c>
      <c r="F786" t="s">
        <v>43</v>
      </c>
      <c r="G786">
        <v>1</v>
      </c>
      <c r="I786" s="11">
        <f t="shared" si="126"/>
        <v>46426</v>
      </c>
      <c r="J786" t="s">
        <v>44</v>
      </c>
      <c r="K786" t="str">
        <f t="shared" si="127"/>
        <v>/* FEBRERO        */ { nombre: "Adviento, Semana I, LUNES", archivo: "/ev/ta/1/lunes.mp3", fecha: `${year}-02-08` },</v>
      </c>
      <c r="L786" s="10">
        <f t="shared" si="128"/>
        <v>46426</v>
      </c>
    </row>
    <row r="787" spans="1:12" hidden="1" x14ac:dyDescent="0.25">
      <c r="A787" t="str" cm="1">
        <f t="array" ref="A787">_xlfn.IFS(E787="Adviento","ta", E787="Navidad","tn", E787="Epifania","te", E787="Ordinario","to", E787="Cuaresma","tc", E787="Domingo De Ramos","tc", E787="Semana Santa","ss", E787="Triduo Pascual","tp", E787="Vigilia Pascual","tp", E787="Pascual","tp")</f>
        <v>ta</v>
      </c>
      <c r="B787" s="14" t="str">
        <f t="shared" si="121"/>
        <v>/* FEBRERO        */</v>
      </c>
      <c r="C787" s="15">
        <f t="shared" si="124"/>
        <v>46427</v>
      </c>
      <c r="D787" s="9">
        <f t="shared" si="125"/>
        <v>46427</v>
      </c>
      <c r="E787" t="s">
        <v>46</v>
      </c>
      <c r="F787" t="s">
        <v>43</v>
      </c>
      <c r="G787">
        <v>1</v>
      </c>
      <c r="I787" s="11">
        <f t="shared" si="126"/>
        <v>46427</v>
      </c>
      <c r="J787" t="s">
        <v>44</v>
      </c>
      <c r="K787" t="str">
        <f t="shared" si="127"/>
        <v>/* FEBRERO        */ { nombre: "Adviento, Semana I, MARTES", archivo: "/ev/ta/1/martes.mp3", fecha: `${year}-02-09` },</v>
      </c>
      <c r="L787" s="10">
        <f t="shared" si="128"/>
        <v>46427</v>
      </c>
    </row>
    <row r="788" spans="1:12" hidden="1" x14ac:dyDescent="0.25">
      <c r="A788" t="str" cm="1">
        <f t="array" ref="A788">_xlfn.IFS(E788="Adviento","ta", E788="Navidad","tn", E788="Epifania","te", E788="Ordinario","to", E788="Cuaresma","tc", E788="Domingo De Ramos","tc", E788="Semana Santa","ss", E788="Triduo Pascual","tp", E788="Vigilia Pascual","tp", E788="Pascual","tp")</f>
        <v>ta</v>
      </c>
      <c r="B788" s="14" t="str">
        <f t="shared" si="121"/>
        <v>/* FEBRERO        */</v>
      </c>
      <c r="C788" s="15">
        <f t="shared" si="124"/>
        <v>46428</v>
      </c>
      <c r="D788" s="9">
        <f t="shared" si="125"/>
        <v>46428</v>
      </c>
      <c r="E788" t="s">
        <v>46</v>
      </c>
      <c r="F788" t="s">
        <v>43</v>
      </c>
      <c r="G788">
        <v>1</v>
      </c>
      <c r="I788" s="11">
        <f t="shared" si="126"/>
        <v>46428</v>
      </c>
      <c r="J788" t="s">
        <v>44</v>
      </c>
      <c r="K788" t="str">
        <f t="shared" si="127"/>
        <v>/* FEBRERO        */ { nombre: "Adviento, Semana I, MIÉRCOLES", archivo: "/ev/ta/1/miércoles.mp3", fecha: `${year}-02-10` },</v>
      </c>
      <c r="L788" s="10">
        <f t="shared" si="128"/>
        <v>46428</v>
      </c>
    </row>
    <row r="789" spans="1:12" hidden="1" x14ac:dyDescent="0.25">
      <c r="A789" t="str" cm="1">
        <f t="array" ref="A789">_xlfn.IFS(E789="Adviento","ta", E789="Navidad","tn", E789="Epifania","te", E789="Ordinario","to", E789="Cuaresma","tc", E789="Domingo De Ramos","tc", E789="Semana Santa","ss", E789="Triduo Pascual","tp", E789="Vigilia Pascual","tp", E789="Pascual","tp")</f>
        <v>ta</v>
      </c>
      <c r="B789" s="14" t="str">
        <f t="shared" si="121"/>
        <v>/* FEBRERO        */</v>
      </c>
      <c r="C789" s="15">
        <f t="shared" si="124"/>
        <v>46429</v>
      </c>
      <c r="D789" s="9">
        <f t="shared" si="125"/>
        <v>46429</v>
      </c>
      <c r="E789" t="s">
        <v>46</v>
      </c>
      <c r="F789" t="s">
        <v>43</v>
      </c>
      <c r="G789">
        <v>1</v>
      </c>
      <c r="I789" s="11">
        <f t="shared" si="126"/>
        <v>46429</v>
      </c>
      <c r="J789" t="s">
        <v>44</v>
      </c>
      <c r="K789" t="str">
        <f t="shared" si="127"/>
        <v>/* FEBRERO        */ { nombre: "Adviento, Semana I, JUEVES", archivo: "/ev/ta/1/jueves.mp3", fecha: `${year}-02-11` },</v>
      </c>
      <c r="L789" s="10">
        <f t="shared" si="128"/>
        <v>46429</v>
      </c>
    </row>
    <row r="790" spans="1:12" hidden="1" x14ac:dyDescent="0.25">
      <c r="A790" t="str" cm="1">
        <f t="array" ref="A790">_xlfn.IFS(E790="Adviento","ta", E790="Navidad","tn", E790="Epifania","te", E790="Ordinario","to", E790="Cuaresma","tc", E790="Domingo De Ramos","tc", E790="Semana Santa","ss", E790="Triduo Pascual","tp", E790="Vigilia Pascual","tp", E790="Pascual","tp")</f>
        <v>ta</v>
      </c>
      <c r="B790" s="14" t="str">
        <f t="shared" ref="B790:B853" si="129">_xlfn.CONCAT("/* ",UPPER(TEXT(D790,"[$-es-ES]mmmm")),"        */")</f>
        <v>/* FEBRERO        */</v>
      </c>
      <c r="C790" s="15">
        <f t="shared" si="124"/>
        <v>46430</v>
      </c>
      <c r="D790" s="9">
        <f t="shared" si="125"/>
        <v>46430</v>
      </c>
      <c r="E790" t="s">
        <v>46</v>
      </c>
      <c r="F790" t="s">
        <v>43</v>
      </c>
      <c r="G790">
        <v>1</v>
      </c>
      <c r="I790" s="11">
        <f t="shared" si="126"/>
        <v>46430</v>
      </c>
      <c r="J790" t="s">
        <v>44</v>
      </c>
      <c r="K790" t="str">
        <f t="shared" si="127"/>
        <v>/* FEBRERO        */ { nombre: "Adviento, Semana I, VIERNES", archivo: "/ev/ta/1/viernes.mp3", fecha: `${year}-02-12` },</v>
      </c>
      <c r="L790" s="10">
        <f t="shared" si="128"/>
        <v>46430</v>
      </c>
    </row>
    <row r="791" spans="1:12" hidden="1" x14ac:dyDescent="0.25">
      <c r="A791" t="str" cm="1">
        <f t="array" ref="A791">_xlfn.IFS(E791="Adviento","ta", E791="Navidad","tn", E791="Epifania","te", E791="Ordinario","to", E791="Cuaresma","tc", E791="Domingo De Ramos","tc", E791="Semana Santa","ss", E791="Triduo Pascual","tp", E791="Vigilia Pascual","tp", E791="Pascual","tp")</f>
        <v>ta</v>
      </c>
      <c r="B791" s="14" t="str">
        <f t="shared" si="129"/>
        <v>/* FEBRERO        */</v>
      </c>
      <c r="C791" s="15">
        <f t="shared" si="124"/>
        <v>46431</v>
      </c>
      <c r="D791" s="9">
        <f t="shared" si="125"/>
        <v>46431</v>
      </c>
      <c r="E791" t="s">
        <v>46</v>
      </c>
      <c r="F791" t="s">
        <v>43</v>
      </c>
      <c r="G791">
        <v>1</v>
      </c>
      <c r="I791" s="11">
        <f t="shared" si="126"/>
        <v>46431</v>
      </c>
      <c r="J791" t="s">
        <v>44</v>
      </c>
      <c r="K791" t="str">
        <f t="shared" si="127"/>
        <v>/* FEBRERO        */ { nombre: "Adviento, Semana I, SÁBADO", archivo: "/ev/ta/1/sábado.mp3", fecha: `${year}-02-13` },</v>
      </c>
      <c r="L791" s="10">
        <f t="shared" si="128"/>
        <v>46431</v>
      </c>
    </row>
    <row r="792" spans="1:12" hidden="1" x14ac:dyDescent="0.25">
      <c r="A792" t="str" cm="1">
        <f t="array" ref="A792">_xlfn.IFS(E792="Adviento","ta", E792="Navidad","tn", E792="Epifania","te", E792="Ordinario","to", E792="Cuaresma","tc", E792="Domingo De Ramos","tc", E792="Semana Santa","ss", E792="Triduo Pascual","tp", E792="Vigilia Pascual","tp", E792="Pascual","tp")</f>
        <v>ta</v>
      </c>
      <c r="B792" s="14" t="str">
        <f t="shared" si="129"/>
        <v>/* FEBRERO        */</v>
      </c>
      <c r="C792" s="15">
        <f t="shared" si="124"/>
        <v>46432</v>
      </c>
      <c r="D792" s="9">
        <f t="shared" si="125"/>
        <v>46432</v>
      </c>
      <c r="E792" t="s">
        <v>46</v>
      </c>
      <c r="F792" t="s">
        <v>43</v>
      </c>
      <c r="G792">
        <v>1</v>
      </c>
      <c r="I792" s="11">
        <f t="shared" si="126"/>
        <v>46432</v>
      </c>
      <c r="J792" t="s">
        <v>44</v>
      </c>
      <c r="K792" t="str">
        <f t="shared" si="127"/>
        <v>/* FEBRERO        */ { nombre: "Adviento, Semana I, DOMINGO", archivo: "/ev/ta/1/domingo.mp3", fecha: `${year}-02-14` },</v>
      </c>
      <c r="L792" s="10">
        <f t="shared" si="128"/>
        <v>46432</v>
      </c>
    </row>
    <row r="793" spans="1:12" hidden="1" x14ac:dyDescent="0.25">
      <c r="A793" t="str" cm="1">
        <f t="array" ref="A793">_xlfn.IFS(E793="Adviento","ta", E793="Navidad","tn", E793="Epifania","te", E793="Ordinario","to", E793="Cuaresma","tc", E793="Domingo De Ramos","tc", E793="Semana Santa","ss", E793="Triduo Pascual","tp", E793="Vigilia Pascual","tp", E793="Pascual","tp")</f>
        <v>ta</v>
      </c>
      <c r="B793" s="14" t="str">
        <f t="shared" si="129"/>
        <v>/* FEBRERO        */</v>
      </c>
      <c r="C793" s="15">
        <f t="shared" si="124"/>
        <v>46433</v>
      </c>
      <c r="D793" s="9">
        <f t="shared" si="125"/>
        <v>46433</v>
      </c>
      <c r="E793" t="s">
        <v>46</v>
      </c>
      <c r="F793" t="s">
        <v>43</v>
      </c>
      <c r="G793">
        <v>1</v>
      </c>
      <c r="I793" s="11">
        <f t="shared" si="126"/>
        <v>46433</v>
      </c>
      <c r="J793" t="s">
        <v>44</v>
      </c>
      <c r="K793" t="str">
        <f t="shared" si="127"/>
        <v>/* FEBRERO        */ { nombre: "Adviento, Semana I, LUNES", archivo: "/ev/ta/1/lunes.mp3", fecha: `${year}-02-15` },</v>
      </c>
      <c r="L793" s="10">
        <f t="shared" si="128"/>
        <v>46433</v>
      </c>
    </row>
    <row r="794" spans="1:12" hidden="1" x14ac:dyDescent="0.25">
      <c r="A794" t="str" cm="1">
        <f t="array" ref="A794">_xlfn.IFS(E794="Adviento","ta", E794="Navidad","tn", E794="Epifania","te", E794="Ordinario","to", E794="Cuaresma","tc", E794="Domingo De Ramos","tc", E794="Semana Santa","ss", E794="Triduo Pascual","tp", E794="Vigilia Pascual","tp", E794="Pascual","tp")</f>
        <v>ta</v>
      </c>
      <c r="B794" s="14" t="str">
        <f t="shared" si="129"/>
        <v>/* FEBRERO        */</v>
      </c>
      <c r="C794" s="15">
        <f t="shared" si="124"/>
        <v>46434</v>
      </c>
      <c r="D794" s="9">
        <f t="shared" si="125"/>
        <v>46434</v>
      </c>
      <c r="E794" t="s">
        <v>46</v>
      </c>
      <c r="F794" t="s">
        <v>43</v>
      </c>
      <c r="G794">
        <v>1</v>
      </c>
      <c r="I794" s="11">
        <f t="shared" si="126"/>
        <v>46434</v>
      </c>
      <c r="J794" t="s">
        <v>44</v>
      </c>
      <c r="K794" t="str">
        <f t="shared" si="127"/>
        <v>/* FEBRERO        */ { nombre: "Adviento, Semana I, MARTES", archivo: "/ev/ta/1/martes.mp3", fecha: `${year}-02-16` },</v>
      </c>
      <c r="L794" s="10">
        <f t="shared" si="128"/>
        <v>46434</v>
      </c>
    </row>
    <row r="795" spans="1:12" hidden="1" x14ac:dyDescent="0.25">
      <c r="A795" t="str" cm="1">
        <f t="array" ref="A795">_xlfn.IFS(E795="Adviento","ta", E795="Navidad","tn", E795="Epifania","te", E795="Ordinario","to", E795="Cuaresma","tc", E795="Domingo De Ramos","tc", E795="Semana Santa","ss", E795="Triduo Pascual","tp", E795="Vigilia Pascual","tp", E795="Pascual","tp")</f>
        <v>ta</v>
      </c>
      <c r="B795" s="14" t="str">
        <f t="shared" si="129"/>
        <v>/* FEBRERO        */</v>
      </c>
      <c r="C795" s="15">
        <f t="shared" si="124"/>
        <v>46435</v>
      </c>
      <c r="D795" s="9">
        <f t="shared" si="125"/>
        <v>46435</v>
      </c>
      <c r="E795" t="s">
        <v>46</v>
      </c>
      <c r="F795" t="s">
        <v>43</v>
      </c>
      <c r="G795">
        <v>1</v>
      </c>
      <c r="I795" s="11">
        <f t="shared" si="126"/>
        <v>46435</v>
      </c>
      <c r="J795" t="s">
        <v>44</v>
      </c>
      <c r="K795" t="str">
        <f t="shared" si="127"/>
        <v>/* FEBRERO        */ { nombre: "Adviento, Semana I, MIÉRCOLES", archivo: "/ev/ta/1/miércoles.mp3", fecha: `${year}-02-17` },</v>
      </c>
      <c r="L795" s="10">
        <f t="shared" si="128"/>
        <v>46435</v>
      </c>
    </row>
    <row r="796" spans="1:12" hidden="1" x14ac:dyDescent="0.25">
      <c r="A796" t="str" cm="1">
        <f t="array" ref="A796">_xlfn.IFS(E796="Adviento","ta", E796="Navidad","tn", E796="Epifania","te", E796="Ordinario","to", E796="Cuaresma","tc", E796="Domingo De Ramos","tc", E796="Semana Santa","ss", E796="Triduo Pascual","tp", E796="Vigilia Pascual","tp", E796="Pascual","tp")</f>
        <v>ta</v>
      </c>
      <c r="B796" s="14" t="str">
        <f t="shared" si="129"/>
        <v>/* FEBRERO        */</v>
      </c>
      <c r="C796" s="15">
        <f t="shared" si="124"/>
        <v>46436</v>
      </c>
      <c r="D796" s="9">
        <f t="shared" si="125"/>
        <v>46436</v>
      </c>
      <c r="E796" t="s">
        <v>46</v>
      </c>
      <c r="F796" t="s">
        <v>43</v>
      </c>
      <c r="G796">
        <v>1</v>
      </c>
      <c r="I796" s="11">
        <f t="shared" si="126"/>
        <v>46436</v>
      </c>
      <c r="J796" t="s">
        <v>44</v>
      </c>
      <c r="K796" t="str">
        <f t="shared" si="127"/>
        <v>/* FEBRERO        */ { nombre: "Adviento, Semana I, JUEVES", archivo: "/ev/ta/1/jueves.mp3", fecha: `${year}-02-18` },</v>
      </c>
      <c r="L796" s="10">
        <f t="shared" si="128"/>
        <v>46436</v>
      </c>
    </row>
    <row r="797" spans="1:12" hidden="1" x14ac:dyDescent="0.25">
      <c r="A797" t="str" cm="1">
        <f t="array" ref="A797">_xlfn.IFS(E797="Adviento","ta", E797="Navidad","tn", E797="Epifania","te", E797="Ordinario","to", E797="Cuaresma","tc", E797="Domingo De Ramos","tc", E797="Semana Santa","ss", E797="Triduo Pascual","tp", E797="Vigilia Pascual","tp", E797="Pascual","tp")</f>
        <v>ta</v>
      </c>
      <c r="B797" s="14" t="str">
        <f t="shared" si="129"/>
        <v>/* FEBRERO        */</v>
      </c>
      <c r="C797" s="15">
        <f t="shared" si="124"/>
        <v>46437</v>
      </c>
      <c r="D797" s="9">
        <f t="shared" si="125"/>
        <v>46437</v>
      </c>
      <c r="E797" t="s">
        <v>46</v>
      </c>
      <c r="F797" t="s">
        <v>43</v>
      </c>
      <c r="G797">
        <v>1</v>
      </c>
      <c r="I797" s="11">
        <f t="shared" si="126"/>
        <v>46437</v>
      </c>
      <c r="J797" t="s">
        <v>44</v>
      </c>
      <c r="K797" t="str">
        <f t="shared" si="127"/>
        <v>/* FEBRERO        */ { nombre: "Adviento, Semana I, VIERNES", archivo: "/ev/ta/1/viernes.mp3", fecha: `${year}-02-19` },</v>
      </c>
      <c r="L797" s="10">
        <f t="shared" si="128"/>
        <v>46437</v>
      </c>
    </row>
    <row r="798" spans="1:12" hidden="1" x14ac:dyDescent="0.25">
      <c r="A798" t="str" cm="1">
        <f t="array" ref="A798">_xlfn.IFS(E798="Adviento","ta", E798="Navidad","tn", E798="Epifania","te", E798="Ordinario","to", E798="Cuaresma","tc", E798="Domingo De Ramos","tc", E798="Semana Santa","ss", E798="Triduo Pascual","tp", E798="Vigilia Pascual","tp", E798="Pascual","tp")</f>
        <v>ta</v>
      </c>
      <c r="B798" s="14" t="str">
        <f t="shared" si="129"/>
        <v>/* FEBRERO        */</v>
      </c>
      <c r="C798" s="15">
        <f t="shared" si="124"/>
        <v>46438</v>
      </c>
      <c r="D798" s="9">
        <f t="shared" si="125"/>
        <v>46438</v>
      </c>
      <c r="E798" t="s">
        <v>46</v>
      </c>
      <c r="F798" t="s">
        <v>43</v>
      </c>
      <c r="G798">
        <v>1</v>
      </c>
      <c r="I798" s="11">
        <f t="shared" si="126"/>
        <v>46438</v>
      </c>
      <c r="J798" t="s">
        <v>44</v>
      </c>
      <c r="K798" t="str">
        <f t="shared" si="127"/>
        <v>/* FEBRERO        */ { nombre: "Adviento, Semana I, SÁBADO", archivo: "/ev/ta/1/sábado.mp3", fecha: `${year}-02-20` },</v>
      </c>
      <c r="L798" s="10">
        <f t="shared" si="128"/>
        <v>46438</v>
      </c>
    </row>
    <row r="799" spans="1:12" hidden="1" x14ac:dyDescent="0.25">
      <c r="A799" t="str" cm="1">
        <f t="array" ref="A799">_xlfn.IFS(E799="Adviento","ta", E799="Navidad","tn", E799="Epifania","te", E799="Ordinario","to", E799="Cuaresma","tc", E799="Domingo De Ramos","tc", E799="Semana Santa","ss", E799="Triduo Pascual","tp", E799="Vigilia Pascual","tp", E799="Pascual","tp")</f>
        <v>ta</v>
      </c>
      <c r="B799" s="14" t="str">
        <f t="shared" si="129"/>
        <v>/* FEBRERO        */</v>
      </c>
      <c r="C799" s="15">
        <f t="shared" si="124"/>
        <v>46439</v>
      </c>
      <c r="D799" s="9">
        <f t="shared" si="125"/>
        <v>46439</v>
      </c>
      <c r="E799" t="s">
        <v>46</v>
      </c>
      <c r="F799" t="s">
        <v>43</v>
      </c>
      <c r="G799">
        <v>1</v>
      </c>
      <c r="I799" s="11">
        <f t="shared" si="126"/>
        <v>46439</v>
      </c>
      <c r="J799" t="s">
        <v>44</v>
      </c>
      <c r="K799" t="str">
        <f t="shared" si="127"/>
        <v>/* FEBRERO        */ { nombre: "Adviento, Semana I, DOMINGO", archivo: "/ev/ta/1/domingo.mp3", fecha: `${year}-02-21` },</v>
      </c>
      <c r="L799" s="10">
        <f t="shared" si="128"/>
        <v>46439</v>
      </c>
    </row>
    <row r="800" spans="1:12" hidden="1" x14ac:dyDescent="0.25">
      <c r="A800" t="str" cm="1">
        <f t="array" ref="A800">_xlfn.IFS(E800="Adviento","ta", E800="Navidad","tn", E800="Epifania","te", E800="Ordinario","to", E800="Cuaresma","tc", E800="Domingo De Ramos","tc", E800="Semana Santa","ss", E800="Triduo Pascual","tp", E800="Vigilia Pascual","tp", E800="Pascual","tp")</f>
        <v>ta</v>
      </c>
      <c r="B800" s="14" t="str">
        <f t="shared" si="129"/>
        <v>/* FEBRERO        */</v>
      </c>
      <c r="C800" s="15">
        <f t="shared" si="124"/>
        <v>46440</v>
      </c>
      <c r="D800" s="9">
        <f t="shared" si="125"/>
        <v>46440</v>
      </c>
      <c r="E800" t="s">
        <v>46</v>
      </c>
      <c r="F800" t="s">
        <v>43</v>
      </c>
      <c r="G800">
        <v>1</v>
      </c>
      <c r="I800" s="11">
        <f t="shared" si="126"/>
        <v>46440</v>
      </c>
      <c r="J800" t="s">
        <v>44</v>
      </c>
      <c r="K800" t="str">
        <f t="shared" si="127"/>
        <v>/* FEBRERO        */ { nombre: "Adviento, Semana I, LUNES", archivo: "/ev/ta/1/lunes.mp3", fecha: `${year}-02-22` },</v>
      </c>
      <c r="L800" s="10">
        <f t="shared" si="128"/>
        <v>46440</v>
      </c>
    </row>
    <row r="801" spans="1:12" hidden="1" x14ac:dyDescent="0.25">
      <c r="A801" t="str" cm="1">
        <f t="array" ref="A801">_xlfn.IFS(E801="Adviento","ta", E801="Navidad","tn", E801="Epifania","te", E801="Ordinario","to", E801="Cuaresma","tc", E801="Domingo De Ramos","tc", E801="Semana Santa","ss", E801="Triduo Pascual","tp", E801="Vigilia Pascual","tp", E801="Pascual","tp")</f>
        <v>ta</v>
      </c>
      <c r="B801" s="14" t="str">
        <f t="shared" si="129"/>
        <v>/* FEBRERO        */</v>
      </c>
      <c r="C801" s="15">
        <f t="shared" si="124"/>
        <v>46441</v>
      </c>
      <c r="D801" s="9">
        <f t="shared" si="125"/>
        <v>46441</v>
      </c>
      <c r="E801" t="s">
        <v>46</v>
      </c>
      <c r="F801" t="s">
        <v>43</v>
      </c>
      <c r="G801">
        <v>1</v>
      </c>
      <c r="I801" s="11">
        <f t="shared" si="126"/>
        <v>46441</v>
      </c>
      <c r="J801" t="s">
        <v>44</v>
      </c>
      <c r="K801" t="str">
        <f t="shared" si="127"/>
        <v>/* FEBRERO        */ { nombre: "Adviento, Semana I, MARTES", archivo: "/ev/ta/1/martes.mp3", fecha: `${year}-02-23` },</v>
      </c>
      <c r="L801" s="10">
        <f t="shared" si="128"/>
        <v>46441</v>
      </c>
    </row>
    <row r="802" spans="1:12" hidden="1" x14ac:dyDescent="0.25">
      <c r="A802" t="str" cm="1">
        <f t="array" ref="A802">_xlfn.IFS(E802="Adviento","ta", E802="Navidad","tn", E802="Epifania","te", E802="Ordinario","to", E802="Cuaresma","tc", E802="Domingo De Ramos","tc", E802="Semana Santa","ss", E802="Triduo Pascual","tp", E802="Vigilia Pascual","tp", E802="Pascual","tp")</f>
        <v>ta</v>
      </c>
      <c r="B802" s="14" t="str">
        <f t="shared" si="129"/>
        <v>/* FEBRERO        */</v>
      </c>
      <c r="C802" s="15">
        <f t="shared" si="124"/>
        <v>46442</v>
      </c>
      <c r="D802" s="9">
        <f t="shared" si="125"/>
        <v>46442</v>
      </c>
      <c r="E802" t="s">
        <v>46</v>
      </c>
      <c r="F802" t="s">
        <v>43</v>
      </c>
      <c r="G802">
        <v>1</v>
      </c>
      <c r="I802" s="11">
        <f t="shared" si="126"/>
        <v>46442</v>
      </c>
      <c r="J802" t="s">
        <v>44</v>
      </c>
      <c r="K802" t="str">
        <f t="shared" si="127"/>
        <v>/* FEBRERO        */ { nombre: "Adviento, Semana I, MIÉRCOLES", archivo: "/ev/ta/1/miércoles.mp3", fecha: `${year}-02-24` },</v>
      </c>
      <c r="L802" s="10">
        <f t="shared" si="128"/>
        <v>46442</v>
      </c>
    </row>
    <row r="803" spans="1:12" hidden="1" x14ac:dyDescent="0.25">
      <c r="A803" t="str" cm="1">
        <f t="array" ref="A803">_xlfn.IFS(E803="Adviento","ta", E803="Navidad","tn", E803="Epifania","te", E803="Ordinario","to", E803="Cuaresma","tc", E803="Domingo De Ramos","tc", E803="Semana Santa","ss", E803="Triduo Pascual","tp", E803="Vigilia Pascual","tp", E803="Pascual","tp")</f>
        <v>ta</v>
      </c>
      <c r="B803" s="14" t="str">
        <f t="shared" si="129"/>
        <v>/* FEBRERO        */</v>
      </c>
      <c r="C803" s="15">
        <f t="shared" si="124"/>
        <v>46443</v>
      </c>
      <c r="D803" s="9">
        <f t="shared" si="125"/>
        <v>46443</v>
      </c>
      <c r="E803" t="s">
        <v>46</v>
      </c>
      <c r="F803" t="s">
        <v>43</v>
      </c>
      <c r="G803">
        <v>1</v>
      </c>
      <c r="I803" s="11">
        <f t="shared" si="126"/>
        <v>46443</v>
      </c>
      <c r="J803" t="s">
        <v>44</v>
      </c>
      <c r="K803" t="str">
        <f t="shared" si="127"/>
        <v>/* FEBRERO        */ { nombre: "Adviento, Semana I, JUEVES", archivo: "/ev/ta/1/jueves.mp3", fecha: `${year}-02-25` },</v>
      </c>
      <c r="L803" s="10">
        <f t="shared" si="128"/>
        <v>46443</v>
      </c>
    </row>
    <row r="804" spans="1:12" hidden="1" x14ac:dyDescent="0.25">
      <c r="A804" t="str" cm="1">
        <f t="array" ref="A804">_xlfn.IFS(E804="Adviento","ta", E804="Navidad","tn", E804="Epifania","te", E804="Ordinario","to", E804="Cuaresma","tc", E804="Domingo De Ramos","tc", E804="Semana Santa","ss", E804="Triduo Pascual","tp", E804="Vigilia Pascual","tp", E804="Pascual","tp")</f>
        <v>ta</v>
      </c>
      <c r="B804" s="14" t="str">
        <f t="shared" si="129"/>
        <v>/* FEBRERO        */</v>
      </c>
      <c r="C804" s="15">
        <f t="shared" si="124"/>
        <v>46444</v>
      </c>
      <c r="D804" s="9">
        <f t="shared" si="125"/>
        <v>46444</v>
      </c>
      <c r="E804" t="s">
        <v>46</v>
      </c>
      <c r="F804" t="s">
        <v>43</v>
      </c>
      <c r="G804">
        <v>1</v>
      </c>
      <c r="I804" s="11">
        <f t="shared" si="126"/>
        <v>46444</v>
      </c>
      <c r="J804" t="s">
        <v>44</v>
      </c>
      <c r="K804" t="str">
        <f t="shared" si="127"/>
        <v>/* FEBRERO        */ { nombre: "Adviento, Semana I, VIERNES", archivo: "/ev/ta/1/viernes.mp3", fecha: `${year}-02-26` },</v>
      </c>
      <c r="L804" s="10">
        <f t="shared" si="128"/>
        <v>46444</v>
      </c>
    </row>
    <row r="805" spans="1:12" hidden="1" x14ac:dyDescent="0.25">
      <c r="A805" t="str" cm="1">
        <f t="array" ref="A805">_xlfn.IFS(E805="Adviento","ta", E805="Navidad","tn", E805="Epifania","te", E805="Ordinario","to", E805="Cuaresma","tc", E805="Domingo De Ramos","tc", E805="Semana Santa","ss", E805="Triduo Pascual","tp", E805="Vigilia Pascual","tp", E805="Pascual","tp")</f>
        <v>ta</v>
      </c>
      <c r="B805" s="14" t="str">
        <f t="shared" si="129"/>
        <v>/* FEBRERO        */</v>
      </c>
      <c r="C805" s="15">
        <f t="shared" si="124"/>
        <v>46445</v>
      </c>
      <c r="D805" s="9">
        <f t="shared" si="125"/>
        <v>46445</v>
      </c>
      <c r="E805" t="s">
        <v>46</v>
      </c>
      <c r="F805" t="s">
        <v>43</v>
      </c>
      <c r="G805">
        <v>1</v>
      </c>
      <c r="I805" s="11">
        <f t="shared" si="126"/>
        <v>46445</v>
      </c>
      <c r="J805" t="s">
        <v>44</v>
      </c>
      <c r="K805" t="str">
        <f t="shared" si="127"/>
        <v>/* FEBRERO        */ { nombre: "Adviento, Semana I, SÁBADO", archivo: "/ev/ta/1/sábado.mp3", fecha: `${year}-02-27` },</v>
      </c>
      <c r="L805" s="10">
        <f t="shared" si="128"/>
        <v>46445</v>
      </c>
    </row>
    <row r="806" spans="1:12" hidden="1" x14ac:dyDescent="0.25">
      <c r="A806" t="str" cm="1">
        <f t="array" ref="A806">_xlfn.IFS(E806="Adviento","ta", E806="Navidad","tn", E806="Epifania","te", E806="Ordinario","to", E806="Cuaresma","tc", E806="Domingo De Ramos","tc", E806="Semana Santa","ss", E806="Triduo Pascual","tp", E806="Vigilia Pascual","tp", E806="Pascual","tp")</f>
        <v>ta</v>
      </c>
      <c r="B806" s="14" t="str">
        <f t="shared" si="129"/>
        <v>/* FEBRERO        */</v>
      </c>
      <c r="C806" s="15">
        <f t="shared" si="124"/>
        <v>46446</v>
      </c>
      <c r="D806" s="9">
        <f t="shared" si="125"/>
        <v>46446</v>
      </c>
      <c r="E806" t="s">
        <v>46</v>
      </c>
      <c r="F806" t="s">
        <v>43</v>
      </c>
      <c r="G806">
        <v>1</v>
      </c>
      <c r="I806" s="11">
        <f t="shared" si="126"/>
        <v>46446</v>
      </c>
      <c r="J806" t="s">
        <v>44</v>
      </c>
      <c r="K806" t="str">
        <f t="shared" si="127"/>
        <v>/* FEBRERO        */ { nombre: "Adviento, Semana I, DOMINGO", archivo: "/ev/ta/1/domingo.mp3", fecha: `${year}-02-28` },</v>
      </c>
      <c r="L806" s="10">
        <f t="shared" si="128"/>
        <v>46446</v>
      </c>
    </row>
    <row r="807" spans="1:12" hidden="1" x14ac:dyDescent="0.25">
      <c r="A807" t="str" cm="1">
        <f t="array" ref="A807">_xlfn.IFS(E807="Adviento","ta", E807="Navidad","tn", E807="Epifania","te", E807="Ordinario","to", E807="Cuaresma","tc", E807="Domingo De Ramos","tc", E807="Semana Santa","ss", E807="Triduo Pascual","tp", E807="Vigilia Pascual","tp", E807="Pascual","tp")</f>
        <v>ta</v>
      </c>
      <c r="B807" s="14" t="str">
        <f t="shared" si="129"/>
        <v>/* MARZO        */</v>
      </c>
      <c r="C807" s="15">
        <f t="shared" si="124"/>
        <v>46447</v>
      </c>
      <c r="D807" s="9">
        <f t="shared" si="125"/>
        <v>46447</v>
      </c>
      <c r="E807" t="s">
        <v>46</v>
      </c>
      <c r="F807" t="s">
        <v>43</v>
      </c>
      <c r="G807">
        <v>1</v>
      </c>
      <c r="I807" s="11">
        <f t="shared" si="126"/>
        <v>46447</v>
      </c>
      <c r="J807" t="s">
        <v>44</v>
      </c>
      <c r="K807" t="str">
        <f t="shared" si="127"/>
        <v>/* MARZO        */ { nombre: "Adviento, Semana I, LUNES", archivo: "/ev/ta/1/lunes.mp3", fecha: `${year}-03-01` },</v>
      </c>
      <c r="L807" s="10">
        <f t="shared" si="128"/>
        <v>46447</v>
      </c>
    </row>
    <row r="808" spans="1:12" hidden="1" x14ac:dyDescent="0.25">
      <c r="A808" t="str" cm="1">
        <f t="array" ref="A808">_xlfn.IFS(E808="Adviento","ta", E808="Navidad","tn", E808="Epifania","te", E808="Ordinario","to", E808="Cuaresma","tc", E808="Domingo De Ramos","tc", E808="Semana Santa","ss", E808="Triduo Pascual","tp", E808="Vigilia Pascual","tp", E808="Pascual","tp")</f>
        <v>ta</v>
      </c>
      <c r="B808" s="14" t="str">
        <f t="shared" si="129"/>
        <v>/* MARZO        */</v>
      </c>
      <c r="C808" s="15">
        <f t="shared" si="124"/>
        <v>46448</v>
      </c>
      <c r="D808" s="9">
        <f t="shared" si="125"/>
        <v>46448</v>
      </c>
      <c r="E808" t="s">
        <v>46</v>
      </c>
      <c r="F808" t="s">
        <v>43</v>
      </c>
      <c r="G808">
        <v>1</v>
      </c>
      <c r="I808" s="11">
        <f t="shared" si="126"/>
        <v>46448</v>
      </c>
      <c r="J808" t="s">
        <v>44</v>
      </c>
      <c r="K808" t="str">
        <f t="shared" si="127"/>
        <v>/* MARZO        */ { nombre: "Adviento, Semana I, MARTES", archivo: "/ev/ta/1/martes.mp3", fecha: `${year}-03-02` },</v>
      </c>
      <c r="L808" s="10">
        <f t="shared" si="128"/>
        <v>46448</v>
      </c>
    </row>
    <row r="809" spans="1:12" hidden="1" x14ac:dyDescent="0.25">
      <c r="A809" t="str" cm="1">
        <f t="array" ref="A809">_xlfn.IFS(E809="Adviento","ta", E809="Navidad","tn", E809="Epifania","te", E809="Ordinario","to", E809="Cuaresma","tc", E809="Domingo De Ramos","tc", E809="Semana Santa","ss", E809="Triduo Pascual","tp", E809="Vigilia Pascual","tp", E809="Pascual","tp")</f>
        <v>ta</v>
      </c>
      <c r="B809" s="14" t="str">
        <f t="shared" si="129"/>
        <v>/* MARZO        */</v>
      </c>
      <c r="C809" s="15">
        <f t="shared" si="124"/>
        <v>46449</v>
      </c>
      <c r="D809" s="9">
        <f t="shared" si="125"/>
        <v>46449</v>
      </c>
      <c r="E809" t="s">
        <v>46</v>
      </c>
      <c r="F809" t="s">
        <v>43</v>
      </c>
      <c r="G809">
        <v>1</v>
      </c>
      <c r="I809" s="11">
        <f t="shared" si="126"/>
        <v>46449</v>
      </c>
      <c r="J809" t="s">
        <v>44</v>
      </c>
      <c r="K809" t="str">
        <f t="shared" si="127"/>
        <v>/* MARZO        */ { nombre: "Adviento, Semana I, MIÉRCOLES", archivo: "/ev/ta/1/miércoles.mp3", fecha: `${year}-03-03` },</v>
      </c>
      <c r="L809" s="10">
        <f t="shared" si="128"/>
        <v>46449</v>
      </c>
    </row>
    <row r="810" spans="1:12" hidden="1" x14ac:dyDescent="0.25">
      <c r="A810" t="str" cm="1">
        <f t="array" ref="A810">_xlfn.IFS(E810="Adviento","ta", E810="Navidad","tn", E810="Epifania","te", E810="Ordinario","to", E810="Cuaresma","tc", E810="Domingo De Ramos","tc", E810="Semana Santa","ss", E810="Triduo Pascual","tp", E810="Vigilia Pascual","tp", E810="Pascual","tp")</f>
        <v>ta</v>
      </c>
      <c r="B810" s="14" t="str">
        <f t="shared" si="129"/>
        <v>/* MARZO        */</v>
      </c>
      <c r="C810" s="15">
        <f t="shared" si="124"/>
        <v>46450</v>
      </c>
      <c r="D810" s="9">
        <f t="shared" si="125"/>
        <v>46450</v>
      </c>
      <c r="E810" t="s">
        <v>46</v>
      </c>
      <c r="F810" t="s">
        <v>43</v>
      </c>
      <c r="G810">
        <v>1</v>
      </c>
      <c r="I810" s="11">
        <f t="shared" si="126"/>
        <v>46450</v>
      </c>
      <c r="J810" t="s">
        <v>44</v>
      </c>
      <c r="K810" t="str">
        <f t="shared" si="127"/>
        <v>/* MARZO        */ { nombre: "Adviento, Semana I, JUEVES", archivo: "/ev/ta/1/jueves.mp3", fecha: `${year}-03-04` },</v>
      </c>
      <c r="L810" s="10">
        <f t="shared" si="128"/>
        <v>46450</v>
      </c>
    </row>
    <row r="811" spans="1:12" hidden="1" x14ac:dyDescent="0.25">
      <c r="A811" t="str" cm="1">
        <f t="array" ref="A811">_xlfn.IFS(E811="Adviento","ta", E811="Navidad","tn", E811="Epifania","te", E811="Ordinario","to", E811="Cuaresma","tc", E811="Domingo De Ramos","tc", E811="Semana Santa","ss", E811="Triduo Pascual","tp", E811="Vigilia Pascual","tp", E811="Pascual","tp")</f>
        <v>ta</v>
      </c>
      <c r="B811" s="14" t="str">
        <f t="shared" si="129"/>
        <v>/* MARZO        */</v>
      </c>
      <c r="C811" s="15">
        <f t="shared" si="124"/>
        <v>46451</v>
      </c>
      <c r="D811" s="9">
        <f t="shared" si="125"/>
        <v>46451</v>
      </c>
      <c r="E811" t="s">
        <v>46</v>
      </c>
      <c r="F811" t="s">
        <v>43</v>
      </c>
      <c r="G811">
        <v>1</v>
      </c>
      <c r="I811" s="11">
        <f t="shared" si="126"/>
        <v>46451</v>
      </c>
      <c r="J811" t="s">
        <v>44</v>
      </c>
      <c r="K811" t="str">
        <f t="shared" si="127"/>
        <v>/* MARZO        */ { nombre: "Adviento, Semana I, VIERNES", archivo: "/ev/ta/1/viernes.mp3", fecha: `${year}-03-05` },</v>
      </c>
      <c r="L811" s="10">
        <f t="shared" si="128"/>
        <v>46451</v>
      </c>
    </row>
    <row r="812" spans="1:12" hidden="1" x14ac:dyDescent="0.25">
      <c r="A812" t="str" cm="1">
        <f t="array" ref="A812">_xlfn.IFS(E812="Adviento","ta", E812="Navidad","tn", E812="Epifania","te", E812="Ordinario","to", E812="Cuaresma","tc", E812="Domingo De Ramos","tc", E812="Semana Santa","ss", E812="Triduo Pascual","tp", E812="Vigilia Pascual","tp", E812="Pascual","tp")</f>
        <v>ta</v>
      </c>
      <c r="B812" s="14" t="str">
        <f t="shared" si="129"/>
        <v>/* MARZO        */</v>
      </c>
      <c r="C812" s="15">
        <f t="shared" si="124"/>
        <v>46452</v>
      </c>
      <c r="D812" s="9">
        <f t="shared" si="125"/>
        <v>46452</v>
      </c>
      <c r="E812" t="s">
        <v>46</v>
      </c>
      <c r="F812" t="s">
        <v>43</v>
      </c>
      <c r="G812">
        <v>1</v>
      </c>
      <c r="I812" s="11">
        <f t="shared" si="126"/>
        <v>46452</v>
      </c>
      <c r="J812" t="s">
        <v>44</v>
      </c>
      <c r="K812" t="str">
        <f t="shared" si="127"/>
        <v>/* MARZO        */ { nombre: "Adviento, Semana I, SÁBADO", archivo: "/ev/ta/1/sábado.mp3", fecha: `${year}-03-06` },</v>
      </c>
      <c r="L812" s="10">
        <f t="shared" si="128"/>
        <v>46452</v>
      </c>
    </row>
    <row r="813" spans="1:12" hidden="1" x14ac:dyDescent="0.25">
      <c r="A813" t="str" cm="1">
        <f t="array" ref="A813">_xlfn.IFS(E813="Adviento","ta", E813="Navidad","tn", E813="Epifania","te", E813="Ordinario","to", E813="Cuaresma","tc", E813="Domingo De Ramos","tc", E813="Semana Santa","ss", E813="Triduo Pascual","tp", E813="Vigilia Pascual","tp", E813="Pascual","tp")</f>
        <v>ta</v>
      </c>
      <c r="B813" s="14" t="str">
        <f t="shared" si="129"/>
        <v>/* MARZO        */</v>
      </c>
      <c r="C813" s="15">
        <f t="shared" si="124"/>
        <v>46453</v>
      </c>
      <c r="D813" s="9">
        <f t="shared" si="125"/>
        <v>46453</v>
      </c>
      <c r="E813" t="s">
        <v>46</v>
      </c>
      <c r="F813" t="s">
        <v>43</v>
      </c>
      <c r="G813">
        <v>1</v>
      </c>
      <c r="I813" s="11">
        <f t="shared" si="126"/>
        <v>46453</v>
      </c>
      <c r="J813" t="s">
        <v>44</v>
      </c>
      <c r="K813" t="str">
        <f t="shared" si="127"/>
        <v>/* MARZO        */ { nombre: "Adviento, Semana I, DOMINGO", archivo: "/ev/ta/1/domingo.mp3", fecha: `${year}-03-07` },</v>
      </c>
      <c r="L813" s="10">
        <f t="shared" si="128"/>
        <v>46453</v>
      </c>
    </row>
    <row r="814" spans="1:12" hidden="1" x14ac:dyDescent="0.25">
      <c r="A814" t="str" cm="1">
        <f t="array" ref="A814">_xlfn.IFS(E814="Adviento","ta", E814="Navidad","tn", E814="Epifania","te", E814="Ordinario","to", E814="Cuaresma","tc", E814="Domingo De Ramos","tc", E814="Semana Santa","ss", E814="Triduo Pascual","tp", E814="Vigilia Pascual","tp", E814="Pascual","tp")</f>
        <v>ta</v>
      </c>
      <c r="B814" s="14" t="str">
        <f t="shared" si="129"/>
        <v>/* MARZO        */</v>
      </c>
      <c r="C814" s="15">
        <f t="shared" si="124"/>
        <v>46454</v>
      </c>
      <c r="D814" s="9">
        <f t="shared" si="125"/>
        <v>46454</v>
      </c>
      <c r="E814" t="s">
        <v>46</v>
      </c>
      <c r="F814" t="s">
        <v>43</v>
      </c>
      <c r="G814">
        <v>1</v>
      </c>
      <c r="I814" s="11">
        <f t="shared" si="126"/>
        <v>46454</v>
      </c>
      <c r="J814" t="s">
        <v>44</v>
      </c>
      <c r="K814" t="str">
        <f t="shared" si="127"/>
        <v>/* MARZO        */ { nombre: "Adviento, Semana I, LUNES", archivo: "/ev/ta/1/lunes.mp3", fecha: `${year}-03-08` },</v>
      </c>
      <c r="L814" s="10">
        <f t="shared" si="128"/>
        <v>46454</v>
      </c>
    </row>
    <row r="815" spans="1:12" hidden="1" x14ac:dyDescent="0.25">
      <c r="A815" t="str" cm="1">
        <f t="array" ref="A815">_xlfn.IFS(E815="Adviento","ta", E815="Navidad","tn", E815="Epifania","te", E815="Ordinario","to", E815="Cuaresma","tc", E815="Domingo De Ramos","tc", E815="Semana Santa","ss", E815="Triduo Pascual","tp", E815="Vigilia Pascual","tp", E815="Pascual","tp")</f>
        <v>ta</v>
      </c>
      <c r="B815" s="14" t="str">
        <f t="shared" si="129"/>
        <v>/* MARZO        */</v>
      </c>
      <c r="C815" s="15">
        <f t="shared" si="124"/>
        <v>46455</v>
      </c>
      <c r="D815" s="9">
        <f t="shared" si="125"/>
        <v>46455</v>
      </c>
      <c r="E815" t="s">
        <v>46</v>
      </c>
      <c r="F815" t="s">
        <v>43</v>
      </c>
      <c r="G815">
        <v>1</v>
      </c>
      <c r="I815" s="11">
        <f t="shared" si="126"/>
        <v>46455</v>
      </c>
      <c r="J815" t="s">
        <v>44</v>
      </c>
      <c r="K815" t="str">
        <f t="shared" si="127"/>
        <v>/* MARZO        */ { nombre: "Adviento, Semana I, MARTES", archivo: "/ev/ta/1/martes.mp3", fecha: `${year}-03-09` },</v>
      </c>
      <c r="L815" s="10">
        <f t="shared" si="128"/>
        <v>46455</v>
      </c>
    </row>
    <row r="816" spans="1:12" hidden="1" x14ac:dyDescent="0.25">
      <c r="A816" t="str" cm="1">
        <f t="array" ref="A816">_xlfn.IFS(E816="Adviento","ta", E816="Navidad","tn", E816="Epifania","te", E816="Ordinario","to", E816="Cuaresma","tc", E816="Domingo De Ramos","tc", E816="Semana Santa","ss", E816="Triduo Pascual","tp", E816="Vigilia Pascual","tp", E816="Pascual","tp")</f>
        <v>ta</v>
      </c>
      <c r="B816" s="14" t="str">
        <f t="shared" si="129"/>
        <v>/* MARZO        */</v>
      </c>
      <c r="C816" s="15">
        <f t="shared" si="124"/>
        <v>46456</v>
      </c>
      <c r="D816" s="9">
        <f t="shared" si="125"/>
        <v>46456</v>
      </c>
      <c r="E816" t="s">
        <v>46</v>
      </c>
      <c r="F816" t="s">
        <v>43</v>
      </c>
      <c r="G816">
        <v>1</v>
      </c>
      <c r="I816" s="11">
        <f t="shared" si="126"/>
        <v>46456</v>
      </c>
      <c r="J816" t="s">
        <v>44</v>
      </c>
      <c r="K816" t="str">
        <f t="shared" si="127"/>
        <v>/* MARZO        */ { nombre: "Adviento, Semana I, MIÉRCOLES", archivo: "/ev/ta/1/miércoles.mp3", fecha: `${year}-03-10` },</v>
      </c>
      <c r="L816" s="10">
        <f t="shared" si="128"/>
        <v>46456</v>
      </c>
    </row>
    <row r="817" spans="1:12" hidden="1" x14ac:dyDescent="0.25">
      <c r="A817" t="str" cm="1">
        <f t="array" ref="A817">_xlfn.IFS(E817="Adviento","ta", E817="Navidad","tn", E817="Epifania","te", E817="Ordinario","to", E817="Cuaresma","tc", E817="Domingo De Ramos","tc", E817="Semana Santa","ss", E817="Triduo Pascual","tp", E817="Vigilia Pascual","tp", E817="Pascual","tp")</f>
        <v>ta</v>
      </c>
      <c r="B817" s="14" t="str">
        <f t="shared" si="129"/>
        <v>/* MARZO        */</v>
      </c>
      <c r="C817" s="15">
        <f t="shared" si="124"/>
        <v>46457</v>
      </c>
      <c r="D817" s="9">
        <f t="shared" si="125"/>
        <v>46457</v>
      </c>
      <c r="E817" t="s">
        <v>46</v>
      </c>
      <c r="F817" t="s">
        <v>43</v>
      </c>
      <c r="G817">
        <v>1</v>
      </c>
      <c r="I817" s="11">
        <f t="shared" si="126"/>
        <v>46457</v>
      </c>
      <c r="J817" t="s">
        <v>44</v>
      </c>
      <c r="K817" t="str">
        <f t="shared" si="127"/>
        <v>/* MARZO        */ { nombre: "Adviento, Semana I, JUEVES", archivo: "/ev/ta/1/jueves.mp3", fecha: `${year}-03-11` },</v>
      </c>
      <c r="L817" s="10">
        <f t="shared" si="128"/>
        <v>46457</v>
      </c>
    </row>
    <row r="818" spans="1:12" hidden="1" x14ac:dyDescent="0.25">
      <c r="A818" t="str" cm="1">
        <f t="array" ref="A818">_xlfn.IFS(E818="Adviento","ta", E818="Navidad","tn", E818="Epifania","te", E818="Ordinario","to", E818="Cuaresma","tc", E818="Domingo De Ramos","tc", E818="Semana Santa","ss", E818="Triduo Pascual","tp", E818="Vigilia Pascual","tp", E818="Pascual","tp")</f>
        <v>ta</v>
      </c>
      <c r="B818" s="14" t="str">
        <f t="shared" si="129"/>
        <v>/* MARZO        */</v>
      </c>
      <c r="C818" s="15">
        <f t="shared" si="124"/>
        <v>46458</v>
      </c>
      <c r="D818" s="9">
        <f t="shared" si="125"/>
        <v>46458</v>
      </c>
      <c r="E818" t="s">
        <v>46</v>
      </c>
      <c r="F818" t="s">
        <v>43</v>
      </c>
      <c r="G818">
        <v>1</v>
      </c>
      <c r="I818" s="11">
        <f t="shared" si="126"/>
        <v>46458</v>
      </c>
      <c r="J818" t="s">
        <v>44</v>
      </c>
      <c r="K818" t="str">
        <f t="shared" si="127"/>
        <v>/* MARZO        */ { nombre: "Adviento, Semana I, VIERNES", archivo: "/ev/ta/1/viernes.mp3", fecha: `${year}-03-12` },</v>
      </c>
      <c r="L818" s="10">
        <f t="shared" si="128"/>
        <v>46458</v>
      </c>
    </row>
    <row r="819" spans="1:12" hidden="1" x14ac:dyDescent="0.25">
      <c r="A819" t="str" cm="1">
        <f t="array" ref="A819">_xlfn.IFS(E819="Adviento","ta", E819="Navidad","tn", E819="Epifania","te", E819="Ordinario","to", E819="Cuaresma","tc", E819="Domingo De Ramos","tc", E819="Semana Santa","ss", E819="Triduo Pascual","tp", E819="Vigilia Pascual","tp", E819="Pascual","tp")</f>
        <v>ta</v>
      </c>
      <c r="B819" s="14" t="str">
        <f t="shared" si="129"/>
        <v>/* MARZO        */</v>
      </c>
      <c r="C819" s="15">
        <f t="shared" si="124"/>
        <v>46459</v>
      </c>
      <c r="D819" s="9">
        <f t="shared" si="125"/>
        <v>46459</v>
      </c>
      <c r="E819" t="s">
        <v>46</v>
      </c>
      <c r="F819" t="s">
        <v>43</v>
      </c>
      <c r="G819">
        <v>1</v>
      </c>
      <c r="I819" s="11">
        <f t="shared" si="126"/>
        <v>46459</v>
      </c>
      <c r="J819" t="s">
        <v>44</v>
      </c>
      <c r="K819" t="str">
        <f t="shared" si="127"/>
        <v>/* MARZO        */ { nombre: "Adviento, Semana I, SÁBADO", archivo: "/ev/ta/1/sábado.mp3", fecha: `${year}-03-13` },</v>
      </c>
      <c r="L819" s="10">
        <f t="shared" si="128"/>
        <v>46459</v>
      </c>
    </row>
    <row r="820" spans="1:12" hidden="1" x14ac:dyDescent="0.25">
      <c r="A820" t="str" cm="1">
        <f t="array" ref="A820">_xlfn.IFS(E820="Adviento","ta", E820="Navidad","tn", E820="Epifania","te", E820="Ordinario","to", E820="Cuaresma","tc", E820="Domingo De Ramos","tc", E820="Semana Santa","ss", E820="Triduo Pascual","tp", E820="Vigilia Pascual","tp", E820="Pascual","tp")</f>
        <v>ta</v>
      </c>
      <c r="B820" s="14" t="str">
        <f t="shared" si="129"/>
        <v>/* MARZO        */</v>
      </c>
      <c r="C820" s="15">
        <f t="shared" si="124"/>
        <v>46460</v>
      </c>
      <c r="D820" s="9">
        <f t="shared" si="125"/>
        <v>46460</v>
      </c>
      <c r="E820" t="s">
        <v>46</v>
      </c>
      <c r="F820" t="s">
        <v>43</v>
      </c>
      <c r="G820">
        <v>1</v>
      </c>
      <c r="I820" s="11">
        <f t="shared" si="126"/>
        <v>46460</v>
      </c>
      <c r="J820" t="s">
        <v>44</v>
      </c>
      <c r="K820" t="str">
        <f t="shared" si="127"/>
        <v>/* MARZO        */ { nombre: "Adviento, Semana I, DOMINGO", archivo: "/ev/ta/1/domingo.mp3", fecha: `${year}-03-14` },</v>
      </c>
      <c r="L820" s="10">
        <f t="shared" si="128"/>
        <v>46460</v>
      </c>
    </row>
    <row r="821" spans="1:12" hidden="1" x14ac:dyDescent="0.25">
      <c r="A821" t="str" cm="1">
        <f t="array" ref="A821">_xlfn.IFS(E821="Adviento","ta", E821="Navidad","tn", E821="Epifania","te", E821="Ordinario","to", E821="Cuaresma","tc", E821="Domingo De Ramos","tc", E821="Semana Santa","ss", E821="Triduo Pascual","tp", E821="Vigilia Pascual","tp", E821="Pascual","tp")</f>
        <v>ta</v>
      </c>
      <c r="B821" s="14" t="str">
        <f t="shared" si="129"/>
        <v>/* MARZO        */</v>
      </c>
      <c r="C821" s="15">
        <f t="shared" ref="C821:C884" si="130">+C820+1</f>
        <v>46461</v>
      </c>
      <c r="D821" s="9">
        <f t="shared" ref="D821:D884" si="131">+D820+1</f>
        <v>46461</v>
      </c>
      <c r="E821" t="s">
        <v>46</v>
      </c>
      <c r="F821" t="s">
        <v>43</v>
      </c>
      <c r="G821">
        <v>1</v>
      </c>
      <c r="I821" s="11">
        <f t="shared" ref="I821:I884" si="132">D821</f>
        <v>46461</v>
      </c>
      <c r="J821" t="s">
        <v>44</v>
      </c>
      <c r="K821" t="str">
        <f t="shared" ref="K821:K884" si="133">_xlfn.CONCAT(B821, " ", "{ nombre: ", CHAR(34), E821, ", ", F821, " ", ROMAN(G821),H821, ", ", UPPER(TEXT(D821, "[$-es-ES]dddd")), CHAR(34), ", archivo: ", CHAR(34), "/ev/", _xlfn.IFS(E821="Adviento","ta", E821="Navidad","tn", E821="Epifania","te", E821="Ordinario","to", E821="Cuaresma","tc", E821="Domingo De Ramos","tc", E821="Semana Santa","ss", E821="Triduo Pascual","tp", E821="Vigilia Pascual","tp", E821="Pascual","tp"), "/", G821, "/", TEXT(D821, "[$-es-ES]dddd"), ".mp3", CHAR(34), ", fecha: `${year}-", TEXT(D821, "mm-dd"), "` },")</f>
        <v>/* MARZO        */ { nombre: "Adviento, Semana I, LUNES", archivo: "/ev/ta/1/lunes.mp3", fecha: `${year}-03-15` },</v>
      </c>
      <c r="L821" s="10">
        <f t="shared" ref="L821:L884" si="134">D821</f>
        <v>46461</v>
      </c>
    </row>
    <row r="822" spans="1:12" hidden="1" x14ac:dyDescent="0.25">
      <c r="A822" t="str" cm="1">
        <f t="array" ref="A822">_xlfn.IFS(E822="Adviento","ta", E822="Navidad","tn", E822="Epifania","te", E822="Ordinario","to", E822="Cuaresma","tc", E822="Domingo De Ramos","tc", E822="Semana Santa","ss", E822="Triduo Pascual","tp", E822="Vigilia Pascual","tp", E822="Pascual","tp")</f>
        <v>ta</v>
      </c>
      <c r="B822" s="14" t="str">
        <f t="shared" si="129"/>
        <v>/* MARZO        */</v>
      </c>
      <c r="C822" s="15">
        <f t="shared" si="130"/>
        <v>46462</v>
      </c>
      <c r="D822" s="9">
        <f t="shared" si="131"/>
        <v>46462</v>
      </c>
      <c r="E822" t="s">
        <v>46</v>
      </c>
      <c r="F822" t="s">
        <v>43</v>
      </c>
      <c r="G822">
        <v>1</v>
      </c>
      <c r="I822" s="11">
        <f t="shared" si="132"/>
        <v>46462</v>
      </c>
      <c r="J822" t="s">
        <v>44</v>
      </c>
      <c r="K822" t="str">
        <f t="shared" si="133"/>
        <v>/* MARZO        */ { nombre: "Adviento, Semana I, MARTES", archivo: "/ev/ta/1/martes.mp3", fecha: `${year}-03-16` },</v>
      </c>
      <c r="L822" s="10">
        <f t="shared" si="134"/>
        <v>46462</v>
      </c>
    </row>
    <row r="823" spans="1:12" hidden="1" x14ac:dyDescent="0.25">
      <c r="A823" t="str" cm="1">
        <f t="array" ref="A823">_xlfn.IFS(E823="Adviento","ta", E823="Navidad","tn", E823="Epifania","te", E823="Ordinario","to", E823="Cuaresma","tc", E823="Domingo De Ramos","tc", E823="Semana Santa","ss", E823="Triduo Pascual","tp", E823="Vigilia Pascual","tp", E823="Pascual","tp")</f>
        <v>ta</v>
      </c>
      <c r="B823" s="14" t="str">
        <f t="shared" si="129"/>
        <v>/* MARZO        */</v>
      </c>
      <c r="C823" s="15">
        <f t="shared" si="130"/>
        <v>46463</v>
      </c>
      <c r="D823" s="9">
        <f t="shared" si="131"/>
        <v>46463</v>
      </c>
      <c r="E823" t="s">
        <v>46</v>
      </c>
      <c r="F823" t="s">
        <v>43</v>
      </c>
      <c r="G823">
        <v>1</v>
      </c>
      <c r="I823" s="11">
        <f t="shared" si="132"/>
        <v>46463</v>
      </c>
      <c r="J823" t="s">
        <v>44</v>
      </c>
      <c r="K823" t="str">
        <f t="shared" si="133"/>
        <v>/* MARZO        */ { nombre: "Adviento, Semana I, MIÉRCOLES", archivo: "/ev/ta/1/miércoles.mp3", fecha: `${year}-03-17` },</v>
      </c>
      <c r="L823" s="10">
        <f t="shared" si="134"/>
        <v>46463</v>
      </c>
    </row>
    <row r="824" spans="1:12" hidden="1" x14ac:dyDescent="0.25">
      <c r="A824" t="str" cm="1">
        <f t="array" ref="A824">_xlfn.IFS(E824="Adviento","ta", E824="Navidad","tn", E824="Epifania","te", E824="Ordinario","to", E824="Cuaresma","tc", E824="Domingo De Ramos","tc", E824="Semana Santa","ss", E824="Triduo Pascual","tp", E824="Vigilia Pascual","tp", E824="Pascual","tp")</f>
        <v>ta</v>
      </c>
      <c r="B824" s="14" t="str">
        <f t="shared" si="129"/>
        <v>/* MARZO        */</v>
      </c>
      <c r="C824" s="15">
        <f t="shared" si="130"/>
        <v>46464</v>
      </c>
      <c r="D824" s="9">
        <f t="shared" si="131"/>
        <v>46464</v>
      </c>
      <c r="E824" t="s">
        <v>46</v>
      </c>
      <c r="F824" t="s">
        <v>43</v>
      </c>
      <c r="G824">
        <v>1</v>
      </c>
      <c r="I824" s="11">
        <f t="shared" si="132"/>
        <v>46464</v>
      </c>
      <c r="J824" t="s">
        <v>44</v>
      </c>
      <c r="K824" t="str">
        <f t="shared" si="133"/>
        <v>/* MARZO        */ { nombre: "Adviento, Semana I, JUEVES", archivo: "/ev/ta/1/jueves.mp3", fecha: `${year}-03-18` },</v>
      </c>
      <c r="L824" s="10">
        <f t="shared" si="134"/>
        <v>46464</v>
      </c>
    </row>
    <row r="825" spans="1:12" hidden="1" x14ac:dyDescent="0.25">
      <c r="A825" t="str" cm="1">
        <f t="array" ref="A825">_xlfn.IFS(E825="Adviento","ta", E825="Navidad","tn", E825="Epifania","te", E825="Ordinario","to", E825="Cuaresma","tc", E825="Domingo De Ramos","tc", E825="Semana Santa","ss", E825="Triduo Pascual","tp", E825="Vigilia Pascual","tp", E825="Pascual","tp")</f>
        <v>ta</v>
      </c>
      <c r="B825" s="14" t="str">
        <f t="shared" si="129"/>
        <v>/* MARZO        */</v>
      </c>
      <c r="C825" s="15">
        <f t="shared" si="130"/>
        <v>46465</v>
      </c>
      <c r="D825" s="9">
        <f t="shared" si="131"/>
        <v>46465</v>
      </c>
      <c r="E825" t="s">
        <v>46</v>
      </c>
      <c r="F825" t="s">
        <v>43</v>
      </c>
      <c r="G825">
        <v>1</v>
      </c>
      <c r="I825" s="11">
        <f t="shared" si="132"/>
        <v>46465</v>
      </c>
      <c r="J825" t="s">
        <v>44</v>
      </c>
      <c r="K825" t="str">
        <f t="shared" si="133"/>
        <v>/* MARZO        */ { nombre: "Adviento, Semana I, VIERNES", archivo: "/ev/ta/1/viernes.mp3", fecha: `${year}-03-19` },</v>
      </c>
      <c r="L825" s="10">
        <f t="shared" si="134"/>
        <v>46465</v>
      </c>
    </row>
    <row r="826" spans="1:12" hidden="1" x14ac:dyDescent="0.25">
      <c r="A826" t="str" cm="1">
        <f t="array" ref="A826">_xlfn.IFS(E826="Adviento","ta", E826="Navidad","tn", E826="Epifania","te", E826="Ordinario","to", E826="Cuaresma","tc", E826="Domingo De Ramos","tc", E826="Semana Santa","ss", E826="Triduo Pascual","tp", E826="Vigilia Pascual","tp", E826="Pascual","tp")</f>
        <v>ta</v>
      </c>
      <c r="B826" s="14" t="str">
        <f t="shared" si="129"/>
        <v>/* MARZO        */</v>
      </c>
      <c r="C826" s="15">
        <f t="shared" si="130"/>
        <v>46466</v>
      </c>
      <c r="D826" s="9">
        <f t="shared" si="131"/>
        <v>46466</v>
      </c>
      <c r="E826" t="s">
        <v>46</v>
      </c>
      <c r="F826" t="s">
        <v>43</v>
      </c>
      <c r="G826">
        <v>1</v>
      </c>
      <c r="I826" s="11">
        <f t="shared" si="132"/>
        <v>46466</v>
      </c>
      <c r="J826" t="s">
        <v>44</v>
      </c>
      <c r="K826" t="str">
        <f t="shared" si="133"/>
        <v>/* MARZO        */ { nombre: "Adviento, Semana I, SÁBADO", archivo: "/ev/ta/1/sábado.mp3", fecha: `${year}-03-20` },</v>
      </c>
      <c r="L826" s="10">
        <f t="shared" si="134"/>
        <v>46466</v>
      </c>
    </row>
    <row r="827" spans="1:12" hidden="1" x14ac:dyDescent="0.25">
      <c r="A827" t="str" cm="1">
        <f t="array" ref="A827">_xlfn.IFS(E827="Adviento","ta", E827="Navidad","tn", E827="Epifania","te", E827="Ordinario","to", E827="Cuaresma","tc", E827="Domingo De Ramos","tc", E827="Semana Santa","ss", E827="Triduo Pascual","tp", E827="Vigilia Pascual","tp", E827="Pascual","tp")</f>
        <v>ta</v>
      </c>
      <c r="B827" s="14" t="str">
        <f t="shared" si="129"/>
        <v>/* MARZO        */</v>
      </c>
      <c r="C827" s="15">
        <f t="shared" si="130"/>
        <v>46467</v>
      </c>
      <c r="D827" s="9">
        <f t="shared" si="131"/>
        <v>46467</v>
      </c>
      <c r="E827" t="s">
        <v>46</v>
      </c>
      <c r="F827" t="s">
        <v>43</v>
      </c>
      <c r="G827">
        <v>1</v>
      </c>
      <c r="I827" s="11">
        <f t="shared" si="132"/>
        <v>46467</v>
      </c>
      <c r="J827" t="s">
        <v>44</v>
      </c>
      <c r="K827" t="str">
        <f t="shared" si="133"/>
        <v>/* MARZO        */ { nombre: "Adviento, Semana I, DOMINGO", archivo: "/ev/ta/1/domingo.mp3", fecha: `${year}-03-21` },</v>
      </c>
      <c r="L827" s="10">
        <f t="shared" si="134"/>
        <v>46467</v>
      </c>
    </row>
    <row r="828" spans="1:12" hidden="1" x14ac:dyDescent="0.25">
      <c r="A828" t="str" cm="1">
        <f t="array" ref="A828">_xlfn.IFS(E828="Adviento","ta", E828="Navidad","tn", E828="Epifania","te", E828="Ordinario","to", E828="Cuaresma","tc", E828="Domingo De Ramos","tc", E828="Semana Santa","ss", E828="Triduo Pascual","tp", E828="Vigilia Pascual","tp", E828="Pascual","tp")</f>
        <v>ta</v>
      </c>
      <c r="B828" s="14" t="str">
        <f t="shared" si="129"/>
        <v>/* MARZO        */</v>
      </c>
      <c r="C828" s="15">
        <f t="shared" si="130"/>
        <v>46468</v>
      </c>
      <c r="D828" s="9">
        <f t="shared" si="131"/>
        <v>46468</v>
      </c>
      <c r="E828" t="s">
        <v>46</v>
      </c>
      <c r="F828" t="s">
        <v>43</v>
      </c>
      <c r="G828">
        <v>1</v>
      </c>
      <c r="I828" s="11">
        <f t="shared" si="132"/>
        <v>46468</v>
      </c>
      <c r="J828" t="s">
        <v>44</v>
      </c>
      <c r="K828" t="str">
        <f t="shared" si="133"/>
        <v>/* MARZO        */ { nombre: "Adviento, Semana I, LUNES", archivo: "/ev/ta/1/lunes.mp3", fecha: `${year}-03-22` },</v>
      </c>
      <c r="L828" s="10">
        <f t="shared" si="134"/>
        <v>46468</v>
      </c>
    </row>
    <row r="829" spans="1:12" hidden="1" x14ac:dyDescent="0.25">
      <c r="A829" t="str" cm="1">
        <f t="array" ref="A829">_xlfn.IFS(E829="Adviento","ta", E829="Navidad","tn", E829="Epifania","te", E829="Ordinario","to", E829="Cuaresma","tc", E829="Domingo De Ramos","tc", E829="Semana Santa","ss", E829="Triduo Pascual","tp", E829="Vigilia Pascual","tp", E829="Pascual","tp")</f>
        <v>ta</v>
      </c>
      <c r="B829" s="14" t="str">
        <f t="shared" si="129"/>
        <v>/* MARZO        */</v>
      </c>
      <c r="C829" s="15">
        <f t="shared" si="130"/>
        <v>46469</v>
      </c>
      <c r="D829" s="9">
        <f t="shared" si="131"/>
        <v>46469</v>
      </c>
      <c r="E829" t="s">
        <v>46</v>
      </c>
      <c r="F829" t="s">
        <v>43</v>
      </c>
      <c r="G829">
        <v>1</v>
      </c>
      <c r="I829" s="11">
        <f t="shared" si="132"/>
        <v>46469</v>
      </c>
      <c r="J829" t="s">
        <v>44</v>
      </c>
      <c r="K829" t="str">
        <f t="shared" si="133"/>
        <v>/* MARZO        */ { nombre: "Adviento, Semana I, MARTES", archivo: "/ev/ta/1/martes.mp3", fecha: `${year}-03-23` },</v>
      </c>
      <c r="L829" s="10">
        <f t="shared" si="134"/>
        <v>46469</v>
      </c>
    </row>
    <row r="830" spans="1:12" hidden="1" x14ac:dyDescent="0.25">
      <c r="A830" t="str" cm="1">
        <f t="array" ref="A830">_xlfn.IFS(E830="Adviento","ta", E830="Navidad","tn", E830="Epifania","te", E830="Ordinario","to", E830="Cuaresma","tc", E830="Domingo De Ramos","tc", E830="Semana Santa","ss", E830="Triduo Pascual","tp", E830="Vigilia Pascual","tp", E830="Pascual","tp")</f>
        <v>ta</v>
      </c>
      <c r="B830" s="14" t="str">
        <f t="shared" si="129"/>
        <v>/* MARZO        */</v>
      </c>
      <c r="C830" s="15">
        <f t="shared" si="130"/>
        <v>46470</v>
      </c>
      <c r="D830" s="9">
        <f t="shared" si="131"/>
        <v>46470</v>
      </c>
      <c r="E830" t="s">
        <v>46</v>
      </c>
      <c r="F830" t="s">
        <v>43</v>
      </c>
      <c r="G830">
        <v>1</v>
      </c>
      <c r="I830" s="11">
        <f t="shared" si="132"/>
        <v>46470</v>
      </c>
      <c r="J830" t="s">
        <v>44</v>
      </c>
      <c r="K830" t="str">
        <f t="shared" si="133"/>
        <v>/* MARZO        */ { nombre: "Adviento, Semana I, MIÉRCOLES", archivo: "/ev/ta/1/miércoles.mp3", fecha: `${year}-03-24` },</v>
      </c>
      <c r="L830" s="10">
        <f t="shared" si="134"/>
        <v>46470</v>
      </c>
    </row>
    <row r="831" spans="1:12" hidden="1" x14ac:dyDescent="0.25">
      <c r="A831" t="str" cm="1">
        <f t="array" ref="A831">_xlfn.IFS(E831="Adviento","ta", E831="Navidad","tn", E831="Epifania","te", E831="Ordinario","to", E831="Cuaresma","tc", E831="Domingo De Ramos","tc", E831="Semana Santa","ss", E831="Triduo Pascual","tp", E831="Vigilia Pascual","tp", E831="Pascual","tp")</f>
        <v>ta</v>
      </c>
      <c r="B831" s="14" t="str">
        <f t="shared" si="129"/>
        <v>/* MARZO        */</v>
      </c>
      <c r="C831" s="15">
        <f t="shared" si="130"/>
        <v>46471</v>
      </c>
      <c r="D831" s="9">
        <f t="shared" si="131"/>
        <v>46471</v>
      </c>
      <c r="E831" t="s">
        <v>46</v>
      </c>
      <c r="F831" t="s">
        <v>43</v>
      </c>
      <c r="G831">
        <v>1</v>
      </c>
      <c r="I831" s="11">
        <f t="shared" si="132"/>
        <v>46471</v>
      </c>
      <c r="J831" t="s">
        <v>44</v>
      </c>
      <c r="K831" t="str">
        <f t="shared" si="133"/>
        <v>/* MARZO        */ { nombre: "Adviento, Semana I, JUEVES", archivo: "/ev/ta/1/jueves.mp3", fecha: `${year}-03-25` },</v>
      </c>
      <c r="L831" s="10">
        <f t="shared" si="134"/>
        <v>46471</v>
      </c>
    </row>
    <row r="832" spans="1:12" hidden="1" x14ac:dyDescent="0.25">
      <c r="A832" t="str" cm="1">
        <f t="array" ref="A832">_xlfn.IFS(E832="Adviento","ta", E832="Navidad","tn", E832="Epifania","te", E832="Ordinario","to", E832="Cuaresma","tc", E832="Domingo De Ramos","tc", E832="Semana Santa","ss", E832="Triduo Pascual","tp", E832="Vigilia Pascual","tp", E832="Pascual","tp")</f>
        <v>ta</v>
      </c>
      <c r="B832" s="14" t="str">
        <f t="shared" si="129"/>
        <v>/* MARZO        */</v>
      </c>
      <c r="C832" s="15">
        <f t="shared" si="130"/>
        <v>46472</v>
      </c>
      <c r="D832" s="9">
        <f t="shared" si="131"/>
        <v>46472</v>
      </c>
      <c r="E832" t="s">
        <v>46</v>
      </c>
      <c r="F832" t="s">
        <v>43</v>
      </c>
      <c r="G832">
        <v>1</v>
      </c>
      <c r="I832" s="11">
        <f t="shared" si="132"/>
        <v>46472</v>
      </c>
      <c r="J832" t="s">
        <v>44</v>
      </c>
      <c r="K832" t="str">
        <f t="shared" si="133"/>
        <v>/* MARZO        */ { nombre: "Adviento, Semana I, VIERNES", archivo: "/ev/ta/1/viernes.mp3", fecha: `${year}-03-26` },</v>
      </c>
      <c r="L832" s="10">
        <f t="shared" si="134"/>
        <v>46472</v>
      </c>
    </row>
    <row r="833" spans="1:12" hidden="1" x14ac:dyDescent="0.25">
      <c r="A833" t="str" cm="1">
        <f t="array" ref="A833">_xlfn.IFS(E833="Adviento","ta", E833="Navidad","tn", E833="Epifania","te", E833="Ordinario","to", E833="Cuaresma","tc", E833="Domingo De Ramos","tc", E833="Semana Santa","ss", E833="Triduo Pascual","tp", E833="Vigilia Pascual","tp", E833="Pascual","tp")</f>
        <v>ta</v>
      </c>
      <c r="B833" s="14" t="str">
        <f t="shared" si="129"/>
        <v>/* MARZO        */</v>
      </c>
      <c r="C833" s="15">
        <f t="shared" si="130"/>
        <v>46473</v>
      </c>
      <c r="D833" s="9">
        <f t="shared" si="131"/>
        <v>46473</v>
      </c>
      <c r="E833" t="s">
        <v>46</v>
      </c>
      <c r="F833" t="s">
        <v>43</v>
      </c>
      <c r="G833">
        <v>1</v>
      </c>
      <c r="I833" s="11">
        <f t="shared" si="132"/>
        <v>46473</v>
      </c>
      <c r="J833" t="s">
        <v>44</v>
      </c>
      <c r="K833" t="str">
        <f t="shared" si="133"/>
        <v>/* MARZO        */ { nombre: "Adviento, Semana I, SÁBADO", archivo: "/ev/ta/1/sábado.mp3", fecha: `${year}-03-27` },</v>
      </c>
      <c r="L833" s="10">
        <f t="shared" si="134"/>
        <v>46473</v>
      </c>
    </row>
    <row r="834" spans="1:12" hidden="1" x14ac:dyDescent="0.25">
      <c r="A834" t="str" cm="1">
        <f t="array" ref="A834">_xlfn.IFS(E834="Adviento","ta", E834="Navidad","tn", E834="Epifania","te", E834="Ordinario","to", E834="Cuaresma","tc", E834="Domingo De Ramos","tc", E834="Semana Santa","ss", E834="Triduo Pascual","tp", E834="Vigilia Pascual","tp", E834="Pascual","tp")</f>
        <v>ta</v>
      </c>
      <c r="B834" s="14" t="str">
        <f t="shared" si="129"/>
        <v>/* MARZO        */</v>
      </c>
      <c r="C834" s="15">
        <f t="shared" si="130"/>
        <v>46474</v>
      </c>
      <c r="D834" s="9">
        <f t="shared" si="131"/>
        <v>46474</v>
      </c>
      <c r="E834" t="s">
        <v>46</v>
      </c>
      <c r="F834" t="s">
        <v>43</v>
      </c>
      <c r="G834">
        <v>1</v>
      </c>
      <c r="I834" s="11">
        <f t="shared" si="132"/>
        <v>46474</v>
      </c>
      <c r="J834" t="s">
        <v>44</v>
      </c>
      <c r="K834" t="str">
        <f t="shared" si="133"/>
        <v>/* MARZO        */ { nombre: "Adviento, Semana I, DOMINGO", archivo: "/ev/ta/1/domingo.mp3", fecha: `${year}-03-28` },</v>
      </c>
      <c r="L834" s="10">
        <f t="shared" si="134"/>
        <v>46474</v>
      </c>
    </row>
    <row r="835" spans="1:12" hidden="1" x14ac:dyDescent="0.25">
      <c r="A835" t="str" cm="1">
        <f t="array" ref="A835">_xlfn.IFS(E835="Adviento","ta", E835="Navidad","tn", E835="Epifania","te", E835="Ordinario","to", E835="Cuaresma","tc", E835="Domingo De Ramos","tc", E835="Semana Santa","ss", E835="Triduo Pascual","tp", E835="Vigilia Pascual","tp", E835="Pascual","tp")</f>
        <v>ta</v>
      </c>
      <c r="B835" s="14" t="str">
        <f t="shared" si="129"/>
        <v>/* MARZO        */</v>
      </c>
      <c r="C835" s="15">
        <f t="shared" si="130"/>
        <v>46475</v>
      </c>
      <c r="D835" s="9">
        <f t="shared" si="131"/>
        <v>46475</v>
      </c>
      <c r="E835" t="s">
        <v>46</v>
      </c>
      <c r="F835" t="s">
        <v>43</v>
      </c>
      <c r="G835">
        <v>1</v>
      </c>
      <c r="I835" s="11">
        <f t="shared" si="132"/>
        <v>46475</v>
      </c>
      <c r="J835" t="s">
        <v>44</v>
      </c>
      <c r="K835" t="str">
        <f t="shared" si="133"/>
        <v>/* MARZO        */ { nombre: "Adviento, Semana I, LUNES", archivo: "/ev/ta/1/lunes.mp3", fecha: `${year}-03-29` },</v>
      </c>
      <c r="L835" s="10">
        <f t="shared" si="134"/>
        <v>46475</v>
      </c>
    </row>
    <row r="836" spans="1:12" hidden="1" x14ac:dyDescent="0.25">
      <c r="A836" t="str" cm="1">
        <f t="array" ref="A836">_xlfn.IFS(E836="Adviento","ta", E836="Navidad","tn", E836="Epifania","te", E836="Ordinario","to", E836="Cuaresma","tc", E836="Domingo De Ramos","tc", E836="Semana Santa","ss", E836="Triduo Pascual","tp", E836="Vigilia Pascual","tp", E836="Pascual","tp")</f>
        <v>ta</v>
      </c>
      <c r="B836" s="14" t="str">
        <f t="shared" si="129"/>
        <v>/* MARZO        */</v>
      </c>
      <c r="C836" s="15">
        <f t="shared" si="130"/>
        <v>46476</v>
      </c>
      <c r="D836" s="9">
        <f t="shared" si="131"/>
        <v>46476</v>
      </c>
      <c r="E836" t="s">
        <v>46</v>
      </c>
      <c r="F836" t="s">
        <v>43</v>
      </c>
      <c r="G836">
        <v>1</v>
      </c>
      <c r="I836" s="11">
        <f t="shared" si="132"/>
        <v>46476</v>
      </c>
      <c r="J836" t="s">
        <v>44</v>
      </c>
      <c r="K836" t="str">
        <f t="shared" si="133"/>
        <v>/* MARZO        */ { nombre: "Adviento, Semana I, MARTES", archivo: "/ev/ta/1/martes.mp3", fecha: `${year}-03-30` },</v>
      </c>
      <c r="L836" s="10">
        <f t="shared" si="134"/>
        <v>46476</v>
      </c>
    </row>
    <row r="837" spans="1:12" hidden="1" x14ac:dyDescent="0.25">
      <c r="A837" t="str" cm="1">
        <f t="array" ref="A837">_xlfn.IFS(E837="Adviento","ta", E837="Navidad","tn", E837="Epifania","te", E837="Ordinario","to", E837="Cuaresma","tc", E837="Domingo De Ramos","tc", E837="Semana Santa","ss", E837="Triduo Pascual","tp", E837="Vigilia Pascual","tp", E837="Pascual","tp")</f>
        <v>ta</v>
      </c>
      <c r="B837" s="14" t="str">
        <f t="shared" si="129"/>
        <v>/* MARZO        */</v>
      </c>
      <c r="C837" s="15">
        <f t="shared" si="130"/>
        <v>46477</v>
      </c>
      <c r="D837" s="9">
        <f t="shared" si="131"/>
        <v>46477</v>
      </c>
      <c r="E837" t="s">
        <v>46</v>
      </c>
      <c r="F837" t="s">
        <v>43</v>
      </c>
      <c r="G837">
        <v>1</v>
      </c>
      <c r="I837" s="11">
        <f t="shared" si="132"/>
        <v>46477</v>
      </c>
      <c r="J837" t="s">
        <v>44</v>
      </c>
      <c r="K837" t="str">
        <f t="shared" si="133"/>
        <v>/* MARZO        */ { nombre: "Adviento, Semana I, MIÉRCOLES", archivo: "/ev/ta/1/miércoles.mp3", fecha: `${year}-03-31` },</v>
      </c>
      <c r="L837" s="10">
        <f t="shared" si="134"/>
        <v>46477</v>
      </c>
    </row>
    <row r="838" spans="1:12" hidden="1" x14ac:dyDescent="0.25">
      <c r="A838" t="str" cm="1">
        <f t="array" ref="A838">_xlfn.IFS(E838="Adviento","ta", E838="Navidad","tn", E838="Epifania","te", E838="Ordinario","to", E838="Cuaresma","tc", E838="Domingo De Ramos","tc", E838="Semana Santa","ss", E838="Triduo Pascual","tp", E838="Vigilia Pascual","tp", E838="Pascual","tp")</f>
        <v>ta</v>
      </c>
      <c r="B838" s="14" t="str">
        <f t="shared" si="129"/>
        <v>/* ABRIL        */</v>
      </c>
      <c r="C838" s="15">
        <f t="shared" si="130"/>
        <v>46478</v>
      </c>
      <c r="D838" s="9">
        <f t="shared" si="131"/>
        <v>46478</v>
      </c>
      <c r="E838" t="s">
        <v>46</v>
      </c>
      <c r="F838" t="s">
        <v>43</v>
      </c>
      <c r="G838">
        <v>1</v>
      </c>
      <c r="I838" s="11">
        <f t="shared" si="132"/>
        <v>46478</v>
      </c>
      <c r="J838" t="s">
        <v>44</v>
      </c>
      <c r="K838" t="str">
        <f t="shared" si="133"/>
        <v>/* ABRIL        */ { nombre: "Adviento, Semana I, JUEVES", archivo: "/ev/ta/1/jueves.mp3", fecha: `${year}-04-01` },</v>
      </c>
      <c r="L838" s="10">
        <f t="shared" si="134"/>
        <v>46478</v>
      </c>
    </row>
    <row r="839" spans="1:12" hidden="1" x14ac:dyDescent="0.25">
      <c r="A839" t="str" cm="1">
        <f t="array" ref="A839">_xlfn.IFS(E839="Adviento","ta", E839="Navidad","tn", E839="Epifania","te", E839="Ordinario","to", E839="Cuaresma","tc", E839="Domingo De Ramos","tc", E839="Semana Santa","ss", E839="Triduo Pascual","tp", E839="Vigilia Pascual","tp", E839="Pascual","tp")</f>
        <v>ta</v>
      </c>
      <c r="B839" s="14" t="str">
        <f t="shared" si="129"/>
        <v>/* ABRIL        */</v>
      </c>
      <c r="C839" s="15">
        <f t="shared" si="130"/>
        <v>46479</v>
      </c>
      <c r="D839" s="9">
        <f t="shared" si="131"/>
        <v>46479</v>
      </c>
      <c r="E839" t="s">
        <v>46</v>
      </c>
      <c r="F839" t="s">
        <v>43</v>
      </c>
      <c r="G839">
        <v>1</v>
      </c>
      <c r="I839" s="11">
        <f t="shared" si="132"/>
        <v>46479</v>
      </c>
      <c r="J839" t="s">
        <v>44</v>
      </c>
      <c r="K839" t="str">
        <f t="shared" si="133"/>
        <v>/* ABRIL        */ { nombre: "Adviento, Semana I, VIERNES", archivo: "/ev/ta/1/viernes.mp3", fecha: `${year}-04-02` },</v>
      </c>
      <c r="L839" s="10">
        <f t="shared" si="134"/>
        <v>46479</v>
      </c>
    </row>
    <row r="840" spans="1:12" hidden="1" x14ac:dyDescent="0.25">
      <c r="A840" t="str" cm="1">
        <f t="array" ref="A840">_xlfn.IFS(E840="Adviento","ta", E840="Navidad","tn", E840="Epifania","te", E840="Ordinario","to", E840="Cuaresma","tc", E840="Domingo De Ramos","tc", E840="Semana Santa","ss", E840="Triduo Pascual","tp", E840="Vigilia Pascual","tp", E840="Pascual","tp")</f>
        <v>ta</v>
      </c>
      <c r="B840" s="14" t="str">
        <f t="shared" si="129"/>
        <v>/* ABRIL        */</v>
      </c>
      <c r="C840" s="15">
        <f t="shared" si="130"/>
        <v>46480</v>
      </c>
      <c r="D840" s="9">
        <f t="shared" si="131"/>
        <v>46480</v>
      </c>
      <c r="E840" t="s">
        <v>46</v>
      </c>
      <c r="F840" t="s">
        <v>43</v>
      </c>
      <c r="G840">
        <v>1</v>
      </c>
      <c r="I840" s="11">
        <f t="shared" si="132"/>
        <v>46480</v>
      </c>
      <c r="J840" t="s">
        <v>44</v>
      </c>
      <c r="K840" t="str">
        <f t="shared" si="133"/>
        <v>/* ABRIL        */ { nombre: "Adviento, Semana I, SÁBADO", archivo: "/ev/ta/1/sábado.mp3", fecha: `${year}-04-03` },</v>
      </c>
      <c r="L840" s="10">
        <f t="shared" si="134"/>
        <v>46480</v>
      </c>
    </row>
    <row r="841" spans="1:12" hidden="1" x14ac:dyDescent="0.25">
      <c r="A841" t="str" cm="1">
        <f t="array" ref="A841">_xlfn.IFS(E841="Adviento","ta", E841="Navidad","tn", E841="Epifania","te", E841="Ordinario","to", E841="Cuaresma","tc", E841="Domingo De Ramos","tc", E841="Semana Santa","ss", E841="Triduo Pascual","tp", E841="Vigilia Pascual","tp", E841="Pascual","tp")</f>
        <v>ta</v>
      </c>
      <c r="B841" s="14" t="str">
        <f t="shared" si="129"/>
        <v>/* ABRIL        */</v>
      </c>
      <c r="C841" s="15">
        <f t="shared" si="130"/>
        <v>46481</v>
      </c>
      <c r="D841" s="9">
        <f t="shared" si="131"/>
        <v>46481</v>
      </c>
      <c r="E841" t="s">
        <v>46</v>
      </c>
      <c r="F841" t="s">
        <v>43</v>
      </c>
      <c r="G841">
        <v>1</v>
      </c>
      <c r="I841" s="11">
        <f t="shared" si="132"/>
        <v>46481</v>
      </c>
      <c r="J841" t="s">
        <v>44</v>
      </c>
      <c r="K841" t="str">
        <f t="shared" si="133"/>
        <v>/* ABRIL        */ { nombre: "Adviento, Semana I, DOMINGO", archivo: "/ev/ta/1/domingo.mp3", fecha: `${year}-04-04` },</v>
      </c>
      <c r="L841" s="10">
        <f t="shared" si="134"/>
        <v>46481</v>
      </c>
    </row>
    <row r="842" spans="1:12" hidden="1" x14ac:dyDescent="0.25">
      <c r="A842" t="str" cm="1">
        <f t="array" ref="A842">_xlfn.IFS(E842="Adviento","ta", E842="Navidad","tn", E842="Epifania","te", E842="Ordinario","to", E842="Cuaresma","tc", E842="Domingo De Ramos","tc", E842="Semana Santa","ss", E842="Triduo Pascual","tp", E842="Vigilia Pascual","tp", E842="Pascual","tp")</f>
        <v>ta</v>
      </c>
      <c r="B842" s="14" t="str">
        <f t="shared" si="129"/>
        <v>/* ABRIL        */</v>
      </c>
      <c r="C842" s="15">
        <f t="shared" si="130"/>
        <v>46482</v>
      </c>
      <c r="D842" s="9">
        <f t="shared" si="131"/>
        <v>46482</v>
      </c>
      <c r="E842" t="s">
        <v>46</v>
      </c>
      <c r="F842" t="s">
        <v>43</v>
      </c>
      <c r="G842">
        <v>1</v>
      </c>
      <c r="I842" s="11">
        <f t="shared" si="132"/>
        <v>46482</v>
      </c>
      <c r="J842" t="s">
        <v>44</v>
      </c>
      <c r="K842" t="str">
        <f t="shared" si="133"/>
        <v>/* ABRIL        */ { nombre: "Adviento, Semana I, LUNES", archivo: "/ev/ta/1/lunes.mp3", fecha: `${year}-04-05` },</v>
      </c>
      <c r="L842" s="10">
        <f t="shared" si="134"/>
        <v>46482</v>
      </c>
    </row>
    <row r="843" spans="1:12" hidden="1" x14ac:dyDescent="0.25">
      <c r="A843" t="str" cm="1">
        <f t="array" ref="A843">_xlfn.IFS(E843="Adviento","ta", E843="Navidad","tn", E843="Epifania","te", E843="Ordinario","to", E843="Cuaresma","tc", E843="Domingo De Ramos","tc", E843="Semana Santa","ss", E843="Triduo Pascual","tp", E843="Vigilia Pascual","tp", E843="Pascual","tp")</f>
        <v>ta</v>
      </c>
      <c r="B843" s="14" t="str">
        <f t="shared" si="129"/>
        <v>/* ABRIL        */</v>
      </c>
      <c r="C843" s="15">
        <f t="shared" si="130"/>
        <v>46483</v>
      </c>
      <c r="D843" s="9">
        <f t="shared" si="131"/>
        <v>46483</v>
      </c>
      <c r="E843" t="s">
        <v>46</v>
      </c>
      <c r="F843" t="s">
        <v>43</v>
      </c>
      <c r="G843">
        <v>1</v>
      </c>
      <c r="I843" s="11">
        <f t="shared" si="132"/>
        <v>46483</v>
      </c>
      <c r="J843" t="s">
        <v>44</v>
      </c>
      <c r="K843" t="str">
        <f t="shared" si="133"/>
        <v>/* ABRIL        */ { nombre: "Adviento, Semana I, MARTES", archivo: "/ev/ta/1/martes.mp3", fecha: `${year}-04-06` },</v>
      </c>
      <c r="L843" s="10">
        <f t="shared" si="134"/>
        <v>46483</v>
      </c>
    </row>
    <row r="844" spans="1:12" hidden="1" x14ac:dyDescent="0.25">
      <c r="A844" t="str" cm="1">
        <f t="array" ref="A844">_xlfn.IFS(E844="Adviento","ta", E844="Navidad","tn", E844="Epifania","te", E844="Ordinario","to", E844="Cuaresma","tc", E844="Domingo De Ramos","tc", E844="Semana Santa","ss", E844="Triduo Pascual","tp", E844="Vigilia Pascual","tp", E844="Pascual","tp")</f>
        <v>ta</v>
      </c>
      <c r="B844" s="14" t="str">
        <f t="shared" si="129"/>
        <v>/* ABRIL        */</v>
      </c>
      <c r="C844" s="15">
        <f t="shared" si="130"/>
        <v>46484</v>
      </c>
      <c r="D844" s="9">
        <f t="shared" si="131"/>
        <v>46484</v>
      </c>
      <c r="E844" t="s">
        <v>46</v>
      </c>
      <c r="F844" t="s">
        <v>43</v>
      </c>
      <c r="G844">
        <v>1</v>
      </c>
      <c r="I844" s="11">
        <f t="shared" si="132"/>
        <v>46484</v>
      </c>
      <c r="J844" t="s">
        <v>44</v>
      </c>
      <c r="K844" t="str">
        <f t="shared" si="133"/>
        <v>/* ABRIL        */ { nombre: "Adviento, Semana I, MIÉRCOLES", archivo: "/ev/ta/1/miércoles.mp3", fecha: `${year}-04-07` },</v>
      </c>
      <c r="L844" s="10">
        <f t="shared" si="134"/>
        <v>46484</v>
      </c>
    </row>
    <row r="845" spans="1:12" hidden="1" x14ac:dyDescent="0.25">
      <c r="A845" t="str" cm="1">
        <f t="array" ref="A845">_xlfn.IFS(E845="Adviento","ta", E845="Navidad","tn", E845="Epifania","te", E845="Ordinario","to", E845="Cuaresma","tc", E845="Domingo De Ramos","tc", E845="Semana Santa","ss", E845="Triduo Pascual","tp", E845="Vigilia Pascual","tp", E845="Pascual","tp")</f>
        <v>ta</v>
      </c>
      <c r="B845" s="14" t="str">
        <f t="shared" si="129"/>
        <v>/* ABRIL        */</v>
      </c>
      <c r="C845" s="15">
        <f t="shared" si="130"/>
        <v>46485</v>
      </c>
      <c r="D845" s="9">
        <f t="shared" si="131"/>
        <v>46485</v>
      </c>
      <c r="E845" t="s">
        <v>46</v>
      </c>
      <c r="F845" t="s">
        <v>43</v>
      </c>
      <c r="G845">
        <v>1</v>
      </c>
      <c r="I845" s="11">
        <f t="shared" si="132"/>
        <v>46485</v>
      </c>
      <c r="J845" t="s">
        <v>44</v>
      </c>
      <c r="K845" t="str">
        <f t="shared" si="133"/>
        <v>/* ABRIL        */ { nombre: "Adviento, Semana I, JUEVES", archivo: "/ev/ta/1/jueves.mp3", fecha: `${year}-04-08` },</v>
      </c>
      <c r="L845" s="10">
        <f t="shared" si="134"/>
        <v>46485</v>
      </c>
    </row>
    <row r="846" spans="1:12" hidden="1" x14ac:dyDescent="0.25">
      <c r="A846" t="str" cm="1">
        <f t="array" ref="A846">_xlfn.IFS(E846="Adviento","ta", E846="Navidad","tn", E846="Epifania","te", E846="Ordinario","to", E846="Cuaresma","tc", E846="Domingo De Ramos","tc", E846="Semana Santa","ss", E846="Triduo Pascual","tp", E846="Vigilia Pascual","tp", E846="Pascual","tp")</f>
        <v>ta</v>
      </c>
      <c r="B846" s="14" t="str">
        <f t="shared" si="129"/>
        <v>/* ABRIL        */</v>
      </c>
      <c r="C846" s="15">
        <f t="shared" si="130"/>
        <v>46486</v>
      </c>
      <c r="D846" s="9">
        <f t="shared" si="131"/>
        <v>46486</v>
      </c>
      <c r="E846" t="s">
        <v>46</v>
      </c>
      <c r="F846" t="s">
        <v>43</v>
      </c>
      <c r="G846">
        <v>1</v>
      </c>
      <c r="I846" s="11">
        <f t="shared" si="132"/>
        <v>46486</v>
      </c>
      <c r="J846" t="s">
        <v>44</v>
      </c>
      <c r="K846" t="str">
        <f t="shared" si="133"/>
        <v>/* ABRIL        */ { nombre: "Adviento, Semana I, VIERNES", archivo: "/ev/ta/1/viernes.mp3", fecha: `${year}-04-09` },</v>
      </c>
      <c r="L846" s="10">
        <f t="shared" si="134"/>
        <v>46486</v>
      </c>
    </row>
    <row r="847" spans="1:12" hidden="1" x14ac:dyDescent="0.25">
      <c r="A847" t="str" cm="1">
        <f t="array" ref="A847">_xlfn.IFS(E847="Adviento","ta", E847="Navidad","tn", E847="Epifania","te", E847="Ordinario","to", E847="Cuaresma","tc", E847="Domingo De Ramos","tc", E847="Semana Santa","ss", E847="Triduo Pascual","tp", E847="Vigilia Pascual","tp", E847="Pascual","tp")</f>
        <v>ta</v>
      </c>
      <c r="B847" s="14" t="str">
        <f t="shared" si="129"/>
        <v>/* ABRIL        */</v>
      </c>
      <c r="C847" s="15">
        <f t="shared" si="130"/>
        <v>46487</v>
      </c>
      <c r="D847" s="9">
        <f t="shared" si="131"/>
        <v>46487</v>
      </c>
      <c r="E847" t="s">
        <v>46</v>
      </c>
      <c r="F847" t="s">
        <v>43</v>
      </c>
      <c r="G847">
        <v>1</v>
      </c>
      <c r="I847" s="11">
        <f t="shared" si="132"/>
        <v>46487</v>
      </c>
      <c r="J847" t="s">
        <v>44</v>
      </c>
      <c r="K847" t="str">
        <f t="shared" si="133"/>
        <v>/* ABRIL        */ { nombre: "Adviento, Semana I, SÁBADO", archivo: "/ev/ta/1/sábado.mp3", fecha: `${year}-04-10` },</v>
      </c>
      <c r="L847" s="10">
        <f t="shared" si="134"/>
        <v>46487</v>
      </c>
    </row>
    <row r="848" spans="1:12" hidden="1" x14ac:dyDescent="0.25">
      <c r="A848" t="str" cm="1">
        <f t="array" ref="A848">_xlfn.IFS(E848="Adviento","ta", E848="Navidad","tn", E848="Epifania","te", E848="Ordinario","to", E848="Cuaresma","tc", E848="Domingo De Ramos","tc", E848="Semana Santa","ss", E848="Triduo Pascual","tp", E848="Vigilia Pascual","tp", E848="Pascual","tp")</f>
        <v>ta</v>
      </c>
      <c r="B848" s="14" t="str">
        <f t="shared" si="129"/>
        <v>/* ABRIL        */</v>
      </c>
      <c r="C848" s="15">
        <f t="shared" si="130"/>
        <v>46488</v>
      </c>
      <c r="D848" s="9">
        <f t="shared" si="131"/>
        <v>46488</v>
      </c>
      <c r="E848" t="s">
        <v>46</v>
      </c>
      <c r="F848" t="s">
        <v>43</v>
      </c>
      <c r="G848">
        <v>1</v>
      </c>
      <c r="I848" s="11">
        <f t="shared" si="132"/>
        <v>46488</v>
      </c>
      <c r="J848" t="s">
        <v>44</v>
      </c>
      <c r="K848" t="str">
        <f t="shared" si="133"/>
        <v>/* ABRIL        */ { nombre: "Adviento, Semana I, DOMINGO", archivo: "/ev/ta/1/domingo.mp3", fecha: `${year}-04-11` },</v>
      </c>
      <c r="L848" s="10">
        <f t="shared" si="134"/>
        <v>46488</v>
      </c>
    </row>
    <row r="849" spans="1:12" hidden="1" x14ac:dyDescent="0.25">
      <c r="A849" t="str" cm="1">
        <f t="array" ref="A849">_xlfn.IFS(E849="Adviento","ta", E849="Navidad","tn", E849="Epifania","te", E849="Ordinario","to", E849="Cuaresma","tc", E849="Domingo De Ramos","tc", E849="Semana Santa","ss", E849="Triduo Pascual","tp", E849="Vigilia Pascual","tp", E849="Pascual","tp")</f>
        <v>ta</v>
      </c>
      <c r="B849" s="14" t="str">
        <f t="shared" si="129"/>
        <v>/* ABRIL        */</v>
      </c>
      <c r="C849" s="15">
        <f t="shared" si="130"/>
        <v>46489</v>
      </c>
      <c r="D849" s="9">
        <f t="shared" si="131"/>
        <v>46489</v>
      </c>
      <c r="E849" t="s">
        <v>46</v>
      </c>
      <c r="F849" t="s">
        <v>43</v>
      </c>
      <c r="G849">
        <v>1</v>
      </c>
      <c r="I849" s="11">
        <f t="shared" si="132"/>
        <v>46489</v>
      </c>
      <c r="J849" t="s">
        <v>44</v>
      </c>
      <c r="K849" t="str">
        <f t="shared" si="133"/>
        <v>/* ABRIL        */ { nombre: "Adviento, Semana I, LUNES", archivo: "/ev/ta/1/lunes.mp3", fecha: `${year}-04-12` },</v>
      </c>
      <c r="L849" s="10">
        <f t="shared" si="134"/>
        <v>46489</v>
      </c>
    </row>
    <row r="850" spans="1:12" hidden="1" x14ac:dyDescent="0.25">
      <c r="A850" t="str" cm="1">
        <f t="array" ref="A850">_xlfn.IFS(E850="Adviento","ta", E850="Navidad","tn", E850="Epifania","te", E850="Ordinario","to", E850="Cuaresma","tc", E850="Domingo De Ramos","tc", E850="Semana Santa","ss", E850="Triduo Pascual","tp", E850="Vigilia Pascual","tp", E850="Pascual","tp")</f>
        <v>ta</v>
      </c>
      <c r="B850" s="14" t="str">
        <f t="shared" si="129"/>
        <v>/* ABRIL        */</v>
      </c>
      <c r="C850" s="15">
        <f t="shared" si="130"/>
        <v>46490</v>
      </c>
      <c r="D850" s="9">
        <f t="shared" si="131"/>
        <v>46490</v>
      </c>
      <c r="E850" t="s">
        <v>46</v>
      </c>
      <c r="F850" t="s">
        <v>43</v>
      </c>
      <c r="G850">
        <v>1</v>
      </c>
      <c r="I850" s="11">
        <f t="shared" si="132"/>
        <v>46490</v>
      </c>
      <c r="J850" t="s">
        <v>44</v>
      </c>
      <c r="K850" t="str">
        <f t="shared" si="133"/>
        <v>/* ABRIL        */ { nombre: "Adviento, Semana I, MARTES", archivo: "/ev/ta/1/martes.mp3", fecha: `${year}-04-13` },</v>
      </c>
      <c r="L850" s="10">
        <f t="shared" si="134"/>
        <v>46490</v>
      </c>
    </row>
    <row r="851" spans="1:12" hidden="1" x14ac:dyDescent="0.25">
      <c r="A851" t="str" cm="1">
        <f t="array" ref="A851">_xlfn.IFS(E851="Adviento","ta", E851="Navidad","tn", E851="Epifania","te", E851="Ordinario","to", E851="Cuaresma","tc", E851="Domingo De Ramos","tc", E851="Semana Santa","ss", E851="Triduo Pascual","tp", E851="Vigilia Pascual","tp", E851="Pascual","tp")</f>
        <v>ta</v>
      </c>
      <c r="B851" s="14" t="str">
        <f t="shared" si="129"/>
        <v>/* ABRIL        */</v>
      </c>
      <c r="C851" s="15">
        <f t="shared" si="130"/>
        <v>46491</v>
      </c>
      <c r="D851" s="9">
        <f t="shared" si="131"/>
        <v>46491</v>
      </c>
      <c r="E851" t="s">
        <v>46</v>
      </c>
      <c r="F851" t="s">
        <v>43</v>
      </c>
      <c r="G851">
        <v>1</v>
      </c>
      <c r="I851" s="11">
        <f t="shared" si="132"/>
        <v>46491</v>
      </c>
      <c r="J851" t="s">
        <v>44</v>
      </c>
      <c r="K851" t="str">
        <f t="shared" si="133"/>
        <v>/* ABRIL        */ { nombre: "Adviento, Semana I, MIÉRCOLES", archivo: "/ev/ta/1/miércoles.mp3", fecha: `${year}-04-14` },</v>
      </c>
      <c r="L851" s="10">
        <f t="shared" si="134"/>
        <v>46491</v>
      </c>
    </row>
    <row r="852" spans="1:12" hidden="1" x14ac:dyDescent="0.25">
      <c r="A852" t="str" cm="1">
        <f t="array" ref="A852">_xlfn.IFS(E852="Adviento","ta", E852="Navidad","tn", E852="Epifania","te", E852="Ordinario","to", E852="Cuaresma","tc", E852="Domingo De Ramos","tc", E852="Semana Santa","ss", E852="Triduo Pascual","tp", E852="Vigilia Pascual","tp", E852="Pascual","tp")</f>
        <v>ta</v>
      </c>
      <c r="B852" s="14" t="str">
        <f t="shared" si="129"/>
        <v>/* ABRIL        */</v>
      </c>
      <c r="C852" s="15">
        <f t="shared" si="130"/>
        <v>46492</v>
      </c>
      <c r="D852" s="9">
        <f t="shared" si="131"/>
        <v>46492</v>
      </c>
      <c r="E852" t="s">
        <v>46</v>
      </c>
      <c r="F852" t="s">
        <v>43</v>
      </c>
      <c r="G852">
        <v>1</v>
      </c>
      <c r="I852" s="11">
        <f t="shared" si="132"/>
        <v>46492</v>
      </c>
      <c r="J852" t="s">
        <v>44</v>
      </c>
      <c r="K852" t="str">
        <f t="shared" si="133"/>
        <v>/* ABRIL        */ { nombre: "Adviento, Semana I, JUEVES", archivo: "/ev/ta/1/jueves.mp3", fecha: `${year}-04-15` },</v>
      </c>
      <c r="L852" s="10">
        <f t="shared" si="134"/>
        <v>46492</v>
      </c>
    </row>
    <row r="853" spans="1:12" hidden="1" x14ac:dyDescent="0.25">
      <c r="A853" t="str" cm="1">
        <f t="array" ref="A853">_xlfn.IFS(E853="Adviento","ta", E853="Navidad","tn", E853="Epifania","te", E853="Ordinario","to", E853="Cuaresma","tc", E853="Domingo De Ramos","tc", E853="Semana Santa","ss", E853="Triduo Pascual","tp", E853="Vigilia Pascual","tp", E853="Pascual","tp")</f>
        <v>ta</v>
      </c>
      <c r="B853" s="14" t="str">
        <f t="shared" si="129"/>
        <v>/* ABRIL        */</v>
      </c>
      <c r="C853" s="15">
        <f t="shared" si="130"/>
        <v>46493</v>
      </c>
      <c r="D853" s="9">
        <f t="shared" si="131"/>
        <v>46493</v>
      </c>
      <c r="E853" t="s">
        <v>46</v>
      </c>
      <c r="F853" t="s">
        <v>43</v>
      </c>
      <c r="G853">
        <v>1</v>
      </c>
      <c r="I853" s="11">
        <f t="shared" si="132"/>
        <v>46493</v>
      </c>
      <c r="J853" t="s">
        <v>44</v>
      </c>
      <c r="K853" t="str">
        <f t="shared" si="133"/>
        <v>/* ABRIL        */ { nombre: "Adviento, Semana I, VIERNES", archivo: "/ev/ta/1/viernes.mp3", fecha: `${year}-04-16` },</v>
      </c>
      <c r="L853" s="10">
        <f t="shared" si="134"/>
        <v>46493</v>
      </c>
    </row>
    <row r="854" spans="1:12" hidden="1" x14ac:dyDescent="0.25">
      <c r="A854" t="str" cm="1">
        <f t="array" ref="A854">_xlfn.IFS(E854="Adviento","ta", E854="Navidad","tn", E854="Epifania","te", E854="Ordinario","to", E854="Cuaresma","tc", E854="Domingo De Ramos","tc", E854="Semana Santa","ss", E854="Triduo Pascual","tp", E854="Vigilia Pascual","tp", E854="Pascual","tp")</f>
        <v>ta</v>
      </c>
      <c r="B854" s="14" t="str">
        <f t="shared" ref="B854:B917" si="135">_xlfn.CONCAT("/* ",UPPER(TEXT(D854,"[$-es-ES]mmmm")),"        */")</f>
        <v>/* ABRIL        */</v>
      </c>
      <c r="C854" s="15">
        <f t="shared" si="130"/>
        <v>46494</v>
      </c>
      <c r="D854" s="9">
        <f t="shared" si="131"/>
        <v>46494</v>
      </c>
      <c r="E854" t="s">
        <v>46</v>
      </c>
      <c r="F854" t="s">
        <v>43</v>
      </c>
      <c r="G854">
        <v>1</v>
      </c>
      <c r="I854" s="11">
        <f t="shared" si="132"/>
        <v>46494</v>
      </c>
      <c r="J854" t="s">
        <v>44</v>
      </c>
      <c r="K854" t="str">
        <f t="shared" si="133"/>
        <v>/* ABRIL        */ { nombre: "Adviento, Semana I, SÁBADO", archivo: "/ev/ta/1/sábado.mp3", fecha: `${year}-04-17` },</v>
      </c>
      <c r="L854" s="10">
        <f t="shared" si="134"/>
        <v>46494</v>
      </c>
    </row>
    <row r="855" spans="1:12" hidden="1" x14ac:dyDescent="0.25">
      <c r="A855" t="str" cm="1">
        <f t="array" ref="A855">_xlfn.IFS(E855="Adviento","ta", E855="Navidad","tn", E855="Epifania","te", E855="Ordinario","to", E855="Cuaresma","tc", E855="Domingo De Ramos","tc", E855="Semana Santa","ss", E855="Triduo Pascual","tp", E855="Vigilia Pascual","tp", E855="Pascual","tp")</f>
        <v>ta</v>
      </c>
      <c r="B855" s="14" t="str">
        <f t="shared" si="135"/>
        <v>/* ABRIL        */</v>
      </c>
      <c r="C855" s="15">
        <f t="shared" si="130"/>
        <v>46495</v>
      </c>
      <c r="D855" s="9">
        <f t="shared" si="131"/>
        <v>46495</v>
      </c>
      <c r="E855" t="s">
        <v>46</v>
      </c>
      <c r="F855" t="s">
        <v>43</v>
      </c>
      <c r="G855">
        <v>1</v>
      </c>
      <c r="I855" s="11">
        <f t="shared" si="132"/>
        <v>46495</v>
      </c>
      <c r="J855" t="s">
        <v>44</v>
      </c>
      <c r="K855" t="str">
        <f t="shared" si="133"/>
        <v>/* ABRIL        */ { nombre: "Adviento, Semana I, DOMINGO", archivo: "/ev/ta/1/domingo.mp3", fecha: `${year}-04-18` },</v>
      </c>
      <c r="L855" s="10">
        <f t="shared" si="134"/>
        <v>46495</v>
      </c>
    </row>
    <row r="856" spans="1:12" hidden="1" x14ac:dyDescent="0.25">
      <c r="A856" t="str" cm="1">
        <f t="array" ref="A856">_xlfn.IFS(E856="Adviento","ta", E856="Navidad","tn", E856="Epifania","te", E856="Ordinario","to", E856="Cuaresma","tc", E856="Domingo De Ramos","tc", E856="Semana Santa","ss", E856="Triduo Pascual","tp", E856="Vigilia Pascual","tp", E856="Pascual","tp")</f>
        <v>ta</v>
      </c>
      <c r="B856" s="14" t="str">
        <f t="shared" si="135"/>
        <v>/* ABRIL        */</v>
      </c>
      <c r="C856" s="15">
        <f t="shared" si="130"/>
        <v>46496</v>
      </c>
      <c r="D856" s="9">
        <f t="shared" si="131"/>
        <v>46496</v>
      </c>
      <c r="E856" t="s">
        <v>46</v>
      </c>
      <c r="F856" t="s">
        <v>43</v>
      </c>
      <c r="G856">
        <v>1</v>
      </c>
      <c r="I856" s="11">
        <f t="shared" si="132"/>
        <v>46496</v>
      </c>
      <c r="J856" t="s">
        <v>44</v>
      </c>
      <c r="K856" t="str">
        <f t="shared" si="133"/>
        <v>/* ABRIL        */ { nombre: "Adviento, Semana I, LUNES", archivo: "/ev/ta/1/lunes.mp3", fecha: `${year}-04-19` },</v>
      </c>
      <c r="L856" s="10">
        <f t="shared" si="134"/>
        <v>46496</v>
      </c>
    </row>
    <row r="857" spans="1:12" hidden="1" x14ac:dyDescent="0.25">
      <c r="A857" t="str" cm="1">
        <f t="array" ref="A857">_xlfn.IFS(E857="Adviento","ta", E857="Navidad","tn", E857="Epifania","te", E857="Ordinario","to", E857="Cuaresma","tc", E857="Domingo De Ramos","tc", E857="Semana Santa","ss", E857="Triduo Pascual","tp", E857="Vigilia Pascual","tp", E857="Pascual","tp")</f>
        <v>ta</v>
      </c>
      <c r="B857" s="14" t="str">
        <f t="shared" si="135"/>
        <v>/* ABRIL        */</v>
      </c>
      <c r="C857" s="15">
        <f t="shared" si="130"/>
        <v>46497</v>
      </c>
      <c r="D857" s="9">
        <f t="shared" si="131"/>
        <v>46497</v>
      </c>
      <c r="E857" t="s">
        <v>46</v>
      </c>
      <c r="F857" t="s">
        <v>43</v>
      </c>
      <c r="G857">
        <v>1</v>
      </c>
      <c r="I857" s="11">
        <f t="shared" si="132"/>
        <v>46497</v>
      </c>
      <c r="J857" t="s">
        <v>44</v>
      </c>
      <c r="K857" t="str">
        <f t="shared" si="133"/>
        <v>/* ABRIL        */ { nombre: "Adviento, Semana I, MARTES", archivo: "/ev/ta/1/martes.mp3", fecha: `${year}-04-20` },</v>
      </c>
      <c r="L857" s="10">
        <f t="shared" si="134"/>
        <v>46497</v>
      </c>
    </row>
    <row r="858" spans="1:12" hidden="1" x14ac:dyDescent="0.25">
      <c r="A858" t="str" cm="1">
        <f t="array" ref="A858">_xlfn.IFS(E858="Adviento","ta", E858="Navidad","tn", E858="Epifania","te", E858="Ordinario","to", E858="Cuaresma","tc", E858="Domingo De Ramos","tc", E858="Semana Santa","ss", E858="Triduo Pascual","tp", E858="Vigilia Pascual","tp", E858="Pascual","tp")</f>
        <v>ta</v>
      </c>
      <c r="B858" s="14" t="str">
        <f t="shared" si="135"/>
        <v>/* ABRIL        */</v>
      </c>
      <c r="C858" s="15">
        <f t="shared" si="130"/>
        <v>46498</v>
      </c>
      <c r="D858" s="9">
        <f t="shared" si="131"/>
        <v>46498</v>
      </c>
      <c r="E858" t="s">
        <v>46</v>
      </c>
      <c r="F858" t="s">
        <v>43</v>
      </c>
      <c r="G858">
        <v>1</v>
      </c>
      <c r="I858" s="11">
        <f t="shared" si="132"/>
        <v>46498</v>
      </c>
      <c r="J858" t="s">
        <v>44</v>
      </c>
      <c r="K858" t="str">
        <f t="shared" si="133"/>
        <v>/* ABRIL        */ { nombre: "Adviento, Semana I, MIÉRCOLES", archivo: "/ev/ta/1/miércoles.mp3", fecha: `${year}-04-21` },</v>
      </c>
      <c r="L858" s="10">
        <f t="shared" si="134"/>
        <v>46498</v>
      </c>
    </row>
    <row r="859" spans="1:12" hidden="1" x14ac:dyDescent="0.25">
      <c r="A859" t="str" cm="1">
        <f t="array" ref="A859">_xlfn.IFS(E859="Adviento","ta", E859="Navidad","tn", E859="Epifania","te", E859="Ordinario","to", E859="Cuaresma","tc", E859="Domingo De Ramos","tc", E859="Semana Santa","ss", E859="Triduo Pascual","tp", E859="Vigilia Pascual","tp", E859="Pascual","tp")</f>
        <v>ta</v>
      </c>
      <c r="B859" s="14" t="str">
        <f t="shared" si="135"/>
        <v>/* ABRIL        */</v>
      </c>
      <c r="C859" s="15">
        <f t="shared" si="130"/>
        <v>46499</v>
      </c>
      <c r="D859" s="9">
        <f t="shared" si="131"/>
        <v>46499</v>
      </c>
      <c r="E859" t="s">
        <v>46</v>
      </c>
      <c r="F859" t="s">
        <v>43</v>
      </c>
      <c r="G859">
        <v>1</v>
      </c>
      <c r="I859" s="11">
        <f t="shared" si="132"/>
        <v>46499</v>
      </c>
      <c r="J859" t="s">
        <v>44</v>
      </c>
      <c r="K859" t="str">
        <f t="shared" si="133"/>
        <v>/* ABRIL        */ { nombre: "Adviento, Semana I, JUEVES", archivo: "/ev/ta/1/jueves.mp3", fecha: `${year}-04-22` },</v>
      </c>
      <c r="L859" s="10">
        <f t="shared" si="134"/>
        <v>46499</v>
      </c>
    </row>
    <row r="860" spans="1:12" hidden="1" x14ac:dyDescent="0.25">
      <c r="A860" t="str" cm="1">
        <f t="array" ref="A860">_xlfn.IFS(E860="Adviento","ta", E860="Navidad","tn", E860="Epifania","te", E860="Ordinario","to", E860="Cuaresma","tc", E860="Domingo De Ramos","tc", E860="Semana Santa","ss", E860="Triduo Pascual","tp", E860="Vigilia Pascual","tp", E860="Pascual","tp")</f>
        <v>ta</v>
      </c>
      <c r="B860" s="14" t="str">
        <f t="shared" si="135"/>
        <v>/* ABRIL        */</v>
      </c>
      <c r="C860" s="15">
        <f t="shared" si="130"/>
        <v>46500</v>
      </c>
      <c r="D860" s="9">
        <f t="shared" si="131"/>
        <v>46500</v>
      </c>
      <c r="E860" t="s">
        <v>46</v>
      </c>
      <c r="F860" t="s">
        <v>43</v>
      </c>
      <c r="G860">
        <v>1</v>
      </c>
      <c r="I860" s="11">
        <f t="shared" si="132"/>
        <v>46500</v>
      </c>
      <c r="J860" t="s">
        <v>44</v>
      </c>
      <c r="K860" t="str">
        <f t="shared" si="133"/>
        <v>/* ABRIL        */ { nombre: "Adviento, Semana I, VIERNES", archivo: "/ev/ta/1/viernes.mp3", fecha: `${year}-04-23` },</v>
      </c>
      <c r="L860" s="10">
        <f t="shared" si="134"/>
        <v>46500</v>
      </c>
    </row>
    <row r="861" spans="1:12" hidden="1" x14ac:dyDescent="0.25">
      <c r="A861" t="str" cm="1">
        <f t="array" ref="A861">_xlfn.IFS(E861="Adviento","ta", E861="Navidad","tn", E861="Epifania","te", E861="Ordinario","to", E861="Cuaresma","tc", E861="Domingo De Ramos","tc", E861="Semana Santa","ss", E861="Triduo Pascual","tp", E861="Vigilia Pascual","tp", E861="Pascual","tp")</f>
        <v>ta</v>
      </c>
      <c r="B861" s="14" t="str">
        <f t="shared" si="135"/>
        <v>/* ABRIL        */</v>
      </c>
      <c r="C861" s="15">
        <f t="shared" si="130"/>
        <v>46501</v>
      </c>
      <c r="D861" s="9">
        <f t="shared" si="131"/>
        <v>46501</v>
      </c>
      <c r="E861" t="s">
        <v>46</v>
      </c>
      <c r="F861" t="s">
        <v>43</v>
      </c>
      <c r="G861">
        <v>1</v>
      </c>
      <c r="I861" s="11">
        <f t="shared" si="132"/>
        <v>46501</v>
      </c>
      <c r="J861" t="s">
        <v>44</v>
      </c>
      <c r="K861" t="str">
        <f t="shared" si="133"/>
        <v>/* ABRIL        */ { nombre: "Adviento, Semana I, SÁBADO", archivo: "/ev/ta/1/sábado.mp3", fecha: `${year}-04-24` },</v>
      </c>
      <c r="L861" s="10">
        <f t="shared" si="134"/>
        <v>46501</v>
      </c>
    </row>
    <row r="862" spans="1:12" hidden="1" x14ac:dyDescent="0.25">
      <c r="A862" t="str" cm="1">
        <f t="array" ref="A862">_xlfn.IFS(E862="Adviento","ta", E862="Navidad","tn", E862="Epifania","te", E862="Ordinario","to", E862="Cuaresma","tc", E862="Domingo De Ramos","tc", E862="Semana Santa","ss", E862="Triduo Pascual","tp", E862="Vigilia Pascual","tp", E862="Pascual","tp")</f>
        <v>ta</v>
      </c>
      <c r="B862" s="14" t="str">
        <f t="shared" si="135"/>
        <v>/* ABRIL        */</v>
      </c>
      <c r="C862" s="15">
        <f t="shared" si="130"/>
        <v>46502</v>
      </c>
      <c r="D862" s="9">
        <f t="shared" si="131"/>
        <v>46502</v>
      </c>
      <c r="E862" t="s">
        <v>46</v>
      </c>
      <c r="F862" t="s">
        <v>43</v>
      </c>
      <c r="G862">
        <v>1</v>
      </c>
      <c r="I862" s="11">
        <f t="shared" si="132"/>
        <v>46502</v>
      </c>
      <c r="J862" t="s">
        <v>44</v>
      </c>
      <c r="K862" t="str">
        <f t="shared" si="133"/>
        <v>/* ABRIL        */ { nombre: "Adviento, Semana I, DOMINGO", archivo: "/ev/ta/1/domingo.mp3", fecha: `${year}-04-25` },</v>
      </c>
      <c r="L862" s="10">
        <f t="shared" si="134"/>
        <v>46502</v>
      </c>
    </row>
    <row r="863" spans="1:12" hidden="1" x14ac:dyDescent="0.25">
      <c r="A863" t="str" cm="1">
        <f t="array" ref="A863">_xlfn.IFS(E863="Adviento","ta", E863="Navidad","tn", E863="Epifania","te", E863="Ordinario","to", E863="Cuaresma","tc", E863="Domingo De Ramos","tc", E863="Semana Santa","ss", E863="Triduo Pascual","tp", E863="Vigilia Pascual","tp", E863="Pascual","tp")</f>
        <v>ta</v>
      </c>
      <c r="B863" s="14" t="str">
        <f t="shared" si="135"/>
        <v>/* ABRIL        */</v>
      </c>
      <c r="C863" s="15">
        <f t="shared" si="130"/>
        <v>46503</v>
      </c>
      <c r="D863" s="9">
        <f t="shared" si="131"/>
        <v>46503</v>
      </c>
      <c r="E863" t="s">
        <v>46</v>
      </c>
      <c r="F863" t="s">
        <v>43</v>
      </c>
      <c r="G863">
        <v>1</v>
      </c>
      <c r="I863" s="11">
        <f t="shared" si="132"/>
        <v>46503</v>
      </c>
      <c r="J863" t="s">
        <v>44</v>
      </c>
      <c r="K863" t="str">
        <f t="shared" si="133"/>
        <v>/* ABRIL        */ { nombre: "Adviento, Semana I, LUNES", archivo: "/ev/ta/1/lunes.mp3", fecha: `${year}-04-26` },</v>
      </c>
      <c r="L863" s="10">
        <f t="shared" si="134"/>
        <v>46503</v>
      </c>
    </row>
    <row r="864" spans="1:12" hidden="1" x14ac:dyDescent="0.25">
      <c r="A864" t="str" cm="1">
        <f t="array" ref="A864">_xlfn.IFS(E864="Adviento","ta", E864="Navidad","tn", E864="Epifania","te", E864="Ordinario","to", E864="Cuaresma","tc", E864="Domingo De Ramos","tc", E864="Semana Santa","ss", E864="Triduo Pascual","tp", E864="Vigilia Pascual","tp", E864="Pascual","tp")</f>
        <v>ta</v>
      </c>
      <c r="B864" s="14" t="str">
        <f t="shared" si="135"/>
        <v>/* ABRIL        */</v>
      </c>
      <c r="C864" s="15">
        <f t="shared" si="130"/>
        <v>46504</v>
      </c>
      <c r="D864" s="9">
        <f t="shared" si="131"/>
        <v>46504</v>
      </c>
      <c r="E864" t="s">
        <v>46</v>
      </c>
      <c r="F864" t="s">
        <v>43</v>
      </c>
      <c r="G864">
        <v>1</v>
      </c>
      <c r="I864" s="11">
        <f t="shared" si="132"/>
        <v>46504</v>
      </c>
      <c r="J864" t="s">
        <v>44</v>
      </c>
      <c r="K864" t="str">
        <f t="shared" si="133"/>
        <v>/* ABRIL        */ { nombre: "Adviento, Semana I, MARTES", archivo: "/ev/ta/1/martes.mp3", fecha: `${year}-04-27` },</v>
      </c>
      <c r="L864" s="10">
        <f t="shared" si="134"/>
        <v>46504</v>
      </c>
    </row>
    <row r="865" spans="1:12" hidden="1" x14ac:dyDescent="0.25">
      <c r="A865" t="str" cm="1">
        <f t="array" ref="A865">_xlfn.IFS(E865="Adviento","ta", E865="Navidad","tn", E865="Epifania","te", E865="Ordinario","to", E865="Cuaresma","tc", E865="Domingo De Ramos","tc", E865="Semana Santa","ss", E865="Triduo Pascual","tp", E865="Vigilia Pascual","tp", E865="Pascual","tp")</f>
        <v>ta</v>
      </c>
      <c r="B865" s="14" t="str">
        <f t="shared" si="135"/>
        <v>/* ABRIL        */</v>
      </c>
      <c r="C865" s="15">
        <f t="shared" si="130"/>
        <v>46505</v>
      </c>
      <c r="D865" s="9">
        <f t="shared" si="131"/>
        <v>46505</v>
      </c>
      <c r="E865" t="s">
        <v>46</v>
      </c>
      <c r="F865" t="s">
        <v>43</v>
      </c>
      <c r="G865">
        <v>1</v>
      </c>
      <c r="I865" s="11">
        <f t="shared" si="132"/>
        <v>46505</v>
      </c>
      <c r="J865" t="s">
        <v>44</v>
      </c>
      <c r="K865" t="str">
        <f t="shared" si="133"/>
        <v>/* ABRIL        */ { nombre: "Adviento, Semana I, MIÉRCOLES", archivo: "/ev/ta/1/miércoles.mp3", fecha: `${year}-04-28` },</v>
      </c>
      <c r="L865" s="10">
        <f t="shared" si="134"/>
        <v>46505</v>
      </c>
    </row>
    <row r="866" spans="1:12" hidden="1" x14ac:dyDescent="0.25">
      <c r="A866" t="str" cm="1">
        <f t="array" ref="A866">_xlfn.IFS(E866="Adviento","ta", E866="Navidad","tn", E866="Epifania","te", E866="Ordinario","to", E866="Cuaresma","tc", E866="Domingo De Ramos","tc", E866="Semana Santa","ss", E866="Triduo Pascual","tp", E866="Vigilia Pascual","tp", E866="Pascual","tp")</f>
        <v>ta</v>
      </c>
      <c r="B866" s="14" t="str">
        <f t="shared" si="135"/>
        <v>/* ABRIL        */</v>
      </c>
      <c r="C866" s="15">
        <f t="shared" si="130"/>
        <v>46506</v>
      </c>
      <c r="D866" s="9">
        <f t="shared" si="131"/>
        <v>46506</v>
      </c>
      <c r="E866" t="s">
        <v>46</v>
      </c>
      <c r="F866" t="s">
        <v>43</v>
      </c>
      <c r="G866">
        <v>1</v>
      </c>
      <c r="I866" s="11">
        <f t="shared" si="132"/>
        <v>46506</v>
      </c>
      <c r="J866" t="s">
        <v>44</v>
      </c>
      <c r="K866" t="str">
        <f t="shared" si="133"/>
        <v>/* ABRIL        */ { nombre: "Adviento, Semana I, JUEVES", archivo: "/ev/ta/1/jueves.mp3", fecha: `${year}-04-29` },</v>
      </c>
      <c r="L866" s="10">
        <f t="shared" si="134"/>
        <v>46506</v>
      </c>
    </row>
    <row r="867" spans="1:12" hidden="1" x14ac:dyDescent="0.25">
      <c r="A867" t="str" cm="1">
        <f t="array" ref="A867">_xlfn.IFS(E867="Adviento","ta", E867="Navidad","tn", E867="Epifania","te", E867="Ordinario","to", E867="Cuaresma","tc", E867="Domingo De Ramos","tc", E867="Semana Santa","ss", E867="Triduo Pascual","tp", E867="Vigilia Pascual","tp", E867="Pascual","tp")</f>
        <v>ta</v>
      </c>
      <c r="B867" s="14" t="str">
        <f t="shared" si="135"/>
        <v>/* ABRIL        */</v>
      </c>
      <c r="C867" s="15">
        <f t="shared" si="130"/>
        <v>46507</v>
      </c>
      <c r="D867" s="9">
        <f t="shared" si="131"/>
        <v>46507</v>
      </c>
      <c r="E867" t="s">
        <v>46</v>
      </c>
      <c r="F867" t="s">
        <v>43</v>
      </c>
      <c r="G867">
        <v>1</v>
      </c>
      <c r="I867" s="11">
        <f t="shared" si="132"/>
        <v>46507</v>
      </c>
      <c r="J867" t="s">
        <v>44</v>
      </c>
      <c r="K867" t="str">
        <f t="shared" si="133"/>
        <v>/* ABRIL        */ { nombre: "Adviento, Semana I, VIERNES", archivo: "/ev/ta/1/viernes.mp3", fecha: `${year}-04-30` },</v>
      </c>
      <c r="L867" s="10">
        <f t="shared" si="134"/>
        <v>46507</v>
      </c>
    </row>
    <row r="868" spans="1:12" hidden="1" x14ac:dyDescent="0.25">
      <c r="A868" t="str" cm="1">
        <f t="array" ref="A868">_xlfn.IFS(E868="Adviento","ta", E868="Navidad","tn", E868="Epifania","te", E868="Ordinario","to", E868="Cuaresma","tc", E868="Domingo De Ramos","tc", E868="Semana Santa","ss", E868="Triduo Pascual","tp", E868="Vigilia Pascual","tp", E868="Pascual","tp")</f>
        <v>ta</v>
      </c>
      <c r="B868" s="14" t="str">
        <f t="shared" si="135"/>
        <v>/* MAYO        */</v>
      </c>
      <c r="C868" s="15">
        <f t="shared" si="130"/>
        <v>46508</v>
      </c>
      <c r="D868" s="9">
        <f t="shared" si="131"/>
        <v>46508</v>
      </c>
      <c r="E868" t="s">
        <v>46</v>
      </c>
      <c r="F868" t="s">
        <v>43</v>
      </c>
      <c r="G868">
        <v>1</v>
      </c>
      <c r="I868" s="11">
        <f t="shared" si="132"/>
        <v>46508</v>
      </c>
      <c r="J868" t="s">
        <v>44</v>
      </c>
      <c r="K868" t="str">
        <f t="shared" si="133"/>
        <v>/* MAYO        */ { nombre: "Adviento, Semana I, SÁBADO", archivo: "/ev/ta/1/sábado.mp3", fecha: `${year}-05-01` },</v>
      </c>
      <c r="L868" s="10">
        <f t="shared" si="134"/>
        <v>46508</v>
      </c>
    </row>
    <row r="869" spans="1:12" hidden="1" x14ac:dyDescent="0.25">
      <c r="A869" t="str" cm="1">
        <f t="array" ref="A869">_xlfn.IFS(E869="Adviento","ta", E869="Navidad","tn", E869="Epifania","te", E869="Ordinario","to", E869="Cuaresma","tc", E869="Domingo De Ramos","tc", E869="Semana Santa","ss", E869="Triduo Pascual","tp", E869="Vigilia Pascual","tp", E869="Pascual","tp")</f>
        <v>ta</v>
      </c>
      <c r="B869" s="14" t="str">
        <f t="shared" si="135"/>
        <v>/* MAYO        */</v>
      </c>
      <c r="C869" s="15">
        <f t="shared" si="130"/>
        <v>46509</v>
      </c>
      <c r="D869" s="9">
        <f t="shared" si="131"/>
        <v>46509</v>
      </c>
      <c r="E869" t="s">
        <v>46</v>
      </c>
      <c r="F869" t="s">
        <v>43</v>
      </c>
      <c r="G869">
        <v>1</v>
      </c>
      <c r="I869" s="11">
        <f t="shared" si="132"/>
        <v>46509</v>
      </c>
      <c r="J869" t="s">
        <v>44</v>
      </c>
      <c r="K869" t="str">
        <f t="shared" si="133"/>
        <v>/* MAYO        */ { nombre: "Adviento, Semana I, DOMINGO", archivo: "/ev/ta/1/domingo.mp3", fecha: `${year}-05-02` },</v>
      </c>
      <c r="L869" s="10">
        <f t="shared" si="134"/>
        <v>46509</v>
      </c>
    </row>
    <row r="870" spans="1:12" hidden="1" x14ac:dyDescent="0.25">
      <c r="A870" t="str" cm="1">
        <f t="array" ref="A870">_xlfn.IFS(E870="Adviento","ta", E870="Navidad","tn", E870="Epifania","te", E870="Ordinario","to", E870="Cuaresma","tc", E870="Domingo De Ramos","tc", E870="Semana Santa","ss", E870="Triduo Pascual","tp", E870="Vigilia Pascual","tp", E870="Pascual","tp")</f>
        <v>ta</v>
      </c>
      <c r="B870" s="14" t="str">
        <f t="shared" si="135"/>
        <v>/* MAYO        */</v>
      </c>
      <c r="C870" s="15">
        <f t="shared" si="130"/>
        <v>46510</v>
      </c>
      <c r="D870" s="9">
        <f t="shared" si="131"/>
        <v>46510</v>
      </c>
      <c r="E870" t="s">
        <v>46</v>
      </c>
      <c r="F870" t="s">
        <v>43</v>
      </c>
      <c r="G870">
        <v>1</v>
      </c>
      <c r="I870" s="11">
        <f t="shared" si="132"/>
        <v>46510</v>
      </c>
      <c r="J870" t="s">
        <v>44</v>
      </c>
      <c r="K870" t="str">
        <f t="shared" si="133"/>
        <v>/* MAYO        */ { nombre: "Adviento, Semana I, LUNES", archivo: "/ev/ta/1/lunes.mp3", fecha: `${year}-05-03` },</v>
      </c>
      <c r="L870" s="10">
        <f t="shared" si="134"/>
        <v>46510</v>
      </c>
    </row>
    <row r="871" spans="1:12" hidden="1" x14ac:dyDescent="0.25">
      <c r="A871" t="str" cm="1">
        <f t="array" ref="A871">_xlfn.IFS(E871="Adviento","ta", E871="Navidad","tn", E871="Epifania","te", E871="Ordinario","to", E871="Cuaresma","tc", E871="Domingo De Ramos","tc", E871="Semana Santa","ss", E871="Triduo Pascual","tp", E871="Vigilia Pascual","tp", E871="Pascual","tp")</f>
        <v>ta</v>
      </c>
      <c r="B871" s="14" t="str">
        <f t="shared" si="135"/>
        <v>/* MAYO        */</v>
      </c>
      <c r="C871" s="15">
        <f t="shared" si="130"/>
        <v>46511</v>
      </c>
      <c r="D871" s="9">
        <f t="shared" si="131"/>
        <v>46511</v>
      </c>
      <c r="E871" t="s">
        <v>46</v>
      </c>
      <c r="F871" t="s">
        <v>43</v>
      </c>
      <c r="G871">
        <v>1</v>
      </c>
      <c r="I871" s="11">
        <f t="shared" si="132"/>
        <v>46511</v>
      </c>
      <c r="J871" t="s">
        <v>44</v>
      </c>
      <c r="K871" t="str">
        <f t="shared" si="133"/>
        <v>/* MAYO        */ { nombre: "Adviento, Semana I, MARTES", archivo: "/ev/ta/1/martes.mp3", fecha: `${year}-05-04` },</v>
      </c>
      <c r="L871" s="10">
        <f t="shared" si="134"/>
        <v>46511</v>
      </c>
    </row>
    <row r="872" spans="1:12" hidden="1" x14ac:dyDescent="0.25">
      <c r="A872" t="str" cm="1">
        <f t="array" ref="A872">_xlfn.IFS(E872="Adviento","ta", E872="Navidad","tn", E872="Epifania","te", E872="Ordinario","to", E872="Cuaresma","tc", E872="Domingo De Ramos","tc", E872="Semana Santa","ss", E872="Triduo Pascual","tp", E872="Vigilia Pascual","tp", E872="Pascual","tp")</f>
        <v>ta</v>
      </c>
      <c r="B872" s="14" t="str">
        <f t="shared" si="135"/>
        <v>/* MAYO        */</v>
      </c>
      <c r="C872" s="15">
        <f t="shared" si="130"/>
        <v>46512</v>
      </c>
      <c r="D872" s="9">
        <f t="shared" si="131"/>
        <v>46512</v>
      </c>
      <c r="E872" t="s">
        <v>46</v>
      </c>
      <c r="F872" t="s">
        <v>43</v>
      </c>
      <c r="G872">
        <v>1</v>
      </c>
      <c r="I872" s="11">
        <f t="shared" si="132"/>
        <v>46512</v>
      </c>
      <c r="J872" t="s">
        <v>44</v>
      </c>
      <c r="K872" t="str">
        <f t="shared" si="133"/>
        <v>/* MAYO        */ { nombre: "Adviento, Semana I, MIÉRCOLES", archivo: "/ev/ta/1/miércoles.mp3", fecha: `${year}-05-05` },</v>
      </c>
      <c r="L872" s="10">
        <f t="shared" si="134"/>
        <v>46512</v>
      </c>
    </row>
    <row r="873" spans="1:12" hidden="1" x14ac:dyDescent="0.25">
      <c r="A873" t="str" cm="1">
        <f t="array" ref="A873">_xlfn.IFS(E873="Adviento","ta", E873="Navidad","tn", E873="Epifania","te", E873="Ordinario","to", E873="Cuaresma","tc", E873="Domingo De Ramos","tc", E873="Semana Santa","ss", E873="Triduo Pascual","tp", E873="Vigilia Pascual","tp", E873="Pascual","tp")</f>
        <v>ta</v>
      </c>
      <c r="B873" s="14" t="str">
        <f t="shared" si="135"/>
        <v>/* MAYO        */</v>
      </c>
      <c r="C873" s="15">
        <f t="shared" si="130"/>
        <v>46513</v>
      </c>
      <c r="D873" s="9">
        <f t="shared" si="131"/>
        <v>46513</v>
      </c>
      <c r="E873" t="s">
        <v>46</v>
      </c>
      <c r="F873" t="s">
        <v>43</v>
      </c>
      <c r="G873">
        <v>1</v>
      </c>
      <c r="I873" s="11">
        <f t="shared" si="132"/>
        <v>46513</v>
      </c>
      <c r="J873" t="s">
        <v>44</v>
      </c>
      <c r="K873" t="str">
        <f t="shared" si="133"/>
        <v>/* MAYO        */ { nombre: "Adviento, Semana I, JUEVES", archivo: "/ev/ta/1/jueves.mp3", fecha: `${year}-05-06` },</v>
      </c>
      <c r="L873" s="10">
        <f t="shared" si="134"/>
        <v>46513</v>
      </c>
    </row>
    <row r="874" spans="1:12" hidden="1" x14ac:dyDescent="0.25">
      <c r="A874" t="str" cm="1">
        <f t="array" ref="A874">_xlfn.IFS(E874="Adviento","ta", E874="Navidad","tn", E874="Epifania","te", E874="Ordinario","to", E874="Cuaresma","tc", E874="Domingo De Ramos","tc", E874="Semana Santa","ss", E874="Triduo Pascual","tp", E874="Vigilia Pascual","tp", E874="Pascual","tp")</f>
        <v>ta</v>
      </c>
      <c r="B874" s="14" t="str">
        <f t="shared" si="135"/>
        <v>/* MAYO        */</v>
      </c>
      <c r="C874" s="15">
        <f t="shared" si="130"/>
        <v>46514</v>
      </c>
      <c r="D874" s="9">
        <f t="shared" si="131"/>
        <v>46514</v>
      </c>
      <c r="E874" t="s">
        <v>46</v>
      </c>
      <c r="F874" t="s">
        <v>43</v>
      </c>
      <c r="G874">
        <v>1</v>
      </c>
      <c r="I874" s="11">
        <f t="shared" si="132"/>
        <v>46514</v>
      </c>
      <c r="J874" t="s">
        <v>44</v>
      </c>
      <c r="K874" t="str">
        <f t="shared" si="133"/>
        <v>/* MAYO        */ { nombre: "Adviento, Semana I, VIERNES", archivo: "/ev/ta/1/viernes.mp3", fecha: `${year}-05-07` },</v>
      </c>
      <c r="L874" s="10">
        <f t="shared" si="134"/>
        <v>46514</v>
      </c>
    </row>
    <row r="875" spans="1:12" hidden="1" x14ac:dyDescent="0.25">
      <c r="A875" t="str" cm="1">
        <f t="array" ref="A875">_xlfn.IFS(E875="Adviento","ta", E875="Navidad","tn", E875="Epifania","te", E875="Ordinario","to", E875="Cuaresma","tc", E875="Domingo De Ramos","tc", E875="Semana Santa","ss", E875="Triduo Pascual","tp", E875="Vigilia Pascual","tp", E875="Pascual","tp")</f>
        <v>ta</v>
      </c>
      <c r="B875" s="14" t="str">
        <f t="shared" si="135"/>
        <v>/* MAYO        */</v>
      </c>
      <c r="C875" s="15">
        <f t="shared" si="130"/>
        <v>46515</v>
      </c>
      <c r="D875" s="9">
        <f t="shared" si="131"/>
        <v>46515</v>
      </c>
      <c r="E875" t="s">
        <v>46</v>
      </c>
      <c r="F875" t="s">
        <v>43</v>
      </c>
      <c r="G875">
        <v>1</v>
      </c>
      <c r="I875" s="11">
        <f t="shared" si="132"/>
        <v>46515</v>
      </c>
      <c r="J875" t="s">
        <v>44</v>
      </c>
      <c r="K875" t="str">
        <f t="shared" si="133"/>
        <v>/* MAYO        */ { nombre: "Adviento, Semana I, SÁBADO", archivo: "/ev/ta/1/sábado.mp3", fecha: `${year}-05-08` },</v>
      </c>
      <c r="L875" s="10">
        <f t="shared" si="134"/>
        <v>46515</v>
      </c>
    </row>
    <row r="876" spans="1:12" hidden="1" x14ac:dyDescent="0.25">
      <c r="A876" t="str" cm="1">
        <f t="array" ref="A876">_xlfn.IFS(E876="Adviento","ta", E876="Navidad","tn", E876="Epifania","te", E876="Ordinario","to", E876="Cuaresma","tc", E876="Domingo De Ramos","tc", E876="Semana Santa","ss", E876="Triduo Pascual","tp", E876="Vigilia Pascual","tp", E876="Pascual","tp")</f>
        <v>ta</v>
      </c>
      <c r="B876" s="14" t="str">
        <f t="shared" si="135"/>
        <v>/* MAYO        */</v>
      </c>
      <c r="C876" s="15">
        <f t="shared" si="130"/>
        <v>46516</v>
      </c>
      <c r="D876" s="9">
        <f t="shared" si="131"/>
        <v>46516</v>
      </c>
      <c r="E876" t="s">
        <v>46</v>
      </c>
      <c r="F876" t="s">
        <v>43</v>
      </c>
      <c r="G876">
        <v>1</v>
      </c>
      <c r="I876" s="11">
        <f t="shared" si="132"/>
        <v>46516</v>
      </c>
      <c r="J876" t="s">
        <v>44</v>
      </c>
      <c r="K876" t="str">
        <f t="shared" si="133"/>
        <v>/* MAYO        */ { nombre: "Adviento, Semana I, DOMINGO", archivo: "/ev/ta/1/domingo.mp3", fecha: `${year}-05-09` },</v>
      </c>
      <c r="L876" s="10">
        <f t="shared" si="134"/>
        <v>46516</v>
      </c>
    </row>
    <row r="877" spans="1:12" hidden="1" x14ac:dyDescent="0.25">
      <c r="A877" t="str" cm="1">
        <f t="array" ref="A877">_xlfn.IFS(E877="Adviento","ta", E877="Navidad","tn", E877="Epifania","te", E877="Ordinario","to", E877="Cuaresma","tc", E877="Domingo De Ramos","tc", E877="Semana Santa","ss", E877="Triduo Pascual","tp", E877="Vigilia Pascual","tp", E877="Pascual","tp")</f>
        <v>ta</v>
      </c>
      <c r="B877" s="14" t="str">
        <f t="shared" si="135"/>
        <v>/* MAYO        */</v>
      </c>
      <c r="C877" s="15">
        <f t="shared" si="130"/>
        <v>46517</v>
      </c>
      <c r="D877" s="9">
        <f t="shared" si="131"/>
        <v>46517</v>
      </c>
      <c r="E877" t="s">
        <v>46</v>
      </c>
      <c r="F877" t="s">
        <v>43</v>
      </c>
      <c r="G877">
        <v>1</v>
      </c>
      <c r="I877" s="11">
        <f t="shared" si="132"/>
        <v>46517</v>
      </c>
      <c r="J877" t="s">
        <v>44</v>
      </c>
      <c r="K877" t="str">
        <f t="shared" si="133"/>
        <v>/* MAYO        */ { nombre: "Adviento, Semana I, LUNES", archivo: "/ev/ta/1/lunes.mp3", fecha: `${year}-05-10` },</v>
      </c>
      <c r="L877" s="10">
        <f t="shared" si="134"/>
        <v>46517</v>
      </c>
    </row>
    <row r="878" spans="1:12" hidden="1" x14ac:dyDescent="0.25">
      <c r="A878" t="str" cm="1">
        <f t="array" ref="A878">_xlfn.IFS(E878="Adviento","ta", E878="Navidad","tn", E878="Epifania","te", E878="Ordinario","to", E878="Cuaresma","tc", E878="Domingo De Ramos","tc", E878="Semana Santa","ss", E878="Triduo Pascual","tp", E878="Vigilia Pascual","tp", E878="Pascual","tp")</f>
        <v>ta</v>
      </c>
      <c r="B878" s="14" t="str">
        <f t="shared" si="135"/>
        <v>/* MAYO        */</v>
      </c>
      <c r="C878" s="15">
        <f t="shared" si="130"/>
        <v>46518</v>
      </c>
      <c r="D878" s="9">
        <f t="shared" si="131"/>
        <v>46518</v>
      </c>
      <c r="E878" t="s">
        <v>46</v>
      </c>
      <c r="F878" t="s">
        <v>43</v>
      </c>
      <c r="G878">
        <v>1</v>
      </c>
      <c r="I878" s="11">
        <f t="shared" si="132"/>
        <v>46518</v>
      </c>
      <c r="J878" t="s">
        <v>44</v>
      </c>
      <c r="K878" t="str">
        <f t="shared" si="133"/>
        <v>/* MAYO        */ { nombre: "Adviento, Semana I, MARTES", archivo: "/ev/ta/1/martes.mp3", fecha: `${year}-05-11` },</v>
      </c>
      <c r="L878" s="10">
        <f t="shared" si="134"/>
        <v>46518</v>
      </c>
    </row>
    <row r="879" spans="1:12" hidden="1" x14ac:dyDescent="0.25">
      <c r="A879" t="str" cm="1">
        <f t="array" ref="A879">_xlfn.IFS(E879="Adviento","ta", E879="Navidad","tn", E879="Epifania","te", E879="Ordinario","to", E879="Cuaresma","tc", E879="Domingo De Ramos","tc", E879="Semana Santa","ss", E879="Triduo Pascual","tp", E879="Vigilia Pascual","tp", E879="Pascual","tp")</f>
        <v>ta</v>
      </c>
      <c r="B879" s="14" t="str">
        <f t="shared" si="135"/>
        <v>/* MAYO        */</v>
      </c>
      <c r="C879" s="15">
        <f t="shared" si="130"/>
        <v>46519</v>
      </c>
      <c r="D879" s="9">
        <f t="shared" si="131"/>
        <v>46519</v>
      </c>
      <c r="E879" t="s">
        <v>46</v>
      </c>
      <c r="F879" t="s">
        <v>43</v>
      </c>
      <c r="G879">
        <v>1</v>
      </c>
      <c r="I879" s="11">
        <f t="shared" si="132"/>
        <v>46519</v>
      </c>
      <c r="J879" t="s">
        <v>44</v>
      </c>
      <c r="K879" t="str">
        <f t="shared" si="133"/>
        <v>/* MAYO        */ { nombre: "Adviento, Semana I, MIÉRCOLES", archivo: "/ev/ta/1/miércoles.mp3", fecha: `${year}-05-12` },</v>
      </c>
      <c r="L879" s="10">
        <f t="shared" si="134"/>
        <v>46519</v>
      </c>
    </row>
    <row r="880" spans="1:12" hidden="1" x14ac:dyDescent="0.25">
      <c r="A880" t="str" cm="1">
        <f t="array" ref="A880">_xlfn.IFS(E880="Adviento","ta", E880="Navidad","tn", E880="Epifania","te", E880="Ordinario","to", E880="Cuaresma","tc", E880="Domingo De Ramos","tc", E880="Semana Santa","ss", E880="Triduo Pascual","tp", E880="Vigilia Pascual","tp", E880="Pascual","tp")</f>
        <v>ta</v>
      </c>
      <c r="B880" s="14" t="str">
        <f t="shared" si="135"/>
        <v>/* MAYO        */</v>
      </c>
      <c r="C880" s="15">
        <f t="shared" si="130"/>
        <v>46520</v>
      </c>
      <c r="D880" s="9">
        <f t="shared" si="131"/>
        <v>46520</v>
      </c>
      <c r="E880" t="s">
        <v>46</v>
      </c>
      <c r="F880" t="s">
        <v>43</v>
      </c>
      <c r="G880">
        <v>1</v>
      </c>
      <c r="I880" s="11">
        <f t="shared" si="132"/>
        <v>46520</v>
      </c>
      <c r="J880" t="s">
        <v>44</v>
      </c>
      <c r="K880" t="str">
        <f t="shared" si="133"/>
        <v>/* MAYO        */ { nombre: "Adviento, Semana I, JUEVES", archivo: "/ev/ta/1/jueves.mp3", fecha: `${year}-05-13` },</v>
      </c>
      <c r="L880" s="10">
        <f t="shared" si="134"/>
        <v>46520</v>
      </c>
    </row>
    <row r="881" spans="1:12" hidden="1" x14ac:dyDescent="0.25">
      <c r="A881" t="str" cm="1">
        <f t="array" ref="A881">_xlfn.IFS(E881="Adviento","ta", E881="Navidad","tn", E881="Epifania","te", E881="Ordinario","to", E881="Cuaresma","tc", E881="Domingo De Ramos","tc", E881="Semana Santa","ss", E881="Triduo Pascual","tp", E881="Vigilia Pascual","tp", E881="Pascual","tp")</f>
        <v>ta</v>
      </c>
      <c r="B881" s="14" t="str">
        <f t="shared" si="135"/>
        <v>/* MAYO        */</v>
      </c>
      <c r="C881" s="15">
        <f t="shared" si="130"/>
        <v>46521</v>
      </c>
      <c r="D881" s="9">
        <f t="shared" si="131"/>
        <v>46521</v>
      </c>
      <c r="E881" t="s">
        <v>46</v>
      </c>
      <c r="F881" t="s">
        <v>43</v>
      </c>
      <c r="G881">
        <v>1</v>
      </c>
      <c r="I881" s="11">
        <f t="shared" si="132"/>
        <v>46521</v>
      </c>
      <c r="J881" t="s">
        <v>44</v>
      </c>
      <c r="K881" t="str">
        <f t="shared" si="133"/>
        <v>/* MAYO        */ { nombre: "Adviento, Semana I, VIERNES", archivo: "/ev/ta/1/viernes.mp3", fecha: `${year}-05-14` },</v>
      </c>
      <c r="L881" s="10">
        <f t="shared" si="134"/>
        <v>46521</v>
      </c>
    </row>
    <row r="882" spans="1:12" hidden="1" x14ac:dyDescent="0.25">
      <c r="A882" t="str" cm="1">
        <f t="array" ref="A882">_xlfn.IFS(E882="Adviento","ta", E882="Navidad","tn", E882="Epifania","te", E882="Ordinario","to", E882="Cuaresma","tc", E882="Domingo De Ramos","tc", E882="Semana Santa","ss", E882="Triduo Pascual","tp", E882="Vigilia Pascual","tp", E882="Pascual","tp")</f>
        <v>ta</v>
      </c>
      <c r="B882" s="14" t="str">
        <f t="shared" si="135"/>
        <v>/* MAYO        */</v>
      </c>
      <c r="C882" s="15">
        <f t="shared" si="130"/>
        <v>46522</v>
      </c>
      <c r="D882" s="9">
        <f t="shared" si="131"/>
        <v>46522</v>
      </c>
      <c r="E882" t="s">
        <v>46</v>
      </c>
      <c r="F882" t="s">
        <v>43</v>
      </c>
      <c r="G882">
        <v>1</v>
      </c>
      <c r="I882" s="11">
        <f t="shared" si="132"/>
        <v>46522</v>
      </c>
      <c r="J882" t="s">
        <v>44</v>
      </c>
      <c r="K882" t="str">
        <f t="shared" si="133"/>
        <v>/* MAYO        */ { nombre: "Adviento, Semana I, SÁBADO", archivo: "/ev/ta/1/sábado.mp3", fecha: `${year}-05-15` },</v>
      </c>
      <c r="L882" s="10">
        <f t="shared" si="134"/>
        <v>46522</v>
      </c>
    </row>
    <row r="883" spans="1:12" hidden="1" x14ac:dyDescent="0.25">
      <c r="A883" t="str" cm="1">
        <f t="array" ref="A883">_xlfn.IFS(E883="Adviento","ta", E883="Navidad","tn", E883="Epifania","te", E883="Ordinario","to", E883="Cuaresma","tc", E883="Domingo De Ramos","tc", E883="Semana Santa","ss", E883="Triduo Pascual","tp", E883="Vigilia Pascual","tp", E883="Pascual","tp")</f>
        <v>ta</v>
      </c>
      <c r="B883" s="14" t="str">
        <f t="shared" si="135"/>
        <v>/* MAYO        */</v>
      </c>
      <c r="C883" s="15">
        <f t="shared" si="130"/>
        <v>46523</v>
      </c>
      <c r="D883" s="9">
        <f t="shared" si="131"/>
        <v>46523</v>
      </c>
      <c r="E883" t="s">
        <v>46</v>
      </c>
      <c r="F883" t="s">
        <v>43</v>
      </c>
      <c r="G883">
        <v>1</v>
      </c>
      <c r="I883" s="11">
        <f t="shared" si="132"/>
        <v>46523</v>
      </c>
      <c r="J883" t="s">
        <v>44</v>
      </c>
      <c r="K883" t="str">
        <f t="shared" si="133"/>
        <v>/* MAYO        */ { nombre: "Adviento, Semana I, DOMINGO", archivo: "/ev/ta/1/domingo.mp3", fecha: `${year}-05-16` },</v>
      </c>
      <c r="L883" s="10">
        <f t="shared" si="134"/>
        <v>46523</v>
      </c>
    </row>
    <row r="884" spans="1:12" hidden="1" x14ac:dyDescent="0.25">
      <c r="A884" t="str" cm="1">
        <f t="array" ref="A884">_xlfn.IFS(E884="Adviento","ta", E884="Navidad","tn", E884="Epifania","te", E884="Ordinario","to", E884="Cuaresma","tc", E884="Domingo De Ramos","tc", E884="Semana Santa","ss", E884="Triduo Pascual","tp", E884="Vigilia Pascual","tp", E884="Pascual","tp")</f>
        <v>ta</v>
      </c>
      <c r="B884" s="14" t="str">
        <f t="shared" si="135"/>
        <v>/* MAYO        */</v>
      </c>
      <c r="C884" s="15">
        <f t="shared" si="130"/>
        <v>46524</v>
      </c>
      <c r="D884" s="9">
        <f t="shared" si="131"/>
        <v>46524</v>
      </c>
      <c r="E884" t="s">
        <v>46</v>
      </c>
      <c r="F884" t="s">
        <v>43</v>
      </c>
      <c r="G884">
        <v>1</v>
      </c>
      <c r="I884" s="11">
        <f t="shared" si="132"/>
        <v>46524</v>
      </c>
      <c r="J884" t="s">
        <v>44</v>
      </c>
      <c r="K884" t="str">
        <f t="shared" si="133"/>
        <v>/* MAYO        */ { nombre: "Adviento, Semana I, LUNES", archivo: "/ev/ta/1/lunes.mp3", fecha: `${year}-05-17` },</v>
      </c>
      <c r="L884" s="10">
        <f t="shared" si="134"/>
        <v>46524</v>
      </c>
    </row>
    <row r="885" spans="1:12" hidden="1" x14ac:dyDescent="0.25">
      <c r="A885" t="str" cm="1">
        <f t="array" ref="A885">_xlfn.IFS(E885="Adviento","ta", E885="Navidad","tn", E885="Epifania","te", E885="Ordinario","to", E885="Cuaresma","tc", E885="Domingo De Ramos","tc", E885="Semana Santa","ss", E885="Triduo Pascual","tp", E885="Vigilia Pascual","tp", E885="Pascual","tp")</f>
        <v>ta</v>
      </c>
      <c r="B885" s="14" t="str">
        <f t="shared" si="135"/>
        <v>/* MAYO        */</v>
      </c>
      <c r="C885" s="15">
        <f t="shared" ref="C885:C948" si="136">+C884+1</f>
        <v>46525</v>
      </c>
      <c r="D885" s="9">
        <f t="shared" ref="D885:D948" si="137">+D884+1</f>
        <v>46525</v>
      </c>
      <c r="E885" t="s">
        <v>46</v>
      </c>
      <c r="F885" t="s">
        <v>43</v>
      </c>
      <c r="G885">
        <v>1</v>
      </c>
      <c r="I885" s="11">
        <f t="shared" ref="I885:I948" si="138">D885</f>
        <v>46525</v>
      </c>
      <c r="J885" t="s">
        <v>44</v>
      </c>
      <c r="K885" t="str">
        <f t="shared" ref="K885:K948" si="139">_xlfn.CONCAT(B885, " ", "{ nombre: ", CHAR(34), E885, ", ", F885, " ", ROMAN(G885),H885, ", ", UPPER(TEXT(D885, "[$-es-ES]dddd")), CHAR(34), ", archivo: ", CHAR(34), "/ev/", _xlfn.IFS(E885="Adviento","ta", E885="Navidad","tn", E885="Epifania","te", E885="Ordinario","to", E885="Cuaresma","tc", E885="Domingo De Ramos","tc", E885="Semana Santa","ss", E885="Triduo Pascual","tp", E885="Vigilia Pascual","tp", E885="Pascual","tp"), "/", G885, "/", TEXT(D885, "[$-es-ES]dddd"), ".mp3", CHAR(34), ", fecha: `${year}-", TEXT(D885, "mm-dd"), "` },")</f>
        <v>/* MAYO        */ { nombre: "Adviento, Semana I, MARTES", archivo: "/ev/ta/1/martes.mp3", fecha: `${year}-05-18` },</v>
      </c>
      <c r="L885" s="10">
        <f t="shared" ref="L885:L948" si="140">D885</f>
        <v>46525</v>
      </c>
    </row>
    <row r="886" spans="1:12" hidden="1" x14ac:dyDescent="0.25">
      <c r="A886" t="str" cm="1">
        <f t="array" ref="A886">_xlfn.IFS(E886="Adviento","ta", E886="Navidad","tn", E886="Epifania","te", E886="Ordinario","to", E886="Cuaresma","tc", E886="Domingo De Ramos","tc", E886="Semana Santa","ss", E886="Triduo Pascual","tp", E886="Vigilia Pascual","tp", E886="Pascual","tp")</f>
        <v>ta</v>
      </c>
      <c r="B886" s="14" t="str">
        <f t="shared" si="135"/>
        <v>/* MAYO        */</v>
      </c>
      <c r="C886" s="15">
        <f t="shared" si="136"/>
        <v>46526</v>
      </c>
      <c r="D886" s="9">
        <f t="shared" si="137"/>
        <v>46526</v>
      </c>
      <c r="E886" t="s">
        <v>46</v>
      </c>
      <c r="F886" t="s">
        <v>43</v>
      </c>
      <c r="G886">
        <v>1</v>
      </c>
      <c r="I886" s="11">
        <f t="shared" si="138"/>
        <v>46526</v>
      </c>
      <c r="J886" t="s">
        <v>44</v>
      </c>
      <c r="K886" t="str">
        <f t="shared" si="139"/>
        <v>/* MAYO        */ { nombre: "Adviento, Semana I, MIÉRCOLES", archivo: "/ev/ta/1/miércoles.mp3", fecha: `${year}-05-19` },</v>
      </c>
      <c r="L886" s="10">
        <f t="shared" si="140"/>
        <v>46526</v>
      </c>
    </row>
    <row r="887" spans="1:12" hidden="1" x14ac:dyDescent="0.25">
      <c r="A887" t="str" cm="1">
        <f t="array" ref="A887">_xlfn.IFS(E887="Adviento","ta", E887="Navidad","tn", E887="Epifania","te", E887="Ordinario","to", E887="Cuaresma","tc", E887="Domingo De Ramos","tc", E887="Semana Santa","ss", E887="Triduo Pascual","tp", E887="Vigilia Pascual","tp", E887="Pascual","tp")</f>
        <v>ta</v>
      </c>
      <c r="B887" s="14" t="str">
        <f t="shared" si="135"/>
        <v>/* MAYO        */</v>
      </c>
      <c r="C887" s="15">
        <f t="shared" si="136"/>
        <v>46527</v>
      </c>
      <c r="D887" s="9">
        <f t="shared" si="137"/>
        <v>46527</v>
      </c>
      <c r="E887" t="s">
        <v>46</v>
      </c>
      <c r="F887" t="s">
        <v>43</v>
      </c>
      <c r="G887">
        <v>1</v>
      </c>
      <c r="I887" s="11">
        <f t="shared" si="138"/>
        <v>46527</v>
      </c>
      <c r="J887" t="s">
        <v>44</v>
      </c>
      <c r="K887" t="str">
        <f t="shared" si="139"/>
        <v>/* MAYO        */ { nombre: "Adviento, Semana I, JUEVES", archivo: "/ev/ta/1/jueves.mp3", fecha: `${year}-05-20` },</v>
      </c>
      <c r="L887" s="10">
        <f t="shared" si="140"/>
        <v>46527</v>
      </c>
    </row>
    <row r="888" spans="1:12" hidden="1" x14ac:dyDescent="0.25">
      <c r="A888" t="str" cm="1">
        <f t="array" ref="A888">_xlfn.IFS(E888="Adviento","ta", E888="Navidad","tn", E888="Epifania","te", E888="Ordinario","to", E888="Cuaresma","tc", E888="Domingo De Ramos","tc", E888="Semana Santa","ss", E888="Triduo Pascual","tp", E888="Vigilia Pascual","tp", E888="Pascual","tp")</f>
        <v>ta</v>
      </c>
      <c r="B888" s="14" t="str">
        <f t="shared" si="135"/>
        <v>/* MAYO        */</v>
      </c>
      <c r="C888" s="15">
        <f t="shared" si="136"/>
        <v>46528</v>
      </c>
      <c r="D888" s="9">
        <f t="shared" si="137"/>
        <v>46528</v>
      </c>
      <c r="E888" t="s">
        <v>46</v>
      </c>
      <c r="F888" t="s">
        <v>43</v>
      </c>
      <c r="G888">
        <v>1</v>
      </c>
      <c r="I888" s="11">
        <f t="shared" si="138"/>
        <v>46528</v>
      </c>
      <c r="J888" t="s">
        <v>44</v>
      </c>
      <c r="K888" t="str">
        <f t="shared" si="139"/>
        <v>/* MAYO        */ { nombre: "Adviento, Semana I, VIERNES", archivo: "/ev/ta/1/viernes.mp3", fecha: `${year}-05-21` },</v>
      </c>
      <c r="L888" s="10">
        <f t="shared" si="140"/>
        <v>46528</v>
      </c>
    </row>
    <row r="889" spans="1:12" hidden="1" x14ac:dyDescent="0.25">
      <c r="A889" t="str" cm="1">
        <f t="array" ref="A889">_xlfn.IFS(E889="Adviento","ta", E889="Navidad","tn", E889="Epifania","te", E889="Ordinario","to", E889="Cuaresma","tc", E889="Domingo De Ramos","tc", E889="Semana Santa","ss", E889="Triduo Pascual","tp", E889="Vigilia Pascual","tp", E889="Pascual","tp")</f>
        <v>ta</v>
      </c>
      <c r="B889" s="14" t="str">
        <f t="shared" si="135"/>
        <v>/* MAYO        */</v>
      </c>
      <c r="C889" s="15">
        <f t="shared" si="136"/>
        <v>46529</v>
      </c>
      <c r="D889" s="9">
        <f t="shared" si="137"/>
        <v>46529</v>
      </c>
      <c r="E889" t="s">
        <v>46</v>
      </c>
      <c r="F889" t="s">
        <v>43</v>
      </c>
      <c r="G889">
        <v>1</v>
      </c>
      <c r="I889" s="11">
        <f t="shared" si="138"/>
        <v>46529</v>
      </c>
      <c r="J889" t="s">
        <v>44</v>
      </c>
      <c r="K889" t="str">
        <f t="shared" si="139"/>
        <v>/* MAYO        */ { nombre: "Adviento, Semana I, SÁBADO", archivo: "/ev/ta/1/sábado.mp3", fecha: `${year}-05-22` },</v>
      </c>
      <c r="L889" s="10">
        <f t="shared" si="140"/>
        <v>46529</v>
      </c>
    </row>
    <row r="890" spans="1:12" hidden="1" x14ac:dyDescent="0.25">
      <c r="A890" t="str" cm="1">
        <f t="array" ref="A890">_xlfn.IFS(E890="Adviento","ta", E890="Navidad","tn", E890="Epifania","te", E890="Ordinario","to", E890="Cuaresma","tc", E890="Domingo De Ramos","tc", E890="Semana Santa","ss", E890="Triduo Pascual","tp", E890="Vigilia Pascual","tp", E890="Pascual","tp")</f>
        <v>ta</v>
      </c>
      <c r="B890" s="14" t="str">
        <f t="shared" si="135"/>
        <v>/* MAYO        */</v>
      </c>
      <c r="C890" s="15">
        <f t="shared" si="136"/>
        <v>46530</v>
      </c>
      <c r="D890" s="9">
        <f t="shared" si="137"/>
        <v>46530</v>
      </c>
      <c r="E890" t="s">
        <v>46</v>
      </c>
      <c r="F890" t="s">
        <v>43</v>
      </c>
      <c r="G890">
        <v>1</v>
      </c>
      <c r="I890" s="11">
        <f t="shared" si="138"/>
        <v>46530</v>
      </c>
      <c r="J890" t="s">
        <v>44</v>
      </c>
      <c r="K890" t="str">
        <f t="shared" si="139"/>
        <v>/* MAYO        */ { nombre: "Adviento, Semana I, DOMINGO", archivo: "/ev/ta/1/domingo.mp3", fecha: `${year}-05-23` },</v>
      </c>
      <c r="L890" s="10">
        <f t="shared" si="140"/>
        <v>46530</v>
      </c>
    </row>
    <row r="891" spans="1:12" hidden="1" x14ac:dyDescent="0.25">
      <c r="A891" t="str" cm="1">
        <f t="array" ref="A891">_xlfn.IFS(E891="Adviento","ta", E891="Navidad","tn", E891="Epifania","te", E891="Ordinario","to", E891="Cuaresma","tc", E891="Domingo De Ramos","tc", E891="Semana Santa","ss", E891="Triduo Pascual","tp", E891="Vigilia Pascual","tp", E891="Pascual","tp")</f>
        <v>ta</v>
      </c>
      <c r="B891" s="14" t="str">
        <f t="shared" si="135"/>
        <v>/* MAYO        */</v>
      </c>
      <c r="C891" s="15">
        <f t="shared" si="136"/>
        <v>46531</v>
      </c>
      <c r="D891" s="9">
        <f t="shared" si="137"/>
        <v>46531</v>
      </c>
      <c r="E891" t="s">
        <v>46</v>
      </c>
      <c r="F891" t="s">
        <v>43</v>
      </c>
      <c r="G891">
        <v>1</v>
      </c>
      <c r="I891" s="11">
        <f t="shared" si="138"/>
        <v>46531</v>
      </c>
      <c r="J891" t="s">
        <v>44</v>
      </c>
      <c r="K891" t="str">
        <f t="shared" si="139"/>
        <v>/* MAYO        */ { nombre: "Adviento, Semana I, LUNES", archivo: "/ev/ta/1/lunes.mp3", fecha: `${year}-05-24` },</v>
      </c>
      <c r="L891" s="10">
        <f t="shared" si="140"/>
        <v>46531</v>
      </c>
    </row>
    <row r="892" spans="1:12" hidden="1" x14ac:dyDescent="0.25">
      <c r="A892" t="str" cm="1">
        <f t="array" ref="A892">_xlfn.IFS(E892="Adviento","ta", E892="Navidad","tn", E892="Epifania","te", E892="Ordinario","to", E892="Cuaresma","tc", E892="Domingo De Ramos","tc", E892="Semana Santa","ss", E892="Triduo Pascual","tp", E892="Vigilia Pascual","tp", E892="Pascual","tp")</f>
        <v>ta</v>
      </c>
      <c r="B892" s="14" t="str">
        <f t="shared" si="135"/>
        <v>/* MAYO        */</v>
      </c>
      <c r="C892" s="15">
        <f t="shared" si="136"/>
        <v>46532</v>
      </c>
      <c r="D892" s="9">
        <f t="shared" si="137"/>
        <v>46532</v>
      </c>
      <c r="E892" t="s">
        <v>46</v>
      </c>
      <c r="F892" t="s">
        <v>43</v>
      </c>
      <c r="G892">
        <v>1</v>
      </c>
      <c r="I892" s="11">
        <f t="shared" si="138"/>
        <v>46532</v>
      </c>
      <c r="J892" t="s">
        <v>44</v>
      </c>
      <c r="K892" t="str">
        <f t="shared" si="139"/>
        <v>/* MAYO        */ { nombre: "Adviento, Semana I, MARTES", archivo: "/ev/ta/1/martes.mp3", fecha: `${year}-05-25` },</v>
      </c>
      <c r="L892" s="10">
        <f t="shared" si="140"/>
        <v>46532</v>
      </c>
    </row>
    <row r="893" spans="1:12" hidden="1" x14ac:dyDescent="0.25">
      <c r="A893" t="str" cm="1">
        <f t="array" ref="A893">_xlfn.IFS(E893="Adviento","ta", E893="Navidad","tn", E893="Epifania","te", E893="Ordinario","to", E893="Cuaresma","tc", E893="Domingo De Ramos","tc", E893="Semana Santa","ss", E893="Triduo Pascual","tp", E893="Vigilia Pascual","tp", E893="Pascual","tp")</f>
        <v>ta</v>
      </c>
      <c r="B893" s="14" t="str">
        <f t="shared" si="135"/>
        <v>/* MAYO        */</v>
      </c>
      <c r="C893" s="15">
        <f t="shared" si="136"/>
        <v>46533</v>
      </c>
      <c r="D893" s="9">
        <f t="shared" si="137"/>
        <v>46533</v>
      </c>
      <c r="E893" t="s">
        <v>46</v>
      </c>
      <c r="F893" t="s">
        <v>43</v>
      </c>
      <c r="G893">
        <v>1</v>
      </c>
      <c r="I893" s="11">
        <f t="shared" si="138"/>
        <v>46533</v>
      </c>
      <c r="J893" t="s">
        <v>44</v>
      </c>
      <c r="K893" t="str">
        <f t="shared" si="139"/>
        <v>/* MAYO        */ { nombre: "Adviento, Semana I, MIÉRCOLES", archivo: "/ev/ta/1/miércoles.mp3", fecha: `${year}-05-26` },</v>
      </c>
      <c r="L893" s="10">
        <f t="shared" si="140"/>
        <v>46533</v>
      </c>
    </row>
    <row r="894" spans="1:12" hidden="1" x14ac:dyDescent="0.25">
      <c r="A894" t="str" cm="1">
        <f t="array" ref="A894">_xlfn.IFS(E894="Adviento","ta", E894="Navidad","tn", E894="Epifania","te", E894="Ordinario","to", E894="Cuaresma","tc", E894="Domingo De Ramos","tc", E894="Semana Santa","ss", E894="Triduo Pascual","tp", E894="Vigilia Pascual","tp", E894="Pascual","tp")</f>
        <v>ta</v>
      </c>
      <c r="B894" s="14" t="str">
        <f t="shared" si="135"/>
        <v>/* MAYO        */</v>
      </c>
      <c r="C894" s="15">
        <f t="shared" si="136"/>
        <v>46534</v>
      </c>
      <c r="D894" s="9">
        <f t="shared" si="137"/>
        <v>46534</v>
      </c>
      <c r="E894" t="s">
        <v>46</v>
      </c>
      <c r="F894" t="s">
        <v>43</v>
      </c>
      <c r="G894">
        <v>1</v>
      </c>
      <c r="I894" s="11">
        <f t="shared" si="138"/>
        <v>46534</v>
      </c>
      <c r="J894" t="s">
        <v>44</v>
      </c>
      <c r="K894" t="str">
        <f t="shared" si="139"/>
        <v>/* MAYO        */ { nombre: "Adviento, Semana I, JUEVES", archivo: "/ev/ta/1/jueves.mp3", fecha: `${year}-05-27` },</v>
      </c>
      <c r="L894" s="10">
        <f t="shared" si="140"/>
        <v>46534</v>
      </c>
    </row>
    <row r="895" spans="1:12" hidden="1" x14ac:dyDescent="0.25">
      <c r="A895" t="str" cm="1">
        <f t="array" ref="A895">_xlfn.IFS(E895="Adviento","ta", E895="Navidad","tn", E895="Epifania","te", E895="Ordinario","to", E895="Cuaresma","tc", E895="Domingo De Ramos","tc", E895="Semana Santa","ss", E895="Triduo Pascual","tp", E895="Vigilia Pascual","tp", E895="Pascual","tp")</f>
        <v>ta</v>
      </c>
      <c r="B895" s="14" t="str">
        <f t="shared" si="135"/>
        <v>/* MAYO        */</v>
      </c>
      <c r="C895" s="15">
        <f t="shared" si="136"/>
        <v>46535</v>
      </c>
      <c r="D895" s="9">
        <f t="shared" si="137"/>
        <v>46535</v>
      </c>
      <c r="E895" t="s">
        <v>46</v>
      </c>
      <c r="F895" t="s">
        <v>43</v>
      </c>
      <c r="G895">
        <v>1</v>
      </c>
      <c r="I895" s="11">
        <f t="shared" si="138"/>
        <v>46535</v>
      </c>
      <c r="J895" t="s">
        <v>44</v>
      </c>
      <c r="K895" t="str">
        <f t="shared" si="139"/>
        <v>/* MAYO        */ { nombre: "Adviento, Semana I, VIERNES", archivo: "/ev/ta/1/viernes.mp3", fecha: `${year}-05-28` },</v>
      </c>
      <c r="L895" s="10">
        <f t="shared" si="140"/>
        <v>46535</v>
      </c>
    </row>
    <row r="896" spans="1:12" hidden="1" x14ac:dyDescent="0.25">
      <c r="A896" t="str" cm="1">
        <f t="array" ref="A896">_xlfn.IFS(E896="Adviento","ta", E896="Navidad","tn", E896="Epifania","te", E896="Ordinario","to", E896="Cuaresma","tc", E896="Domingo De Ramos","tc", E896="Semana Santa","ss", E896="Triduo Pascual","tp", E896="Vigilia Pascual","tp", E896="Pascual","tp")</f>
        <v>ta</v>
      </c>
      <c r="B896" s="14" t="str">
        <f t="shared" si="135"/>
        <v>/* MAYO        */</v>
      </c>
      <c r="C896" s="15">
        <f t="shared" si="136"/>
        <v>46536</v>
      </c>
      <c r="D896" s="9">
        <f t="shared" si="137"/>
        <v>46536</v>
      </c>
      <c r="E896" t="s">
        <v>46</v>
      </c>
      <c r="F896" t="s">
        <v>43</v>
      </c>
      <c r="G896">
        <v>1</v>
      </c>
      <c r="I896" s="11">
        <f t="shared" si="138"/>
        <v>46536</v>
      </c>
      <c r="J896" t="s">
        <v>44</v>
      </c>
      <c r="K896" t="str">
        <f t="shared" si="139"/>
        <v>/* MAYO        */ { nombre: "Adviento, Semana I, SÁBADO", archivo: "/ev/ta/1/sábado.mp3", fecha: `${year}-05-29` },</v>
      </c>
      <c r="L896" s="10">
        <f t="shared" si="140"/>
        <v>46536</v>
      </c>
    </row>
    <row r="897" spans="1:12" hidden="1" x14ac:dyDescent="0.25">
      <c r="A897" t="str" cm="1">
        <f t="array" ref="A897">_xlfn.IFS(E897="Adviento","ta", E897="Navidad","tn", E897="Epifania","te", E897="Ordinario","to", E897="Cuaresma","tc", E897="Domingo De Ramos","tc", E897="Semana Santa","ss", E897="Triduo Pascual","tp", E897="Vigilia Pascual","tp", E897="Pascual","tp")</f>
        <v>ta</v>
      </c>
      <c r="B897" s="14" t="str">
        <f t="shared" si="135"/>
        <v>/* MAYO        */</v>
      </c>
      <c r="C897" s="15">
        <f t="shared" si="136"/>
        <v>46537</v>
      </c>
      <c r="D897" s="9">
        <f t="shared" si="137"/>
        <v>46537</v>
      </c>
      <c r="E897" t="s">
        <v>46</v>
      </c>
      <c r="F897" t="s">
        <v>43</v>
      </c>
      <c r="G897">
        <v>1</v>
      </c>
      <c r="I897" s="11">
        <f t="shared" si="138"/>
        <v>46537</v>
      </c>
      <c r="J897" t="s">
        <v>44</v>
      </c>
      <c r="K897" t="str">
        <f t="shared" si="139"/>
        <v>/* MAYO        */ { nombre: "Adviento, Semana I, DOMINGO", archivo: "/ev/ta/1/domingo.mp3", fecha: `${year}-05-30` },</v>
      </c>
      <c r="L897" s="10">
        <f t="shared" si="140"/>
        <v>46537</v>
      </c>
    </row>
    <row r="898" spans="1:12" hidden="1" x14ac:dyDescent="0.25">
      <c r="A898" t="str" cm="1">
        <f t="array" ref="A898">_xlfn.IFS(E898="Adviento","ta", E898="Navidad","tn", E898="Epifania","te", E898="Ordinario","to", E898="Cuaresma","tc", E898="Domingo De Ramos","tc", E898="Semana Santa","ss", E898="Triduo Pascual","tp", E898="Vigilia Pascual","tp", E898="Pascual","tp")</f>
        <v>ta</v>
      </c>
      <c r="B898" s="14" t="str">
        <f t="shared" si="135"/>
        <v>/* MAYO        */</v>
      </c>
      <c r="C898" s="15">
        <f t="shared" si="136"/>
        <v>46538</v>
      </c>
      <c r="D898" s="9">
        <f t="shared" si="137"/>
        <v>46538</v>
      </c>
      <c r="E898" t="s">
        <v>46</v>
      </c>
      <c r="F898" t="s">
        <v>43</v>
      </c>
      <c r="G898">
        <v>1</v>
      </c>
      <c r="I898" s="11">
        <f t="shared" si="138"/>
        <v>46538</v>
      </c>
      <c r="J898" t="s">
        <v>44</v>
      </c>
      <c r="K898" t="str">
        <f t="shared" si="139"/>
        <v>/* MAYO        */ { nombre: "Adviento, Semana I, LUNES", archivo: "/ev/ta/1/lunes.mp3", fecha: `${year}-05-31` },</v>
      </c>
      <c r="L898" s="10">
        <f t="shared" si="140"/>
        <v>46538</v>
      </c>
    </row>
    <row r="899" spans="1:12" hidden="1" x14ac:dyDescent="0.25">
      <c r="A899" t="str" cm="1">
        <f t="array" ref="A899">_xlfn.IFS(E899="Adviento","ta", E899="Navidad","tn", E899="Epifania","te", E899="Ordinario","to", E899="Cuaresma","tc", E899="Domingo De Ramos","tc", E899="Semana Santa","ss", E899="Triduo Pascual","tp", E899="Vigilia Pascual","tp", E899="Pascual","tp")</f>
        <v>ta</v>
      </c>
      <c r="B899" s="14" t="str">
        <f t="shared" si="135"/>
        <v>/* JUNIO        */</v>
      </c>
      <c r="C899" s="15">
        <f t="shared" si="136"/>
        <v>46539</v>
      </c>
      <c r="D899" s="9">
        <f t="shared" si="137"/>
        <v>46539</v>
      </c>
      <c r="E899" t="s">
        <v>46</v>
      </c>
      <c r="F899" t="s">
        <v>43</v>
      </c>
      <c r="G899">
        <v>1</v>
      </c>
      <c r="I899" s="11">
        <f t="shared" si="138"/>
        <v>46539</v>
      </c>
      <c r="J899" t="s">
        <v>44</v>
      </c>
      <c r="K899" t="str">
        <f t="shared" si="139"/>
        <v>/* JUNIO        */ { nombre: "Adviento, Semana I, MARTES", archivo: "/ev/ta/1/martes.mp3", fecha: `${year}-06-01` },</v>
      </c>
      <c r="L899" s="10">
        <f t="shared" si="140"/>
        <v>46539</v>
      </c>
    </row>
    <row r="900" spans="1:12" hidden="1" x14ac:dyDescent="0.25">
      <c r="A900" t="str" cm="1">
        <f t="array" ref="A900">_xlfn.IFS(E900="Adviento","ta", E900="Navidad","tn", E900="Epifania","te", E900="Ordinario","to", E900="Cuaresma","tc", E900="Domingo De Ramos","tc", E900="Semana Santa","ss", E900="Triduo Pascual","tp", E900="Vigilia Pascual","tp", E900="Pascual","tp")</f>
        <v>ta</v>
      </c>
      <c r="B900" s="14" t="str">
        <f t="shared" si="135"/>
        <v>/* JUNIO        */</v>
      </c>
      <c r="C900" s="15">
        <f t="shared" si="136"/>
        <v>46540</v>
      </c>
      <c r="D900" s="9">
        <f t="shared" si="137"/>
        <v>46540</v>
      </c>
      <c r="E900" t="s">
        <v>46</v>
      </c>
      <c r="F900" t="s">
        <v>43</v>
      </c>
      <c r="G900">
        <v>1</v>
      </c>
      <c r="I900" s="11">
        <f t="shared" si="138"/>
        <v>46540</v>
      </c>
      <c r="J900" t="s">
        <v>44</v>
      </c>
      <c r="K900" t="str">
        <f t="shared" si="139"/>
        <v>/* JUNIO        */ { nombre: "Adviento, Semana I, MIÉRCOLES", archivo: "/ev/ta/1/miércoles.mp3", fecha: `${year}-06-02` },</v>
      </c>
      <c r="L900" s="10">
        <f t="shared" si="140"/>
        <v>46540</v>
      </c>
    </row>
    <row r="901" spans="1:12" hidden="1" x14ac:dyDescent="0.25">
      <c r="A901" t="str" cm="1">
        <f t="array" ref="A901">_xlfn.IFS(E901="Adviento","ta", E901="Navidad","tn", E901="Epifania","te", E901="Ordinario","to", E901="Cuaresma","tc", E901="Domingo De Ramos","tc", E901="Semana Santa","ss", E901="Triduo Pascual","tp", E901="Vigilia Pascual","tp", E901="Pascual","tp")</f>
        <v>ta</v>
      </c>
      <c r="B901" s="14" t="str">
        <f t="shared" si="135"/>
        <v>/* JUNIO        */</v>
      </c>
      <c r="C901" s="15">
        <f t="shared" si="136"/>
        <v>46541</v>
      </c>
      <c r="D901" s="9">
        <f t="shared" si="137"/>
        <v>46541</v>
      </c>
      <c r="E901" t="s">
        <v>46</v>
      </c>
      <c r="F901" t="s">
        <v>43</v>
      </c>
      <c r="G901">
        <v>1</v>
      </c>
      <c r="I901" s="11">
        <f t="shared" si="138"/>
        <v>46541</v>
      </c>
      <c r="J901" t="s">
        <v>44</v>
      </c>
      <c r="K901" t="str">
        <f t="shared" si="139"/>
        <v>/* JUNIO        */ { nombre: "Adviento, Semana I, JUEVES", archivo: "/ev/ta/1/jueves.mp3", fecha: `${year}-06-03` },</v>
      </c>
      <c r="L901" s="10">
        <f t="shared" si="140"/>
        <v>46541</v>
      </c>
    </row>
    <row r="902" spans="1:12" hidden="1" x14ac:dyDescent="0.25">
      <c r="A902" t="str" cm="1">
        <f t="array" ref="A902">_xlfn.IFS(E902="Adviento","ta", E902="Navidad","tn", E902="Epifania","te", E902="Ordinario","to", E902="Cuaresma","tc", E902="Domingo De Ramos","tc", E902="Semana Santa","ss", E902="Triduo Pascual","tp", E902="Vigilia Pascual","tp", E902="Pascual","tp")</f>
        <v>ta</v>
      </c>
      <c r="B902" s="14" t="str">
        <f t="shared" si="135"/>
        <v>/* JUNIO        */</v>
      </c>
      <c r="C902" s="15">
        <f t="shared" si="136"/>
        <v>46542</v>
      </c>
      <c r="D902" s="9">
        <f t="shared" si="137"/>
        <v>46542</v>
      </c>
      <c r="E902" t="s">
        <v>46</v>
      </c>
      <c r="F902" t="s">
        <v>43</v>
      </c>
      <c r="G902">
        <v>1</v>
      </c>
      <c r="I902" s="11">
        <f t="shared" si="138"/>
        <v>46542</v>
      </c>
      <c r="J902" t="s">
        <v>44</v>
      </c>
      <c r="K902" t="str">
        <f t="shared" si="139"/>
        <v>/* JUNIO        */ { nombre: "Adviento, Semana I, VIERNES", archivo: "/ev/ta/1/viernes.mp3", fecha: `${year}-06-04` },</v>
      </c>
      <c r="L902" s="10">
        <f t="shared" si="140"/>
        <v>46542</v>
      </c>
    </row>
    <row r="903" spans="1:12" hidden="1" x14ac:dyDescent="0.25">
      <c r="A903" t="str" cm="1">
        <f t="array" ref="A903">_xlfn.IFS(E903="Adviento","ta", E903="Navidad","tn", E903="Epifania","te", E903="Ordinario","to", E903="Cuaresma","tc", E903="Domingo De Ramos","tc", E903="Semana Santa","ss", E903="Triduo Pascual","tp", E903="Vigilia Pascual","tp", E903="Pascual","tp")</f>
        <v>ta</v>
      </c>
      <c r="B903" s="14" t="str">
        <f t="shared" si="135"/>
        <v>/* JUNIO        */</v>
      </c>
      <c r="C903" s="15">
        <f t="shared" si="136"/>
        <v>46543</v>
      </c>
      <c r="D903" s="9">
        <f t="shared" si="137"/>
        <v>46543</v>
      </c>
      <c r="E903" t="s">
        <v>46</v>
      </c>
      <c r="F903" t="s">
        <v>43</v>
      </c>
      <c r="G903">
        <v>1</v>
      </c>
      <c r="I903" s="11">
        <f t="shared" si="138"/>
        <v>46543</v>
      </c>
      <c r="J903" t="s">
        <v>44</v>
      </c>
      <c r="K903" t="str">
        <f t="shared" si="139"/>
        <v>/* JUNIO        */ { nombre: "Adviento, Semana I, SÁBADO", archivo: "/ev/ta/1/sábado.mp3", fecha: `${year}-06-05` },</v>
      </c>
      <c r="L903" s="10">
        <f t="shared" si="140"/>
        <v>46543</v>
      </c>
    </row>
    <row r="904" spans="1:12" hidden="1" x14ac:dyDescent="0.25">
      <c r="A904" t="str" cm="1">
        <f t="array" ref="A904">_xlfn.IFS(E904="Adviento","ta", E904="Navidad","tn", E904="Epifania","te", E904="Ordinario","to", E904="Cuaresma","tc", E904="Domingo De Ramos","tc", E904="Semana Santa","ss", E904="Triduo Pascual","tp", E904="Vigilia Pascual","tp", E904="Pascual","tp")</f>
        <v>ta</v>
      </c>
      <c r="B904" s="14" t="str">
        <f t="shared" si="135"/>
        <v>/* JUNIO        */</v>
      </c>
      <c r="C904" s="15">
        <f t="shared" si="136"/>
        <v>46544</v>
      </c>
      <c r="D904" s="9">
        <f t="shared" si="137"/>
        <v>46544</v>
      </c>
      <c r="E904" t="s">
        <v>46</v>
      </c>
      <c r="F904" t="s">
        <v>43</v>
      </c>
      <c r="G904">
        <v>1</v>
      </c>
      <c r="I904" s="11">
        <f t="shared" si="138"/>
        <v>46544</v>
      </c>
      <c r="J904" t="s">
        <v>44</v>
      </c>
      <c r="K904" t="str">
        <f t="shared" si="139"/>
        <v>/* JUNIO        */ { nombre: "Adviento, Semana I, DOMINGO", archivo: "/ev/ta/1/domingo.mp3", fecha: `${year}-06-06` },</v>
      </c>
      <c r="L904" s="10">
        <f t="shared" si="140"/>
        <v>46544</v>
      </c>
    </row>
    <row r="905" spans="1:12" hidden="1" x14ac:dyDescent="0.25">
      <c r="A905" t="str" cm="1">
        <f t="array" ref="A905">_xlfn.IFS(E905="Adviento","ta", E905="Navidad","tn", E905="Epifania","te", E905="Ordinario","to", E905="Cuaresma","tc", E905="Domingo De Ramos","tc", E905="Semana Santa","ss", E905="Triduo Pascual","tp", E905="Vigilia Pascual","tp", E905="Pascual","tp")</f>
        <v>ta</v>
      </c>
      <c r="B905" s="14" t="str">
        <f t="shared" si="135"/>
        <v>/* JUNIO        */</v>
      </c>
      <c r="C905" s="15">
        <f t="shared" si="136"/>
        <v>46545</v>
      </c>
      <c r="D905" s="9">
        <f t="shared" si="137"/>
        <v>46545</v>
      </c>
      <c r="E905" t="s">
        <v>46</v>
      </c>
      <c r="F905" t="s">
        <v>43</v>
      </c>
      <c r="G905">
        <v>1</v>
      </c>
      <c r="I905" s="11">
        <f t="shared" si="138"/>
        <v>46545</v>
      </c>
      <c r="J905" t="s">
        <v>44</v>
      </c>
      <c r="K905" t="str">
        <f t="shared" si="139"/>
        <v>/* JUNIO        */ { nombre: "Adviento, Semana I, LUNES", archivo: "/ev/ta/1/lunes.mp3", fecha: `${year}-06-07` },</v>
      </c>
      <c r="L905" s="10">
        <f t="shared" si="140"/>
        <v>46545</v>
      </c>
    </row>
    <row r="906" spans="1:12" hidden="1" x14ac:dyDescent="0.25">
      <c r="A906" t="str" cm="1">
        <f t="array" ref="A906">_xlfn.IFS(E906="Adviento","ta", E906="Navidad","tn", E906="Epifania","te", E906="Ordinario","to", E906="Cuaresma","tc", E906="Domingo De Ramos","tc", E906="Semana Santa","ss", E906="Triduo Pascual","tp", E906="Vigilia Pascual","tp", E906="Pascual","tp")</f>
        <v>ta</v>
      </c>
      <c r="B906" s="14" t="str">
        <f t="shared" si="135"/>
        <v>/* JUNIO        */</v>
      </c>
      <c r="C906" s="15">
        <f t="shared" si="136"/>
        <v>46546</v>
      </c>
      <c r="D906" s="9">
        <f t="shared" si="137"/>
        <v>46546</v>
      </c>
      <c r="E906" t="s">
        <v>46</v>
      </c>
      <c r="F906" t="s">
        <v>43</v>
      </c>
      <c r="G906">
        <v>1</v>
      </c>
      <c r="I906" s="11">
        <f t="shared" si="138"/>
        <v>46546</v>
      </c>
      <c r="J906" t="s">
        <v>44</v>
      </c>
      <c r="K906" t="str">
        <f t="shared" si="139"/>
        <v>/* JUNIO        */ { nombre: "Adviento, Semana I, MARTES", archivo: "/ev/ta/1/martes.mp3", fecha: `${year}-06-08` },</v>
      </c>
      <c r="L906" s="10">
        <f t="shared" si="140"/>
        <v>46546</v>
      </c>
    </row>
    <row r="907" spans="1:12" hidden="1" x14ac:dyDescent="0.25">
      <c r="A907" t="str" cm="1">
        <f t="array" ref="A907">_xlfn.IFS(E907="Adviento","ta", E907="Navidad","tn", E907="Epifania","te", E907="Ordinario","to", E907="Cuaresma","tc", E907="Domingo De Ramos","tc", E907="Semana Santa","ss", E907="Triduo Pascual","tp", E907="Vigilia Pascual","tp", E907="Pascual","tp")</f>
        <v>ta</v>
      </c>
      <c r="B907" s="14" t="str">
        <f t="shared" si="135"/>
        <v>/* JUNIO        */</v>
      </c>
      <c r="C907" s="15">
        <f t="shared" si="136"/>
        <v>46547</v>
      </c>
      <c r="D907" s="9">
        <f t="shared" si="137"/>
        <v>46547</v>
      </c>
      <c r="E907" t="s">
        <v>46</v>
      </c>
      <c r="F907" t="s">
        <v>43</v>
      </c>
      <c r="G907">
        <v>1</v>
      </c>
      <c r="I907" s="11">
        <f t="shared" si="138"/>
        <v>46547</v>
      </c>
      <c r="J907" t="s">
        <v>44</v>
      </c>
      <c r="K907" t="str">
        <f t="shared" si="139"/>
        <v>/* JUNIO        */ { nombre: "Adviento, Semana I, MIÉRCOLES", archivo: "/ev/ta/1/miércoles.mp3", fecha: `${year}-06-09` },</v>
      </c>
      <c r="L907" s="10">
        <f t="shared" si="140"/>
        <v>46547</v>
      </c>
    </row>
    <row r="908" spans="1:12" hidden="1" x14ac:dyDescent="0.25">
      <c r="A908" t="str" cm="1">
        <f t="array" ref="A908">_xlfn.IFS(E908="Adviento","ta", E908="Navidad","tn", E908="Epifania","te", E908="Ordinario","to", E908="Cuaresma","tc", E908="Domingo De Ramos","tc", E908="Semana Santa","ss", E908="Triduo Pascual","tp", E908="Vigilia Pascual","tp", E908="Pascual","tp")</f>
        <v>ta</v>
      </c>
      <c r="B908" s="14" t="str">
        <f t="shared" si="135"/>
        <v>/* JUNIO        */</v>
      </c>
      <c r="C908" s="15">
        <f t="shared" si="136"/>
        <v>46548</v>
      </c>
      <c r="D908" s="9">
        <f t="shared" si="137"/>
        <v>46548</v>
      </c>
      <c r="E908" t="s">
        <v>46</v>
      </c>
      <c r="F908" t="s">
        <v>43</v>
      </c>
      <c r="G908">
        <v>1</v>
      </c>
      <c r="I908" s="11">
        <f t="shared" si="138"/>
        <v>46548</v>
      </c>
      <c r="J908" t="s">
        <v>44</v>
      </c>
      <c r="K908" t="str">
        <f t="shared" si="139"/>
        <v>/* JUNIO        */ { nombre: "Adviento, Semana I, JUEVES", archivo: "/ev/ta/1/jueves.mp3", fecha: `${year}-06-10` },</v>
      </c>
      <c r="L908" s="10">
        <f t="shared" si="140"/>
        <v>46548</v>
      </c>
    </row>
    <row r="909" spans="1:12" hidden="1" x14ac:dyDescent="0.25">
      <c r="A909" t="str" cm="1">
        <f t="array" ref="A909">_xlfn.IFS(E909="Adviento","ta", E909="Navidad","tn", E909="Epifania","te", E909="Ordinario","to", E909="Cuaresma","tc", E909="Domingo De Ramos","tc", E909="Semana Santa","ss", E909="Triduo Pascual","tp", E909="Vigilia Pascual","tp", E909="Pascual","tp")</f>
        <v>ta</v>
      </c>
      <c r="B909" s="14" t="str">
        <f t="shared" si="135"/>
        <v>/* JUNIO        */</v>
      </c>
      <c r="C909" s="15">
        <f t="shared" si="136"/>
        <v>46549</v>
      </c>
      <c r="D909" s="9">
        <f t="shared" si="137"/>
        <v>46549</v>
      </c>
      <c r="E909" t="s">
        <v>46</v>
      </c>
      <c r="F909" t="s">
        <v>43</v>
      </c>
      <c r="G909">
        <v>1</v>
      </c>
      <c r="I909" s="11">
        <f t="shared" si="138"/>
        <v>46549</v>
      </c>
      <c r="J909" t="s">
        <v>44</v>
      </c>
      <c r="K909" t="str">
        <f t="shared" si="139"/>
        <v>/* JUNIO        */ { nombre: "Adviento, Semana I, VIERNES", archivo: "/ev/ta/1/viernes.mp3", fecha: `${year}-06-11` },</v>
      </c>
      <c r="L909" s="10">
        <f t="shared" si="140"/>
        <v>46549</v>
      </c>
    </row>
    <row r="910" spans="1:12" hidden="1" x14ac:dyDescent="0.25">
      <c r="A910" t="str" cm="1">
        <f t="array" ref="A910">_xlfn.IFS(E910="Adviento","ta", E910="Navidad","tn", E910="Epifania","te", E910="Ordinario","to", E910="Cuaresma","tc", E910="Domingo De Ramos","tc", E910="Semana Santa","ss", E910="Triduo Pascual","tp", E910="Vigilia Pascual","tp", E910="Pascual","tp")</f>
        <v>ta</v>
      </c>
      <c r="B910" s="14" t="str">
        <f t="shared" si="135"/>
        <v>/* JUNIO        */</v>
      </c>
      <c r="C910" s="15">
        <f t="shared" si="136"/>
        <v>46550</v>
      </c>
      <c r="D910" s="9">
        <f t="shared" si="137"/>
        <v>46550</v>
      </c>
      <c r="E910" t="s">
        <v>46</v>
      </c>
      <c r="F910" t="s">
        <v>43</v>
      </c>
      <c r="G910">
        <v>1</v>
      </c>
      <c r="I910" s="11">
        <f t="shared" si="138"/>
        <v>46550</v>
      </c>
      <c r="J910" t="s">
        <v>44</v>
      </c>
      <c r="K910" t="str">
        <f t="shared" si="139"/>
        <v>/* JUNIO        */ { nombre: "Adviento, Semana I, SÁBADO", archivo: "/ev/ta/1/sábado.mp3", fecha: `${year}-06-12` },</v>
      </c>
      <c r="L910" s="10">
        <f t="shared" si="140"/>
        <v>46550</v>
      </c>
    </row>
    <row r="911" spans="1:12" hidden="1" x14ac:dyDescent="0.25">
      <c r="A911" t="str" cm="1">
        <f t="array" ref="A911">_xlfn.IFS(E911="Adviento","ta", E911="Navidad","tn", E911="Epifania","te", E911="Ordinario","to", E911="Cuaresma","tc", E911="Domingo De Ramos","tc", E911="Semana Santa","ss", E911="Triduo Pascual","tp", E911="Vigilia Pascual","tp", E911="Pascual","tp")</f>
        <v>ta</v>
      </c>
      <c r="B911" s="14" t="str">
        <f t="shared" si="135"/>
        <v>/* JUNIO        */</v>
      </c>
      <c r="C911" s="15">
        <f t="shared" si="136"/>
        <v>46551</v>
      </c>
      <c r="D911" s="9">
        <f t="shared" si="137"/>
        <v>46551</v>
      </c>
      <c r="E911" t="s">
        <v>46</v>
      </c>
      <c r="F911" t="s">
        <v>43</v>
      </c>
      <c r="G911">
        <v>1</v>
      </c>
      <c r="I911" s="11">
        <f t="shared" si="138"/>
        <v>46551</v>
      </c>
      <c r="J911" t="s">
        <v>44</v>
      </c>
      <c r="K911" t="str">
        <f t="shared" si="139"/>
        <v>/* JUNIO        */ { nombre: "Adviento, Semana I, DOMINGO", archivo: "/ev/ta/1/domingo.mp3", fecha: `${year}-06-13` },</v>
      </c>
      <c r="L911" s="10">
        <f t="shared" si="140"/>
        <v>46551</v>
      </c>
    </row>
    <row r="912" spans="1:12" hidden="1" x14ac:dyDescent="0.25">
      <c r="A912" t="str" cm="1">
        <f t="array" ref="A912">_xlfn.IFS(E912="Adviento","ta", E912="Navidad","tn", E912="Epifania","te", E912="Ordinario","to", E912="Cuaresma","tc", E912="Domingo De Ramos","tc", E912="Semana Santa","ss", E912="Triduo Pascual","tp", E912="Vigilia Pascual","tp", E912="Pascual","tp")</f>
        <v>ta</v>
      </c>
      <c r="B912" s="14" t="str">
        <f t="shared" si="135"/>
        <v>/* JUNIO        */</v>
      </c>
      <c r="C912" s="15">
        <f t="shared" si="136"/>
        <v>46552</v>
      </c>
      <c r="D912" s="9">
        <f t="shared" si="137"/>
        <v>46552</v>
      </c>
      <c r="E912" t="s">
        <v>46</v>
      </c>
      <c r="F912" t="s">
        <v>43</v>
      </c>
      <c r="G912">
        <v>1</v>
      </c>
      <c r="I912" s="11">
        <f t="shared" si="138"/>
        <v>46552</v>
      </c>
      <c r="J912" t="s">
        <v>44</v>
      </c>
      <c r="K912" t="str">
        <f t="shared" si="139"/>
        <v>/* JUNIO        */ { nombre: "Adviento, Semana I, LUNES", archivo: "/ev/ta/1/lunes.mp3", fecha: `${year}-06-14` },</v>
      </c>
      <c r="L912" s="10">
        <f t="shared" si="140"/>
        <v>46552</v>
      </c>
    </row>
    <row r="913" spans="1:12" hidden="1" x14ac:dyDescent="0.25">
      <c r="A913" t="str" cm="1">
        <f t="array" ref="A913">_xlfn.IFS(E913="Adviento","ta", E913="Navidad","tn", E913="Epifania","te", E913="Ordinario","to", E913="Cuaresma","tc", E913="Domingo De Ramos","tc", E913="Semana Santa","ss", E913="Triduo Pascual","tp", E913="Vigilia Pascual","tp", E913="Pascual","tp")</f>
        <v>ta</v>
      </c>
      <c r="B913" s="14" t="str">
        <f t="shared" si="135"/>
        <v>/* JUNIO        */</v>
      </c>
      <c r="C913" s="15">
        <f t="shared" si="136"/>
        <v>46553</v>
      </c>
      <c r="D913" s="9">
        <f t="shared" si="137"/>
        <v>46553</v>
      </c>
      <c r="E913" t="s">
        <v>46</v>
      </c>
      <c r="F913" t="s">
        <v>43</v>
      </c>
      <c r="G913">
        <v>1</v>
      </c>
      <c r="I913" s="11">
        <f t="shared" si="138"/>
        <v>46553</v>
      </c>
      <c r="J913" t="s">
        <v>44</v>
      </c>
      <c r="K913" t="str">
        <f t="shared" si="139"/>
        <v>/* JUNIO        */ { nombre: "Adviento, Semana I, MARTES", archivo: "/ev/ta/1/martes.mp3", fecha: `${year}-06-15` },</v>
      </c>
      <c r="L913" s="10">
        <f t="shared" si="140"/>
        <v>46553</v>
      </c>
    </row>
    <row r="914" spans="1:12" hidden="1" x14ac:dyDescent="0.25">
      <c r="A914" t="str" cm="1">
        <f t="array" ref="A914">_xlfn.IFS(E914="Adviento","ta", E914="Navidad","tn", E914="Epifania","te", E914="Ordinario","to", E914="Cuaresma","tc", E914="Domingo De Ramos","tc", E914="Semana Santa","ss", E914="Triduo Pascual","tp", E914="Vigilia Pascual","tp", E914="Pascual","tp")</f>
        <v>ta</v>
      </c>
      <c r="B914" s="14" t="str">
        <f t="shared" si="135"/>
        <v>/* JUNIO        */</v>
      </c>
      <c r="C914" s="15">
        <f t="shared" si="136"/>
        <v>46554</v>
      </c>
      <c r="D914" s="9">
        <f t="shared" si="137"/>
        <v>46554</v>
      </c>
      <c r="E914" t="s">
        <v>46</v>
      </c>
      <c r="F914" t="s">
        <v>43</v>
      </c>
      <c r="G914">
        <v>1</v>
      </c>
      <c r="I914" s="11">
        <f t="shared" si="138"/>
        <v>46554</v>
      </c>
      <c r="J914" t="s">
        <v>44</v>
      </c>
      <c r="K914" t="str">
        <f t="shared" si="139"/>
        <v>/* JUNIO        */ { nombre: "Adviento, Semana I, MIÉRCOLES", archivo: "/ev/ta/1/miércoles.mp3", fecha: `${year}-06-16` },</v>
      </c>
      <c r="L914" s="10">
        <f t="shared" si="140"/>
        <v>46554</v>
      </c>
    </row>
    <row r="915" spans="1:12" hidden="1" x14ac:dyDescent="0.25">
      <c r="A915" t="str" cm="1">
        <f t="array" ref="A915">_xlfn.IFS(E915="Adviento","ta", E915="Navidad","tn", E915="Epifania","te", E915="Ordinario","to", E915="Cuaresma","tc", E915="Domingo De Ramos","tc", E915="Semana Santa","ss", E915="Triduo Pascual","tp", E915="Vigilia Pascual","tp", E915="Pascual","tp")</f>
        <v>ta</v>
      </c>
      <c r="B915" s="14" t="str">
        <f t="shared" si="135"/>
        <v>/* JUNIO        */</v>
      </c>
      <c r="C915" s="15">
        <f t="shared" si="136"/>
        <v>46555</v>
      </c>
      <c r="D915" s="9">
        <f t="shared" si="137"/>
        <v>46555</v>
      </c>
      <c r="E915" t="s">
        <v>46</v>
      </c>
      <c r="F915" t="s">
        <v>43</v>
      </c>
      <c r="G915">
        <v>1</v>
      </c>
      <c r="I915" s="11">
        <f t="shared" si="138"/>
        <v>46555</v>
      </c>
      <c r="J915" t="s">
        <v>44</v>
      </c>
      <c r="K915" t="str">
        <f t="shared" si="139"/>
        <v>/* JUNIO        */ { nombre: "Adviento, Semana I, JUEVES", archivo: "/ev/ta/1/jueves.mp3", fecha: `${year}-06-17` },</v>
      </c>
      <c r="L915" s="10">
        <f t="shared" si="140"/>
        <v>46555</v>
      </c>
    </row>
    <row r="916" spans="1:12" hidden="1" x14ac:dyDescent="0.25">
      <c r="A916" t="str" cm="1">
        <f t="array" ref="A916">_xlfn.IFS(E916="Adviento","ta", E916="Navidad","tn", E916="Epifania","te", E916="Ordinario","to", E916="Cuaresma","tc", E916="Domingo De Ramos","tc", E916="Semana Santa","ss", E916="Triduo Pascual","tp", E916="Vigilia Pascual","tp", E916="Pascual","tp")</f>
        <v>ta</v>
      </c>
      <c r="B916" s="14" t="str">
        <f t="shared" si="135"/>
        <v>/* JUNIO        */</v>
      </c>
      <c r="C916" s="15">
        <f t="shared" si="136"/>
        <v>46556</v>
      </c>
      <c r="D916" s="9">
        <f t="shared" si="137"/>
        <v>46556</v>
      </c>
      <c r="E916" t="s">
        <v>46</v>
      </c>
      <c r="F916" t="s">
        <v>43</v>
      </c>
      <c r="G916">
        <v>1</v>
      </c>
      <c r="I916" s="11">
        <f t="shared" si="138"/>
        <v>46556</v>
      </c>
      <c r="J916" t="s">
        <v>44</v>
      </c>
      <c r="K916" t="str">
        <f t="shared" si="139"/>
        <v>/* JUNIO        */ { nombre: "Adviento, Semana I, VIERNES", archivo: "/ev/ta/1/viernes.mp3", fecha: `${year}-06-18` },</v>
      </c>
      <c r="L916" s="10">
        <f t="shared" si="140"/>
        <v>46556</v>
      </c>
    </row>
    <row r="917" spans="1:12" hidden="1" x14ac:dyDescent="0.25">
      <c r="A917" t="str" cm="1">
        <f t="array" ref="A917">_xlfn.IFS(E917="Adviento","ta", E917="Navidad","tn", E917="Epifania","te", E917="Ordinario","to", E917="Cuaresma","tc", E917="Domingo De Ramos","tc", E917="Semana Santa","ss", E917="Triduo Pascual","tp", E917="Vigilia Pascual","tp", E917="Pascual","tp")</f>
        <v>ta</v>
      </c>
      <c r="B917" s="14" t="str">
        <f t="shared" si="135"/>
        <v>/* JUNIO        */</v>
      </c>
      <c r="C917" s="15">
        <f t="shared" si="136"/>
        <v>46557</v>
      </c>
      <c r="D917" s="9">
        <f t="shared" si="137"/>
        <v>46557</v>
      </c>
      <c r="E917" t="s">
        <v>46</v>
      </c>
      <c r="F917" t="s">
        <v>43</v>
      </c>
      <c r="G917">
        <v>1</v>
      </c>
      <c r="I917" s="11">
        <f t="shared" si="138"/>
        <v>46557</v>
      </c>
      <c r="J917" t="s">
        <v>44</v>
      </c>
      <c r="K917" t="str">
        <f t="shared" si="139"/>
        <v>/* JUNIO        */ { nombre: "Adviento, Semana I, SÁBADO", archivo: "/ev/ta/1/sábado.mp3", fecha: `${year}-06-19` },</v>
      </c>
      <c r="L917" s="10">
        <f t="shared" si="140"/>
        <v>46557</v>
      </c>
    </row>
    <row r="918" spans="1:12" hidden="1" x14ac:dyDescent="0.25">
      <c r="A918" t="str" cm="1">
        <f t="array" ref="A918">_xlfn.IFS(E918="Adviento","ta", E918="Navidad","tn", E918="Epifania","te", E918="Ordinario","to", E918="Cuaresma","tc", E918="Domingo De Ramos","tc", E918="Semana Santa","ss", E918="Triduo Pascual","tp", E918="Vigilia Pascual","tp", E918="Pascual","tp")</f>
        <v>ta</v>
      </c>
      <c r="B918" s="14" t="str">
        <f t="shared" ref="B918:B981" si="141">_xlfn.CONCAT("/* ",UPPER(TEXT(D918,"[$-es-ES]mmmm")),"        */")</f>
        <v>/* JUNIO        */</v>
      </c>
      <c r="C918" s="15">
        <f t="shared" si="136"/>
        <v>46558</v>
      </c>
      <c r="D918" s="9">
        <f t="shared" si="137"/>
        <v>46558</v>
      </c>
      <c r="E918" t="s">
        <v>46</v>
      </c>
      <c r="F918" t="s">
        <v>43</v>
      </c>
      <c r="G918">
        <v>1</v>
      </c>
      <c r="I918" s="11">
        <f t="shared" si="138"/>
        <v>46558</v>
      </c>
      <c r="J918" t="s">
        <v>44</v>
      </c>
      <c r="K918" t="str">
        <f t="shared" si="139"/>
        <v>/* JUNIO        */ { nombre: "Adviento, Semana I, DOMINGO", archivo: "/ev/ta/1/domingo.mp3", fecha: `${year}-06-20` },</v>
      </c>
      <c r="L918" s="10">
        <f t="shared" si="140"/>
        <v>46558</v>
      </c>
    </row>
    <row r="919" spans="1:12" hidden="1" x14ac:dyDescent="0.25">
      <c r="A919" t="str" cm="1">
        <f t="array" ref="A919">_xlfn.IFS(E919="Adviento","ta", E919="Navidad","tn", E919="Epifania","te", E919="Ordinario","to", E919="Cuaresma","tc", E919="Domingo De Ramos","tc", E919="Semana Santa","ss", E919="Triduo Pascual","tp", E919="Vigilia Pascual","tp", E919="Pascual","tp")</f>
        <v>ta</v>
      </c>
      <c r="B919" s="14" t="str">
        <f t="shared" si="141"/>
        <v>/* JUNIO        */</v>
      </c>
      <c r="C919" s="15">
        <f t="shared" si="136"/>
        <v>46559</v>
      </c>
      <c r="D919" s="9">
        <f t="shared" si="137"/>
        <v>46559</v>
      </c>
      <c r="E919" t="s">
        <v>46</v>
      </c>
      <c r="F919" t="s">
        <v>43</v>
      </c>
      <c r="G919">
        <v>1</v>
      </c>
      <c r="I919" s="11">
        <f t="shared" si="138"/>
        <v>46559</v>
      </c>
      <c r="J919" t="s">
        <v>44</v>
      </c>
      <c r="K919" t="str">
        <f t="shared" si="139"/>
        <v>/* JUNIO        */ { nombre: "Adviento, Semana I, LUNES", archivo: "/ev/ta/1/lunes.mp3", fecha: `${year}-06-21` },</v>
      </c>
      <c r="L919" s="10">
        <f t="shared" si="140"/>
        <v>46559</v>
      </c>
    </row>
    <row r="920" spans="1:12" hidden="1" x14ac:dyDescent="0.25">
      <c r="A920" t="str" cm="1">
        <f t="array" ref="A920">_xlfn.IFS(E920="Adviento","ta", E920="Navidad","tn", E920="Epifania","te", E920="Ordinario","to", E920="Cuaresma","tc", E920="Domingo De Ramos","tc", E920="Semana Santa","ss", E920="Triduo Pascual","tp", E920="Vigilia Pascual","tp", E920="Pascual","tp")</f>
        <v>ta</v>
      </c>
      <c r="B920" s="14" t="str">
        <f t="shared" si="141"/>
        <v>/* JUNIO        */</v>
      </c>
      <c r="C920" s="15">
        <f t="shared" si="136"/>
        <v>46560</v>
      </c>
      <c r="D920" s="9">
        <f t="shared" si="137"/>
        <v>46560</v>
      </c>
      <c r="E920" t="s">
        <v>46</v>
      </c>
      <c r="F920" t="s">
        <v>43</v>
      </c>
      <c r="G920">
        <v>1</v>
      </c>
      <c r="I920" s="11">
        <f t="shared" si="138"/>
        <v>46560</v>
      </c>
      <c r="J920" t="s">
        <v>44</v>
      </c>
      <c r="K920" t="str">
        <f t="shared" si="139"/>
        <v>/* JUNIO        */ { nombre: "Adviento, Semana I, MARTES", archivo: "/ev/ta/1/martes.mp3", fecha: `${year}-06-22` },</v>
      </c>
      <c r="L920" s="10">
        <f t="shared" si="140"/>
        <v>46560</v>
      </c>
    </row>
    <row r="921" spans="1:12" hidden="1" x14ac:dyDescent="0.25">
      <c r="A921" t="str" cm="1">
        <f t="array" ref="A921">_xlfn.IFS(E921="Adviento","ta", E921="Navidad","tn", E921="Epifania","te", E921="Ordinario","to", E921="Cuaresma","tc", E921="Domingo De Ramos","tc", E921="Semana Santa","ss", E921="Triduo Pascual","tp", E921="Vigilia Pascual","tp", E921="Pascual","tp")</f>
        <v>ta</v>
      </c>
      <c r="B921" s="14" t="str">
        <f t="shared" si="141"/>
        <v>/* JUNIO        */</v>
      </c>
      <c r="C921" s="15">
        <f t="shared" si="136"/>
        <v>46561</v>
      </c>
      <c r="D921" s="9">
        <f t="shared" si="137"/>
        <v>46561</v>
      </c>
      <c r="E921" t="s">
        <v>46</v>
      </c>
      <c r="F921" t="s">
        <v>43</v>
      </c>
      <c r="G921">
        <v>1</v>
      </c>
      <c r="I921" s="11">
        <f t="shared" si="138"/>
        <v>46561</v>
      </c>
      <c r="J921" t="s">
        <v>44</v>
      </c>
      <c r="K921" t="str">
        <f t="shared" si="139"/>
        <v>/* JUNIO        */ { nombre: "Adviento, Semana I, MIÉRCOLES", archivo: "/ev/ta/1/miércoles.mp3", fecha: `${year}-06-23` },</v>
      </c>
      <c r="L921" s="10">
        <f t="shared" si="140"/>
        <v>46561</v>
      </c>
    </row>
    <row r="922" spans="1:12" hidden="1" x14ac:dyDescent="0.25">
      <c r="A922" t="str" cm="1">
        <f t="array" ref="A922">_xlfn.IFS(E922="Adviento","ta", E922="Navidad","tn", E922="Epifania","te", E922="Ordinario","to", E922="Cuaresma","tc", E922="Domingo De Ramos","tc", E922="Semana Santa","ss", E922="Triduo Pascual","tp", E922="Vigilia Pascual","tp", E922="Pascual","tp")</f>
        <v>ta</v>
      </c>
      <c r="B922" s="14" t="str">
        <f t="shared" si="141"/>
        <v>/* JUNIO        */</v>
      </c>
      <c r="C922" s="15">
        <f t="shared" si="136"/>
        <v>46562</v>
      </c>
      <c r="D922" s="9">
        <f t="shared" si="137"/>
        <v>46562</v>
      </c>
      <c r="E922" t="s">
        <v>46</v>
      </c>
      <c r="F922" t="s">
        <v>43</v>
      </c>
      <c r="G922">
        <v>1</v>
      </c>
      <c r="I922" s="11">
        <f t="shared" si="138"/>
        <v>46562</v>
      </c>
      <c r="J922" t="s">
        <v>44</v>
      </c>
      <c r="K922" t="str">
        <f t="shared" si="139"/>
        <v>/* JUNIO        */ { nombre: "Adviento, Semana I, JUEVES", archivo: "/ev/ta/1/jueves.mp3", fecha: `${year}-06-24` },</v>
      </c>
      <c r="L922" s="10">
        <f t="shared" si="140"/>
        <v>46562</v>
      </c>
    </row>
    <row r="923" spans="1:12" hidden="1" x14ac:dyDescent="0.25">
      <c r="A923" t="str" cm="1">
        <f t="array" ref="A923">_xlfn.IFS(E923="Adviento","ta", E923="Navidad","tn", E923="Epifania","te", E923="Ordinario","to", E923="Cuaresma","tc", E923="Domingo De Ramos","tc", E923="Semana Santa","ss", E923="Triduo Pascual","tp", E923="Vigilia Pascual","tp", E923="Pascual","tp")</f>
        <v>ta</v>
      </c>
      <c r="B923" s="14" t="str">
        <f t="shared" si="141"/>
        <v>/* JUNIO        */</v>
      </c>
      <c r="C923" s="15">
        <f t="shared" si="136"/>
        <v>46563</v>
      </c>
      <c r="D923" s="9">
        <f t="shared" si="137"/>
        <v>46563</v>
      </c>
      <c r="E923" t="s">
        <v>46</v>
      </c>
      <c r="F923" t="s">
        <v>43</v>
      </c>
      <c r="G923">
        <v>1</v>
      </c>
      <c r="I923" s="11">
        <f t="shared" si="138"/>
        <v>46563</v>
      </c>
      <c r="J923" t="s">
        <v>44</v>
      </c>
      <c r="K923" t="str">
        <f t="shared" si="139"/>
        <v>/* JUNIO        */ { nombre: "Adviento, Semana I, VIERNES", archivo: "/ev/ta/1/viernes.mp3", fecha: `${year}-06-25` },</v>
      </c>
      <c r="L923" s="10">
        <f t="shared" si="140"/>
        <v>46563</v>
      </c>
    </row>
    <row r="924" spans="1:12" hidden="1" x14ac:dyDescent="0.25">
      <c r="A924" t="str" cm="1">
        <f t="array" ref="A924">_xlfn.IFS(E924="Adviento","ta", E924="Navidad","tn", E924="Epifania","te", E924="Ordinario","to", E924="Cuaresma","tc", E924="Domingo De Ramos","tc", E924="Semana Santa","ss", E924="Triduo Pascual","tp", E924="Vigilia Pascual","tp", E924="Pascual","tp")</f>
        <v>ta</v>
      </c>
      <c r="B924" s="14" t="str">
        <f t="shared" si="141"/>
        <v>/* JUNIO        */</v>
      </c>
      <c r="C924" s="15">
        <f t="shared" si="136"/>
        <v>46564</v>
      </c>
      <c r="D924" s="9">
        <f t="shared" si="137"/>
        <v>46564</v>
      </c>
      <c r="E924" t="s">
        <v>46</v>
      </c>
      <c r="F924" t="s">
        <v>43</v>
      </c>
      <c r="G924">
        <v>1</v>
      </c>
      <c r="I924" s="11">
        <f t="shared" si="138"/>
        <v>46564</v>
      </c>
      <c r="J924" t="s">
        <v>44</v>
      </c>
      <c r="K924" t="str">
        <f t="shared" si="139"/>
        <v>/* JUNIO        */ { nombre: "Adviento, Semana I, SÁBADO", archivo: "/ev/ta/1/sábado.mp3", fecha: `${year}-06-26` },</v>
      </c>
      <c r="L924" s="10">
        <f t="shared" si="140"/>
        <v>46564</v>
      </c>
    </row>
    <row r="925" spans="1:12" hidden="1" x14ac:dyDescent="0.25">
      <c r="A925" t="str" cm="1">
        <f t="array" ref="A925">_xlfn.IFS(E925="Adviento","ta", E925="Navidad","tn", E925="Epifania","te", E925="Ordinario","to", E925="Cuaresma","tc", E925="Domingo De Ramos","tc", E925="Semana Santa","ss", E925="Triduo Pascual","tp", E925="Vigilia Pascual","tp", E925="Pascual","tp")</f>
        <v>ta</v>
      </c>
      <c r="B925" s="14" t="str">
        <f t="shared" si="141"/>
        <v>/* JUNIO        */</v>
      </c>
      <c r="C925" s="15">
        <f t="shared" si="136"/>
        <v>46565</v>
      </c>
      <c r="D925" s="9">
        <f t="shared" si="137"/>
        <v>46565</v>
      </c>
      <c r="E925" t="s">
        <v>46</v>
      </c>
      <c r="F925" t="s">
        <v>43</v>
      </c>
      <c r="G925">
        <v>1</v>
      </c>
      <c r="I925" s="11">
        <f t="shared" si="138"/>
        <v>46565</v>
      </c>
      <c r="J925" t="s">
        <v>44</v>
      </c>
      <c r="K925" t="str">
        <f t="shared" si="139"/>
        <v>/* JUNIO        */ { nombre: "Adviento, Semana I, DOMINGO", archivo: "/ev/ta/1/domingo.mp3", fecha: `${year}-06-27` },</v>
      </c>
      <c r="L925" s="10">
        <f t="shared" si="140"/>
        <v>46565</v>
      </c>
    </row>
    <row r="926" spans="1:12" hidden="1" x14ac:dyDescent="0.25">
      <c r="A926" t="str" cm="1">
        <f t="array" ref="A926">_xlfn.IFS(E926="Adviento","ta", E926="Navidad","tn", E926="Epifania","te", E926="Ordinario","to", E926="Cuaresma","tc", E926="Domingo De Ramos","tc", E926="Semana Santa","ss", E926="Triduo Pascual","tp", E926="Vigilia Pascual","tp", E926="Pascual","tp")</f>
        <v>ta</v>
      </c>
      <c r="B926" s="14" t="str">
        <f t="shared" si="141"/>
        <v>/* JUNIO        */</v>
      </c>
      <c r="C926" s="15">
        <f t="shared" si="136"/>
        <v>46566</v>
      </c>
      <c r="D926" s="9">
        <f t="shared" si="137"/>
        <v>46566</v>
      </c>
      <c r="E926" t="s">
        <v>46</v>
      </c>
      <c r="F926" t="s">
        <v>43</v>
      </c>
      <c r="G926">
        <v>1</v>
      </c>
      <c r="I926" s="11">
        <f t="shared" si="138"/>
        <v>46566</v>
      </c>
      <c r="J926" t="s">
        <v>44</v>
      </c>
      <c r="K926" t="str">
        <f t="shared" si="139"/>
        <v>/* JUNIO        */ { nombre: "Adviento, Semana I, LUNES", archivo: "/ev/ta/1/lunes.mp3", fecha: `${year}-06-28` },</v>
      </c>
      <c r="L926" s="10">
        <f t="shared" si="140"/>
        <v>46566</v>
      </c>
    </row>
    <row r="927" spans="1:12" hidden="1" x14ac:dyDescent="0.25">
      <c r="A927" t="str" cm="1">
        <f t="array" ref="A927">_xlfn.IFS(E927="Adviento","ta", E927="Navidad","tn", E927="Epifania","te", E927="Ordinario","to", E927="Cuaresma","tc", E927="Domingo De Ramos","tc", E927="Semana Santa","ss", E927="Triduo Pascual","tp", E927="Vigilia Pascual","tp", E927="Pascual","tp")</f>
        <v>ta</v>
      </c>
      <c r="B927" s="14" t="str">
        <f t="shared" si="141"/>
        <v>/* JUNIO        */</v>
      </c>
      <c r="C927" s="15">
        <f t="shared" si="136"/>
        <v>46567</v>
      </c>
      <c r="D927" s="9">
        <f t="shared" si="137"/>
        <v>46567</v>
      </c>
      <c r="E927" t="s">
        <v>46</v>
      </c>
      <c r="F927" t="s">
        <v>43</v>
      </c>
      <c r="G927">
        <v>1</v>
      </c>
      <c r="I927" s="11">
        <f t="shared" si="138"/>
        <v>46567</v>
      </c>
      <c r="J927" t="s">
        <v>44</v>
      </c>
      <c r="K927" t="str">
        <f t="shared" si="139"/>
        <v>/* JUNIO        */ { nombre: "Adviento, Semana I, MARTES", archivo: "/ev/ta/1/martes.mp3", fecha: `${year}-06-29` },</v>
      </c>
      <c r="L927" s="10">
        <f t="shared" si="140"/>
        <v>46567</v>
      </c>
    </row>
    <row r="928" spans="1:12" hidden="1" x14ac:dyDescent="0.25">
      <c r="A928" t="str" cm="1">
        <f t="array" ref="A928">_xlfn.IFS(E928="Adviento","ta", E928="Navidad","tn", E928="Epifania","te", E928="Ordinario","to", E928="Cuaresma","tc", E928="Domingo De Ramos","tc", E928="Semana Santa","ss", E928="Triduo Pascual","tp", E928="Vigilia Pascual","tp", E928="Pascual","tp")</f>
        <v>ta</v>
      </c>
      <c r="B928" s="14" t="str">
        <f t="shared" si="141"/>
        <v>/* JUNIO        */</v>
      </c>
      <c r="C928" s="15">
        <f t="shared" si="136"/>
        <v>46568</v>
      </c>
      <c r="D928" s="9">
        <f t="shared" si="137"/>
        <v>46568</v>
      </c>
      <c r="E928" t="s">
        <v>46</v>
      </c>
      <c r="F928" t="s">
        <v>43</v>
      </c>
      <c r="G928">
        <v>1</v>
      </c>
      <c r="I928" s="11">
        <f t="shared" si="138"/>
        <v>46568</v>
      </c>
      <c r="J928" t="s">
        <v>44</v>
      </c>
      <c r="K928" t="str">
        <f t="shared" si="139"/>
        <v>/* JUNIO        */ { nombre: "Adviento, Semana I, MIÉRCOLES", archivo: "/ev/ta/1/miércoles.mp3", fecha: `${year}-06-30` },</v>
      </c>
      <c r="L928" s="10">
        <f t="shared" si="140"/>
        <v>46568</v>
      </c>
    </row>
    <row r="929" spans="1:12" hidden="1" x14ac:dyDescent="0.25">
      <c r="A929" t="str" cm="1">
        <f t="array" ref="A929">_xlfn.IFS(E929="Adviento","ta", E929="Navidad","tn", E929="Epifania","te", E929="Ordinario","to", E929="Cuaresma","tc", E929="Domingo De Ramos","tc", E929="Semana Santa","ss", E929="Triduo Pascual","tp", E929="Vigilia Pascual","tp", E929="Pascual","tp")</f>
        <v>ta</v>
      </c>
      <c r="B929" s="14" t="str">
        <f t="shared" si="141"/>
        <v>/* JULIO        */</v>
      </c>
      <c r="C929" s="15">
        <f t="shared" si="136"/>
        <v>46569</v>
      </c>
      <c r="D929" s="9">
        <f t="shared" si="137"/>
        <v>46569</v>
      </c>
      <c r="E929" t="s">
        <v>46</v>
      </c>
      <c r="F929" t="s">
        <v>43</v>
      </c>
      <c r="G929">
        <v>1</v>
      </c>
      <c r="I929" s="11">
        <f t="shared" si="138"/>
        <v>46569</v>
      </c>
      <c r="J929" t="s">
        <v>44</v>
      </c>
      <c r="K929" t="str">
        <f t="shared" si="139"/>
        <v>/* JULIO        */ { nombre: "Adviento, Semana I, JUEVES", archivo: "/ev/ta/1/jueves.mp3", fecha: `${year}-07-01` },</v>
      </c>
      <c r="L929" s="10">
        <f t="shared" si="140"/>
        <v>46569</v>
      </c>
    </row>
    <row r="930" spans="1:12" hidden="1" x14ac:dyDescent="0.25">
      <c r="A930" t="str" cm="1">
        <f t="array" ref="A930">_xlfn.IFS(E930="Adviento","ta", E930="Navidad","tn", E930="Epifania","te", E930="Ordinario","to", E930="Cuaresma","tc", E930="Domingo De Ramos","tc", E930="Semana Santa","ss", E930="Triduo Pascual","tp", E930="Vigilia Pascual","tp", E930="Pascual","tp")</f>
        <v>ta</v>
      </c>
      <c r="B930" s="14" t="str">
        <f t="shared" si="141"/>
        <v>/* JULIO        */</v>
      </c>
      <c r="C930" s="15">
        <f t="shared" si="136"/>
        <v>46570</v>
      </c>
      <c r="D930" s="9">
        <f t="shared" si="137"/>
        <v>46570</v>
      </c>
      <c r="E930" t="s">
        <v>46</v>
      </c>
      <c r="F930" t="s">
        <v>43</v>
      </c>
      <c r="G930">
        <v>1</v>
      </c>
      <c r="I930" s="11">
        <f t="shared" si="138"/>
        <v>46570</v>
      </c>
      <c r="J930" t="s">
        <v>44</v>
      </c>
      <c r="K930" t="str">
        <f t="shared" si="139"/>
        <v>/* JULIO        */ { nombre: "Adviento, Semana I, VIERNES", archivo: "/ev/ta/1/viernes.mp3", fecha: `${year}-07-02` },</v>
      </c>
      <c r="L930" s="10">
        <f t="shared" si="140"/>
        <v>46570</v>
      </c>
    </row>
    <row r="931" spans="1:12" hidden="1" x14ac:dyDescent="0.25">
      <c r="A931" t="str" cm="1">
        <f t="array" ref="A931">_xlfn.IFS(E931="Adviento","ta", E931="Navidad","tn", E931="Epifania","te", E931="Ordinario","to", E931="Cuaresma","tc", E931="Domingo De Ramos","tc", E931="Semana Santa","ss", E931="Triduo Pascual","tp", E931="Vigilia Pascual","tp", E931="Pascual","tp")</f>
        <v>ta</v>
      </c>
      <c r="B931" s="14" t="str">
        <f t="shared" si="141"/>
        <v>/* JULIO        */</v>
      </c>
      <c r="C931" s="15">
        <f t="shared" si="136"/>
        <v>46571</v>
      </c>
      <c r="D931" s="9">
        <f t="shared" si="137"/>
        <v>46571</v>
      </c>
      <c r="E931" t="s">
        <v>46</v>
      </c>
      <c r="F931" t="s">
        <v>43</v>
      </c>
      <c r="G931">
        <v>1</v>
      </c>
      <c r="I931" s="11">
        <f t="shared" si="138"/>
        <v>46571</v>
      </c>
      <c r="J931" t="s">
        <v>44</v>
      </c>
      <c r="K931" t="str">
        <f t="shared" si="139"/>
        <v>/* JULIO        */ { nombre: "Adviento, Semana I, SÁBADO", archivo: "/ev/ta/1/sábado.mp3", fecha: `${year}-07-03` },</v>
      </c>
      <c r="L931" s="10">
        <f t="shared" si="140"/>
        <v>46571</v>
      </c>
    </row>
    <row r="932" spans="1:12" hidden="1" x14ac:dyDescent="0.25">
      <c r="A932" t="str" cm="1">
        <f t="array" ref="A932">_xlfn.IFS(E932="Adviento","ta", E932="Navidad","tn", E932="Epifania","te", E932="Ordinario","to", E932="Cuaresma","tc", E932="Domingo De Ramos","tc", E932="Semana Santa","ss", E932="Triduo Pascual","tp", E932="Vigilia Pascual","tp", E932="Pascual","tp")</f>
        <v>ta</v>
      </c>
      <c r="B932" s="14" t="str">
        <f t="shared" si="141"/>
        <v>/* JULIO        */</v>
      </c>
      <c r="C932" s="15">
        <f t="shared" si="136"/>
        <v>46572</v>
      </c>
      <c r="D932" s="9">
        <f t="shared" si="137"/>
        <v>46572</v>
      </c>
      <c r="E932" t="s">
        <v>46</v>
      </c>
      <c r="F932" t="s">
        <v>43</v>
      </c>
      <c r="G932">
        <v>1</v>
      </c>
      <c r="I932" s="11">
        <f t="shared" si="138"/>
        <v>46572</v>
      </c>
      <c r="J932" t="s">
        <v>44</v>
      </c>
      <c r="K932" t="str">
        <f t="shared" si="139"/>
        <v>/* JULIO        */ { nombre: "Adviento, Semana I, DOMINGO", archivo: "/ev/ta/1/domingo.mp3", fecha: `${year}-07-04` },</v>
      </c>
      <c r="L932" s="10">
        <f t="shared" si="140"/>
        <v>46572</v>
      </c>
    </row>
    <row r="933" spans="1:12" hidden="1" x14ac:dyDescent="0.25">
      <c r="A933" t="str" cm="1">
        <f t="array" ref="A933">_xlfn.IFS(E933="Adviento","ta", E933="Navidad","tn", E933="Epifania","te", E933="Ordinario","to", E933="Cuaresma","tc", E933="Domingo De Ramos","tc", E933="Semana Santa","ss", E933="Triduo Pascual","tp", E933="Vigilia Pascual","tp", E933="Pascual","tp")</f>
        <v>ta</v>
      </c>
      <c r="B933" s="14" t="str">
        <f t="shared" si="141"/>
        <v>/* JULIO        */</v>
      </c>
      <c r="C933" s="15">
        <f t="shared" si="136"/>
        <v>46573</v>
      </c>
      <c r="D933" s="9">
        <f t="shared" si="137"/>
        <v>46573</v>
      </c>
      <c r="E933" t="s">
        <v>46</v>
      </c>
      <c r="F933" t="s">
        <v>43</v>
      </c>
      <c r="G933">
        <v>1</v>
      </c>
      <c r="I933" s="11">
        <f t="shared" si="138"/>
        <v>46573</v>
      </c>
      <c r="J933" t="s">
        <v>44</v>
      </c>
      <c r="K933" t="str">
        <f t="shared" si="139"/>
        <v>/* JULIO        */ { nombre: "Adviento, Semana I, LUNES", archivo: "/ev/ta/1/lunes.mp3", fecha: `${year}-07-05` },</v>
      </c>
      <c r="L933" s="10">
        <f t="shared" si="140"/>
        <v>46573</v>
      </c>
    </row>
    <row r="934" spans="1:12" hidden="1" x14ac:dyDescent="0.25">
      <c r="A934" t="str" cm="1">
        <f t="array" ref="A934">_xlfn.IFS(E934="Adviento","ta", E934="Navidad","tn", E934="Epifania","te", E934="Ordinario","to", E934="Cuaresma","tc", E934="Domingo De Ramos","tc", E934="Semana Santa","ss", E934="Triduo Pascual","tp", E934="Vigilia Pascual","tp", E934="Pascual","tp")</f>
        <v>ta</v>
      </c>
      <c r="B934" s="14" t="str">
        <f t="shared" si="141"/>
        <v>/* JULIO        */</v>
      </c>
      <c r="C934" s="15">
        <f t="shared" si="136"/>
        <v>46574</v>
      </c>
      <c r="D934" s="9">
        <f t="shared" si="137"/>
        <v>46574</v>
      </c>
      <c r="E934" t="s">
        <v>46</v>
      </c>
      <c r="F934" t="s">
        <v>43</v>
      </c>
      <c r="G934">
        <v>1</v>
      </c>
      <c r="I934" s="11">
        <f t="shared" si="138"/>
        <v>46574</v>
      </c>
      <c r="J934" t="s">
        <v>44</v>
      </c>
      <c r="K934" t="str">
        <f t="shared" si="139"/>
        <v>/* JULIO        */ { nombre: "Adviento, Semana I, MARTES", archivo: "/ev/ta/1/martes.mp3", fecha: `${year}-07-06` },</v>
      </c>
      <c r="L934" s="10">
        <f t="shared" si="140"/>
        <v>46574</v>
      </c>
    </row>
    <row r="935" spans="1:12" hidden="1" x14ac:dyDescent="0.25">
      <c r="A935" t="str" cm="1">
        <f t="array" ref="A935">_xlfn.IFS(E935="Adviento","ta", E935="Navidad","tn", E935="Epifania","te", E935="Ordinario","to", E935="Cuaresma","tc", E935="Domingo De Ramos","tc", E935="Semana Santa","ss", E935="Triduo Pascual","tp", E935="Vigilia Pascual","tp", E935="Pascual","tp")</f>
        <v>ta</v>
      </c>
      <c r="B935" s="14" t="str">
        <f t="shared" si="141"/>
        <v>/* JULIO        */</v>
      </c>
      <c r="C935" s="15">
        <f t="shared" si="136"/>
        <v>46575</v>
      </c>
      <c r="D935" s="9">
        <f t="shared" si="137"/>
        <v>46575</v>
      </c>
      <c r="E935" t="s">
        <v>46</v>
      </c>
      <c r="F935" t="s">
        <v>43</v>
      </c>
      <c r="G935">
        <v>1</v>
      </c>
      <c r="I935" s="11">
        <f t="shared" si="138"/>
        <v>46575</v>
      </c>
      <c r="J935" t="s">
        <v>44</v>
      </c>
      <c r="K935" t="str">
        <f t="shared" si="139"/>
        <v>/* JULIO        */ { nombre: "Adviento, Semana I, MIÉRCOLES", archivo: "/ev/ta/1/miércoles.mp3", fecha: `${year}-07-07` },</v>
      </c>
      <c r="L935" s="10">
        <f t="shared" si="140"/>
        <v>46575</v>
      </c>
    </row>
    <row r="936" spans="1:12" hidden="1" x14ac:dyDescent="0.25">
      <c r="A936" t="str" cm="1">
        <f t="array" ref="A936">_xlfn.IFS(E936="Adviento","ta", E936="Navidad","tn", E936="Epifania","te", E936="Ordinario","to", E936="Cuaresma","tc", E936="Domingo De Ramos","tc", E936="Semana Santa","ss", E936="Triduo Pascual","tp", E936="Vigilia Pascual","tp", E936="Pascual","tp")</f>
        <v>ta</v>
      </c>
      <c r="B936" s="14" t="str">
        <f t="shared" si="141"/>
        <v>/* JULIO        */</v>
      </c>
      <c r="C936" s="15">
        <f t="shared" si="136"/>
        <v>46576</v>
      </c>
      <c r="D936" s="9">
        <f t="shared" si="137"/>
        <v>46576</v>
      </c>
      <c r="E936" t="s">
        <v>46</v>
      </c>
      <c r="F936" t="s">
        <v>43</v>
      </c>
      <c r="G936">
        <v>1</v>
      </c>
      <c r="I936" s="11">
        <f t="shared" si="138"/>
        <v>46576</v>
      </c>
      <c r="J936" t="s">
        <v>44</v>
      </c>
      <c r="K936" t="str">
        <f t="shared" si="139"/>
        <v>/* JULIO        */ { nombre: "Adviento, Semana I, JUEVES", archivo: "/ev/ta/1/jueves.mp3", fecha: `${year}-07-08` },</v>
      </c>
      <c r="L936" s="10">
        <f t="shared" si="140"/>
        <v>46576</v>
      </c>
    </row>
    <row r="937" spans="1:12" hidden="1" x14ac:dyDescent="0.25">
      <c r="A937" t="str" cm="1">
        <f t="array" ref="A937">_xlfn.IFS(E937="Adviento","ta", E937="Navidad","tn", E937="Epifania","te", E937="Ordinario","to", E937="Cuaresma","tc", E937="Domingo De Ramos","tc", E937="Semana Santa","ss", E937="Triduo Pascual","tp", E937="Vigilia Pascual","tp", E937="Pascual","tp")</f>
        <v>ta</v>
      </c>
      <c r="B937" s="14" t="str">
        <f t="shared" si="141"/>
        <v>/* JULIO        */</v>
      </c>
      <c r="C937" s="15">
        <f t="shared" si="136"/>
        <v>46577</v>
      </c>
      <c r="D937" s="9">
        <f t="shared" si="137"/>
        <v>46577</v>
      </c>
      <c r="E937" t="s">
        <v>46</v>
      </c>
      <c r="F937" t="s">
        <v>43</v>
      </c>
      <c r="G937">
        <v>1</v>
      </c>
      <c r="I937" s="11">
        <f t="shared" si="138"/>
        <v>46577</v>
      </c>
      <c r="J937" t="s">
        <v>44</v>
      </c>
      <c r="K937" t="str">
        <f t="shared" si="139"/>
        <v>/* JULIO        */ { nombre: "Adviento, Semana I, VIERNES", archivo: "/ev/ta/1/viernes.mp3", fecha: `${year}-07-09` },</v>
      </c>
      <c r="L937" s="10">
        <f t="shared" si="140"/>
        <v>46577</v>
      </c>
    </row>
    <row r="938" spans="1:12" hidden="1" x14ac:dyDescent="0.25">
      <c r="A938" t="str" cm="1">
        <f t="array" ref="A938">_xlfn.IFS(E938="Adviento","ta", E938="Navidad","tn", E938="Epifania","te", E938="Ordinario","to", E938="Cuaresma","tc", E938="Domingo De Ramos","tc", E938="Semana Santa","ss", E938="Triduo Pascual","tp", E938="Vigilia Pascual","tp", E938="Pascual","tp")</f>
        <v>ta</v>
      </c>
      <c r="B938" s="14" t="str">
        <f t="shared" si="141"/>
        <v>/* JULIO        */</v>
      </c>
      <c r="C938" s="15">
        <f t="shared" si="136"/>
        <v>46578</v>
      </c>
      <c r="D938" s="9">
        <f t="shared" si="137"/>
        <v>46578</v>
      </c>
      <c r="E938" t="s">
        <v>46</v>
      </c>
      <c r="F938" t="s">
        <v>43</v>
      </c>
      <c r="G938">
        <v>1</v>
      </c>
      <c r="I938" s="11">
        <f t="shared" si="138"/>
        <v>46578</v>
      </c>
      <c r="J938" t="s">
        <v>44</v>
      </c>
      <c r="K938" t="str">
        <f t="shared" si="139"/>
        <v>/* JULIO        */ { nombre: "Adviento, Semana I, SÁBADO", archivo: "/ev/ta/1/sábado.mp3", fecha: `${year}-07-10` },</v>
      </c>
      <c r="L938" s="10">
        <f t="shared" si="140"/>
        <v>46578</v>
      </c>
    </row>
    <row r="939" spans="1:12" hidden="1" x14ac:dyDescent="0.25">
      <c r="A939" t="str" cm="1">
        <f t="array" ref="A939">_xlfn.IFS(E939="Adviento","ta", E939="Navidad","tn", E939="Epifania","te", E939="Ordinario","to", E939="Cuaresma","tc", E939="Domingo De Ramos","tc", E939="Semana Santa","ss", E939="Triduo Pascual","tp", E939="Vigilia Pascual","tp", E939="Pascual","tp")</f>
        <v>ta</v>
      </c>
      <c r="B939" s="14" t="str">
        <f t="shared" si="141"/>
        <v>/* JULIO        */</v>
      </c>
      <c r="C939" s="15">
        <f t="shared" si="136"/>
        <v>46579</v>
      </c>
      <c r="D939" s="9">
        <f t="shared" si="137"/>
        <v>46579</v>
      </c>
      <c r="E939" t="s">
        <v>46</v>
      </c>
      <c r="F939" t="s">
        <v>43</v>
      </c>
      <c r="G939">
        <v>1</v>
      </c>
      <c r="I939" s="11">
        <f t="shared" si="138"/>
        <v>46579</v>
      </c>
      <c r="J939" t="s">
        <v>44</v>
      </c>
      <c r="K939" t="str">
        <f t="shared" si="139"/>
        <v>/* JULIO        */ { nombre: "Adviento, Semana I, DOMINGO", archivo: "/ev/ta/1/domingo.mp3", fecha: `${year}-07-11` },</v>
      </c>
      <c r="L939" s="10">
        <f t="shared" si="140"/>
        <v>46579</v>
      </c>
    </row>
    <row r="940" spans="1:12" hidden="1" x14ac:dyDescent="0.25">
      <c r="A940" t="str" cm="1">
        <f t="array" ref="A940">_xlfn.IFS(E940="Adviento","ta", E940="Navidad","tn", E940="Epifania","te", E940="Ordinario","to", E940="Cuaresma","tc", E940="Domingo De Ramos","tc", E940="Semana Santa","ss", E940="Triduo Pascual","tp", E940="Vigilia Pascual","tp", E940="Pascual","tp")</f>
        <v>ta</v>
      </c>
      <c r="B940" s="14" t="str">
        <f t="shared" si="141"/>
        <v>/* JULIO        */</v>
      </c>
      <c r="C940" s="15">
        <f t="shared" si="136"/>
        <v>46580</v>
      </c>
      <c r="D940" s="9">
        <f t="shared" si="137"/>
        <v>46580</v>
      </c>
      <c r="E940" t="s">
        <v>46</v>
      </c>
      <c r="F940" t="s">
        <v>43</v>
      </c>
      <c r="G940">
        <v>1</v>
      </c>
      <c r="I940" s="11">
        <f t="shared" si="138"/>
        <v>46580</v>
      </c>
      <c r="J940" t="s">
        <v>44</v>
      </c>
      <c r="K940" t="str">
        <f t="shared" si="139"/>
        <v>/* JULIO        */ { nombre: "Adviento, Semana I, LUNES", archivo: "/ev/ta/1/lunes.mp3", fecha: `${year}-07-12` },</v>
      </c>
      <c r="L940" s="10">
        <f t="shared" si="140"/>
        <v>46580</v>
      </c>
    </row>
    <row r="941" spans="1:12" hidden="1" x14ac:dyDescent="0.25">
      <c r="A941" t="str" cm="1">
        <f t="array" ref="A941">_xlfn.IFS(E941="Adviento","ta", E941="Navidad","tn", E941="Epifania","te", E941="Ordinario","to", E941="Cuaresma","tc", E941="Domingo De Ramos","tc", E941="Semana Santa","ss", E941="Triduo Pascual","tp", E941="Vigilia Pascual","tp", E941="Pascual","tp")</f>
        <v>ta</v>
      </c>
      <c r="B941" s="14" t="str">
        <f t="shared" si="141"/>
        <v>/* JULIO        */</v>
      </c>
      <c r="C941" s="15">
        <f t="shared" si="136"/>
        <v>46581</v>
      </c>
      <c r="D941" s="9">
        <f t="shared" si="137"/>
        <v>46581</v>
      </c>
      <c r="E941" t="s">
        <v>46</v>
      </c>
      <c r="F941" t="s">
        <v>43</v>
      </c>
      <c r="G941">
        <v>1</v>
      </c>
      <c r="I941" s="11">
        <f t="shared" si="138"/>
        <v>46581</v>
      </c>
      <c r="J941" t="s">
        <v>44</v>
      </c>
      <c r="K941" t="str">
        <f t="shared" si="139"/>
        <v>/* JULIO        */ { nombre: "Adviento, Semana I, MARTES", archivo: "/ev/ta/1/martes.mp3", fecha: `${year}-07-13` },</v>
      </c>
      <c r="L941" s="10">
        <f t="shared" si="140"/>
        <v>46581</v>
      </c>
    </row>
    <row r="942" spans="1:12" hidden="1" x14ac:dyDescent="0.25">
      <c r="A942" t="str" cm="1">
        <f t="array" ref="A942">_xlfn.IFS(E942="Adviento","ta", E942="Navidad","tn", E942="Epifania","te", E942="Ordinario","to", E942="Cuaresma","tc", E942="Domingo De Ramos","tc", E942="Semana Santa","ss", E942="Triduo Pascual","tp", E942="Vigilia Pascual","tp", E942="Pascual","tp")</f>
        <v>ta</v>
      </c>
      <c r="B942" s="14" t="str">
        <f t="shared" si="141"/>
        <v>/* JULIO        */</v>
      </c>
      <c r="C942" s="15">
        <f t="shared" si="136"/>
        <v>46582</v>
      </c>
      <c r="D942" s="9">
        <f t="shared" si="137"/>
        <v>46582</v>
      </c>
      <c r="E942" t="s">
        <v>46</v>
      </c>
      <c r="F942" t="s">
        <v>43</v>
      </c>
      <c r="G942">
        <v>1</v>
      </c>
      <c r="I942" s="11">
        <f t="shared" si="138"/>
        <v>46582</v>
      </c>
      <c r="J942" t="s">
        <v>44</v>
      </c>
      <c r="K942" t="str">
        <f t="shared" si="139"/>
        <v>/* JULIO        */ { nombre: "Adviento, Semana I, MIÉRCOLES", archivo: "/ev/ta/1/miércoles.mp3", fecha: `${year}-07-14` },</v>
      </c>
      <c r="L942" s="10">
        <f t="shared" si="140"/>
        <v>46582</v>
      </c>
    </row>
    <row r="943" spans="1:12" hidden="1" x14ac:dyDescent="0.25">
      <c r="A943" t="str" cm="1">
        <f t="array" ref="A943">_xlfn.IFS(E943="Adviento","ta", E943="Navidad","tn", E943="Epifania","te", E943="Ordinario","to", E943="Cuaresma","tc", E943="Domingo De Ramos","tc", E943="Semana Santa","ss", E943="Triduo Pascual","tp", E943="Vigilia Pascual","tp", E943="Pascual","tp")</f>
        <v>ta</v>
      </c>
      <c r="B943" s="14" t="str">
        <f t="shared" si="141"/>
        <v>/* JULIO        */</v>
      </c>
      <c r="C943" s="15">
        <f t="shared" si="136"/>
        <v>46583</v>
      </c>
      <c r="D943" s="9">
        <f t="shared" si="137"/>
        <v>46583</v>
      </c>
      <c r="E943" t="s">
        <v>46</v>
      </c>
      <c r="F943" t="s">
        <v>43</v>
      </c>
      <c r="G943">
        <v>1</v>
      </c>
      <c r="I943" s="11">
        <f t="shared" si="138"/>
        <v>46583</v>
      </c>
      <c r="J943" t="s">
        <v>44</v>
      </c>
      <c r="K943" t="str">
        <f t="shared" si="139"/>
        <v>/* JULIO        */ { nombre: "Adviento, Semana I, JUEVES", archivo: "/ev/ta/1/jueves.mp3", fecha: `${year}-07-15` },</v>
      </c>
      <c r="L943" s="10">
        <f t="shared" si="140"/>
        <v>46583</v>
      </c>
    </row>
    <row r="944" spans="1:12" hidden="1" x14ac:dyDescent="0.25">
      <c r="A944" t="str" cm="1">
        <f t="array" ref="A944">_xlfn.IFS(E944="Adviento","ta", E944="Navidad","tn", E944="Epifania","te", E944="Ordinario","to", E944="Cuaresma","tc", E944="Domingo De Ramos","tc", E944="Semana Santa","ss", E944="Triduo Pascual","tp", E944="Vigilia Pascual","tp", E944="Pascual","tp")</f>
        <v>ta</v>
      </c>
      <c r="B944" s="14" t="str">
        <f t="shared" si="141"/>
        <v>/* JULIO        */</v>
      </c>
      <c r="C944" s="15">
        <f t="shared" si="136"/>
        <v>46584</v>
      </c>
      <c r="D944" s="9">
        <f t="shared" si="137"/>
        <v>46584</v>
      </c>
      <c r="E944" t="s">
        <v>46</v>
      </c>
      <c r="F944" t="s">
        <v>43</v>
      </c>
      <c r="G944">
        <v>1</v>
      </c>
      <c r="I944" s="11">
        <f t="shared" si="138"/>
        <v>46584</v>
      </c>
      <c r="J944" t="s">
        <v>44</v>
      </c>
      <c r="K944" t="str">
        <f t="shared" si="139"/>
        <v>/* JULIO        */ { nombre: "Adviento, Semana I, VIERNES", archivo: "/ev/ta/1/viernes.mp3", fecha: `${year}-07-16` },</v>
      </c>
      <c r="L944" s="10">
        <f t="shared" si="140"/>
        <v>46584</v>
      </c>
    </row>
    <row r="945" spans="1:12" hidden="1" x14ac:dyDescent="0.25">
      <c r="A945" t="str" cm="1">
        <f t="array" ref="A945">_xlfn.IFS(E945="Adviento","ta", E945="Navidad","tn", E945="Epifania","te", E945="Ordinario","to", E945="Cuaresma","tc", E945="Domingo De Ramos","tc", E945="Semana Santa","ss", E945="Triduo Pascual","tp", E945="Vigilia Pascual","tp", E945="Pascual","tp")</f>
        <v>ta</v>
      </c>
      <c r="B945" s="14" t="str">
        <f t="shared" si="141"/>
        <v>/* JULIO        */</v>
      </c>
      <c r="C945" s="15">
        <f t="shared" si="136"/>
        <v>46585</v>
      </c>
      <c r="D945" s="9">
        <f t="shared" si="137"/>
        <v>46585</v>
      </c>
      <c r="E945" t="s">
        <v>46</v>
      </c>
      <c r="F945" t="s">
        <v>43</v>
      </c>
      <c r="G945">
        <v>1</v>
      </c>
      <c r="I945" s="11">
        <f t="shared" si="138"/>
        <v>46585</v>
      </c>
      <c r="J945" t="s">
        <v>44</v>
      </c>
      <c r="K945" t="str">
        <f t="shared" si="139"/>
        <v>/* JULIO        */ { nombre: "Adviento, Semana I, SÁBADO", archivo: "/ev/ta/1/sábado.mp3", fecha: `${year}-07-17` },</v>
      </c>
      <c r="L945" s="10">
        <f t="shared" si="140"/>
        <v>46585</v>
      </c>
    </row>
    <row r="946" spans="1:12" hidden="1" x14ac:dyDescent="0.25">
      <c r="A946" t="str" cm="1">
        <f t="array" ref="A946">_xlfn.IFS(E946="Adviento","ta", E946="Navidad","tn", E946="Epifania","te", E946="Ordinario","to", E946="Cuaresma","tc", E946="Domingo De Ramos","tc", E946="Semana Santa","ss", E946="Triduo Pascual","tp", E946="Vigilia Pascual","tp", E946="Pascual","tp")</f>
        <v>ta</v>
      </c>
      <c r="B946" s="14" t="str">
        <f t="shared" si="141"/>
        <v>/* JULIO        */</v>
      </c>
      <c r="C946" s="15">
        <f t="shared" si="136"/>
        <v>46586</v>
      </c>
      <c r="D946" s="9">
        <f t="shared" si="137"/>
        <v>46586</v>
      </c>
      <c r="E946" t="s">
        <v>46</v>
      </c>
      <c r="F946" t="s">
        <v>43</v>
      </c>
      <c r="G946">
        <v>1</v>
      </c>
      <c r="I946" s="11">
        <f t="shared" si="138"/>
        <v>46586</v>
      </c>
      <c r="J946" t="s">
        <v>44</v>
      </c>
      <c r="K946" t="str">
        <f t="shared" si="139"/>
        <v>/* JULIO        */ { nombre: "Adviento, Semana I, DOMINGO", archivo: "/ev/ta/1/domingo.mp3", fecha: `${year}-07-18` },</v>
      </c>
      <c r="L946" s="10">
        <f t="shared" si="140"/>
        <v>46586</v>
      </c>
    </row>
    <row r="947" spans="1:12" hidden="1" x14ac:dyDescent="0.25">
      <c r="A947" t="str" cm="1">
        <f t="array" ref="A947">_xlfn.IFS(E947="Adviento","ta", E947="Navidad","tn", E947="Epifania","te", E947="Ordinario","to", E947="Cuaresma","tc", E947="Domingo De Ramos","tc", E947="Semana Santa","ss", E947="Triduo Pascual","tp", E947="Vigilia Pascual","tp", E947="Pascual","tp")</f>
        <v>ta</v>
      </c>
      <c r="B947" s="14" t="str">
        <f t="shared" si="141"/>
        <v>/* JULIO        */</v>
      </c>
      <c r="C947" s="15">
        <f t="shared" si="136"/>
        <v>46587</v>
      </c>
      <c r="D947" s="9">
        <f t="shared" si="137"/>
        <v>46587</v>
      </c>
      <c r="E947" t="s">
        <v>46</v>
      </c>
      <c r="F947" t="s">
        <v>43</v>
      </c>
      <c r="G947">
        <v>1</v>
      </c>
      <c r="I947" s="11">
        <f t="shared" si="138"/>
        <v>46587</v>
      </c>
      <c r="J947" t="s">
        <v>44</v>
      </c>
      <c r="K947" t="str">
        <f t="shared" si="139"/>
        <v>/* JULIO        */ { nombre: "Adviento, Semana I, LUNES", archivo: "/ev/ta/1/lunes.mp3", fecha: `${year}-07-19` },</v>
      </c>
      <c r="L947" s="10">
        <f t="shared" si="140"/>
        <v>46587</v>
      </c>
    </row>
    <row r="948" spans="1:12" hidden="1" x14ac:dyDescent="0.25">
      <c r="A948" t="str" cm="1">
        <f t="array" ref="A948">_xlfn.IFS(E948="Adviento","ta", E948="Navidad","tn", E948="Epifania","te", E948="Ordinario","to", E948="Cuaresma","tc", E948="Domingo De Ramos","tc", E948="Semana Santa","ss", E948="Triduo Pascual","tp", E948="Vigilia Pascual","tp", E948="Pascual","tp")</f>
        <v>ta</v>
      </c>
      <c r="B948" s="14" t="str">
        <f t="shared" si="141"/>
        <v>/* JULIO        */</v>
      </c>
      <c r="C948" s="15">
        <f t="shared" si="136"/>
        <v>46588</v>
      </c>
      <c r="D948" s="9">
        <f t="shared" si="137"/>
        <v>46588</v>
      </c>
      <c r="E948" t="s">
        <v>46</v>
      </c>
      <c r="F948" t="s">
        <v>43</v>
      </c>
      <c r="G948">
        <v>1</v>
      </c>
      <c r="I948" s="11">
        <f t="shared" si="138"/>
        <v>46588</v>
      </c>
      <c r="J948" t="s">
        <v>44</v>
      </c>
      <c r="K948" t="str">
        <f t="shared" si="139"/>
        <v>/* JULIO        */ { nombre: "Adviento, Semana I, MARTES", archivo: "/ev/ta/1/martes.mp3", fecha: `${year}-07-20` },</v>
      </c>
      <c r="L948" s="10">
        <f t="shared" si="140"/>
        <v>46588</v>
      </c>
    </row>
    <row r="949" spans="1:12" hidden="1" x14ac:dyDescent="0.25">
      <c r="A949" t="str" cm="1">
        <f t="array" ref="A949">_xlfn.IFS(E949="Adviento","ta", E949="Navidad","tn", E949="Epifania","te", E949="Ordinario","to", E949="Cuaresma","tc", E949="Domingo De Ramos","tc", E949="Semana Santa","ss", E949="Triduo Pascual","tp", E949="Vigilia Pascual","tp", E949="Pascual","tp")</f>
        <v>ta</v>
      </c>
      <c r="B949" s="14" t="str">
        <f t="shared" si="141"/>
        <v>/* JULIO        */</v>
      </c>
      <c r="C949" s="15">
        <f t="shared" ref="C949:C1012" si="142">+C948+1</f>
        <v>46589</v>
      </c>
      <c r="D949" s="9">
        <f t="shared" ref="D949:D1012" si="143">+D948+1</f>
        <v>46589</v>
      </c>
      <c r="E949" t="s">
        <v>46</v>
      </c>
      <c r="F949" t="s">
        <v>43</v>
      </c>
      <c r="G949">
        <v>1</v>
      </c>
      <c r="I949" s="11">
        <f t="shared" ref="I949:I1012" si="144">D949</f>
        <v>46589</v>
      </c>
      <c r="J949" t="s">
        <v>44</v>
      </c>
      <c r="K949" t="str">
        <f t="shared" ref="K949:K1012" si="145">_xlfn.CONCAT(B949, " ", "{ nombre: ", CHAR(34), E949, ", ", F949, " ", ROMAN(G949),H949, ", ", UPPER(TEXT(D949, "[$-es-ES]dddd")), CHAR(34), ", archivo: ", CHAR(34), "/ev/", _xlfn.IFS(E949="Adviento","ta", E949="Navidad","tn", E949="Epifania","te", E949="Ordinario","to", E949="Cuaresma","tc", E949="Domingo De Ramos","tc", E949="Semana Santa","ss", E949="Triduo Pascual","tp", E949="Vigilia Pascual","tp", E949="Pascual","tp"), "/", G949, "/", TEXT(D949, "[$-es-ES]dddd"), ".mp3", CHAR(34), ", fecha: `${year}-", TEXT(D949, "mm-dd"), "` },")</f>
        <v>/* JULIO        */ { nombre: "Adviento, Semana I, MIÉRCOLES", archivo: "/ev/ta/1/miércoles.mp3", fecha: `${year}-07-21` },</v>
      </c>
      <c r="L949" s="10">
        <f t="shared" ref="L949:L1012" si="146">D949</f>
        <v>46589</v>
      </c>
    </row>
    <row r="950" spans="1:12" hidden="1" x14ac:dyDescent="0.25">
      <c r="A950" t="str" cm="1">
        <f t="array" ref="A950">_xlfn.IFS(E950="Adviento","ta", E950="Navidad","tn", E950="Epifania","te", E950="Ordinario","to", E950="Cuaresma","tc", E950="Domingo De Ramos","tc", E950="Semana Santa","ss", E950="Triduo Pascual","tp", E950="Vigilia Pascual","tp", E950="Pascual","tp")</f>
        <v>ta</v>
      </c>
      <c r="B950" s="14" t="str">
        <f t="shared" si="141"/>
        <v>/* JULIO        */</v>
      </c>
      <c r="C950" s="15">
        <f t="shared" si="142"/>
        <v>46590</v>
      </c>
      <c r="D950" s="9">
        <f t="shared" si="143"/>
        <v>46590</v>
      </c>
      <c r="E950" t="s">
        <v>46</v>
      </c>
      <c r="F950" t="s">
        <v>43</v>
      </c>
      <c r="G950">
        <v>1</v>
      </c>
      <c r="I950" s="11">
        <f t="shared" si="144"/>
        <v>46590</v>
      </c>
      <c r="J950" t="s">
        <v>44</v>
      </c>
      <c r="K950" t="str">
        <f t="shared" si="145"/>
        <v>/* JULIO        */ { nombre: "Adviento, Semana I, JUEVES", archivo: "/ev/ta/1/jueves.mp3", fecha: `${year}-07-22` },</v>
      </c>
      <c r="L950" s="10">
        <f t="shared" si="146"/>
        <v>46590</v>
      </c>
    </row>
    <row r="951" spans="1:12" hidden="1" x14ac:dyDescent="0.25">
      <c r="A951" t="str" cm="1">
        <f t="array" ref="A951">_xlfn.IFS(E951="Adviento","ta", E951="Navidad","tn", E951="Epifania","te", E951="Ordinario","to", E951="Cuaresma","tc", E951="Domingo De Ramos","tc", E951="Semana Santa","ss", E951="Triduo Pascual","tp", E951="Vigilia Pascual","tp", E951="Pascual","tp")</f>
        <v>ta</v>
      </c>
      <c r="B951" s="14" t="str">
        <f t="shared" si="141"/>
        <v>/* JULIO        */</v>
      </c>
      <c r="C951" s="15">
        <f t="shared" si="142"/>
        <v>46591</v>
      </c>
      <c r="D951" s="9">
        <f t="shared" si="143"/>
        <v>46591</v>
      </c>
      <c r="E951" t="s">
        <v>46</v>
      </c>
      <c r="F951" t="s">
        <v>43</v>
      </c>
      <c r="G951">
        <v>1</v>
      </c>
      <c r="I951" s="11">
        <f t="shared" si="144"/>
        <v>46591</v>
      </c>
      <c r="J951" t="s">
        <v>44</v>
      </c>
      <c r="K951" t="str">
        <f t="shared" si="145"/>
        <v>/* JULIO        */ { nombre: "Adviento, Semana I, VIERNES", archivo: "/ev/ta/1/viernes.mp3", fecha: `${year}-07-23` },</v>
      </c>
      <c r="L951" s="10">
        <f t="shared" si="146"/>
        <v>46591</v>
      </c>
    </row>
    <row r="952" spans="1:12" hidden="1" x14ac:dyDescent="0.25">
      <c r="A952" t="str" cm="1">
        <f t="array" ref="A952">_xlfn.IFS(E952="Adviento","ta", E952="Navidad","tn", E952="Epifania","te", E952="Ordinario","to", E952="Cuaresma","tc", E952="Domingo De Ramos","tc", E952="Semana Santa","ss", E952="Triduo Pascual","tp", E952="Vigilia Pascual","tp", E952="Pascual","tp")</f>
        <v>ta</v>
      </c>
      <c r="B952" s="14" t="str">
        <f t="shared" si="141"/>
        <v>/* JULIO        */</v>
      </c>
      <c r="C952" s="15">
        <f t="shared" si="142"/>
        <v>46592</v>
      </c>
      <c r="D952" s="9">
        <f t="shared" si="143"/>
        <v>46592</v>
      </c>
      <c r="E952" t="s">
        <v>46</v>
      </c>
      <c r="F952" t="s">
        <v>43</v>
      </c>
      <c r="G952">
        <v>1</v>
      </c>
      <c r="I952" s="11">
        <f t="shared" si="144"/>
        <v>46592</v>
      </c>
      <c r="J952" t="s">
        <v>44</v>
      </c>
      <c r="K952" t="str">
        <f t="shared" si="145"/>
        <v>/* JULIO        */ { nombre: "Adviento, Semana I, SÁBADO", archivo: "/ev/ta/1/sábado.mp3", fecha: `${year}-07-24` },</v>
      </c>
      <c r="L952" s="10">
        <f t="shared" si="146"/>
        <v>46592</v>
      </c>
    </row>
    <row r="953" spans="1:12" hidden="1" x14ac:dyDescent="0.25">
      <c r="A953" t="str" cm="1">
        <f t="array" ref="A953">_xlfn.IFS(E953="Adviento","ta", E953="Navidad","tn", E953="Epifania","te", E953="Ordinario","to", E953="Cuaresma","tc", E953="Domingo De Ramos","tc", E953="Semana Santa","ss", E953="Triduo Pascual","tp", E953="Vigilia Pascual","tp", E953="Pascual","tp")</f>
        <v>ta</v>
      </c>
      <c r="B953" s="14" t="str">
        <f t="shared" si="141"/>
        <v>/* JULIO        */</v>
      </c>
      <c r="C953" s="15">
        <f t="shared" si="142"/>
        <v>46593</v>
      </c>
      <c r="D953" s="9">
        <f t="shared" si="143"/>
        <v>46593</v>
      </c>
      <c r="E953" t="s">
        <v>46</v>
      </c>
      <c r="F953" t="s">
        <v>43</v>
      </c>
      <c r="G953">
        <v>1</v>
      </c>
      <c r="I953" s="11">
        <f t="shared" si="144"/>
        <v>46593</v>
      </c>
      <c r="J953" t="s">
        <v>44</v>
      </c>
      <c r="K953" t="str">
        <f t="shared" si="145"/>
        <v>/* JULIO        */ { nombre: "Adviento, Semana I, DOMINGO", archivo: "/ev/ta/1/domingo.mp3", fecha: `${year}-07-25` },</v>
      </c>
      <c r="L953" s="10">
        <f t="shared" si="146"/>
        <v>46593</v>
      </c>
    </row>
    <row r="954" spans="1:12" hidden="1" x14ac:dyDescent="0.25">
      <c r="A954" t="str" cm="1">
        <f t="array" ref="A954">_xlfn.IFS(E954="Adviento","ta", E954="Navidad","tn", E954="Epifania","te", E954="Ordinario","to", E954="Cuaresma","tc", E954="Domingo De Ramos","tc", E954="Semana Santa","ss", E954="Triduo Pascual","tp", E954="Vigilia Pascual","tp", E954="Pascual","tp")</f>
        <v>ta</v>
      </c>
      <c r="B954" s="14" t="str">
        <f t="shared" si="141"/>
        <v>/* JULIO        */</v>
      </c>
      <c r="C954" s="15">
        <f t="shared" si="142"/>
        <v>46594</v>
      </c>
      <c r="D954" s="9">
        <f t="shared" si="143"/>
        <v>46594</v>
      </c>
      <c r="E954" t="s">
        <v>46</v>
      </c>
      <c r="F954" t="s">
        <v>43</v>
      </c>
      <c r="G954">
        <v>1</v>
      </c>
      <c r="I954" s="11">
        <f t="shared" si="144"/>
        <v>46594</v>
      </c>
      <c r="J954" t="s">
        <v>44</v>
      </c>
      <c r="K954" t="str">
        <f t="shared" si="145"/>
        <v>/* JULIO        */ { nombre: "Adviento, Semana I, LUNES", archivo: "/ev/ta/1/lunes.mp3", fecha: `${year}-07-26` },</v>
      </c>
      <c r="L954" s="10">
        <f t="shared" si="146"/>
        <v>46594</v>
      </c>
    </row>
    <row r="955" spans="1:12" hidden="1" x14ac:dyDescent="0.25">
      <c r="A955" t="str" cm="1">
        <f t="array" ref="A955">_xlfn.IFS(E955="Adviento","ta", E955="Navidad","tn", E955="Epifania","te", E955="Ordinario","to", E955="Cuaresma","tc", E955="Domingo De Ramos","tc", E955="Semana Santa","ss", E955="Triduo Pascual","tp", E955="Vigilia Pascual","tp", E955="Pascual","tp")</f>
        <v>ta</v>
      </c>
      <c r="B955" s="14" t="str">
        <f t="shared" si="141"/>
        <v>/* JULIO        */</v>
      </c>
      <c r="C955" s="15">
        <f t="shared" si="142"/>
        <v>46595</v>
      </c>
      <c r="D955" s="9">
        <f t="shared" si="143"/>
        <v>46595</v>
      </c>
      <c r="E955" t="s">
        <v>46</v>
      </c>
      <c r="F955" t="s">
        <v>43</v>
      </c>
      <c r="G955">
        <v>1</v>
      </c>
      <c r="I955" s="11">
        <f t="shared" si="144"/>
        <v>46595</v>
      </c>
      <c r="J955" t="s">
        <v>44</v>
      </c>
      <c r="K955" t="str">
        <f t="shared" si="145"/>
        <v>/* JULIO        */ { nombre: "Adviento, Semana I, MARTES", archivo: "/ev/ta/1/martes.mp3", fecha: `${year}-07-27` },</v>
      </c>
      <c r="L955" s="10">
        <f t="shared" si="146"/>
        <v>46595</v>
      </c>
    </row>
    <row r="956" spans="1:12" hidden="1" x14ac:dyDescent="0.25">
      <c r="A956" t="str" cm="1">
        <f t="array" ref="A956">_xlfn.IFS(E956="Adviento","ta", E956="Navidad","tn", E956="Epifania","te", E956="Ordinario","to", E956="Cuaresma","tc", E956="Domingo De Ramos","tc", E956="Semana Santa","ss", E956="Triduo Pascual","tp", E956="Vigilia Pascual","tp", E956="Pascual","tp")</f>
        <v>ta</v>
      </c>
      <c r="B956" s="14" t="str">
        <f t="shared" si="141"/>
        <v>/* JULIO        */</v>
      </c>
      <c r="C956" s="15">
        <f t="shared" si="142"/>
        <v>46596</v>
      </c>
      <c r="D956" s="9">
        <f t="shared" si="143"/>
        <v>46596</v>
      </c>
      <c r="E956" t="s">
        <v>46</v>
      </c>
      <c r="F956" t="s">
        <v>43</v>
      </c>
      <c r="G956">
        <v>1</v>
      </c>
      <c r="I956" s="11">
        <f t="shared" si="144"/>
        <v>46596</v>
      </c>
      <c r="J956" t="s">
        <v>44</v>
      </c>
      <c r="K956" t="str">
        <f t="shared" si="145"/>
        <v>/* JULIO        */ { nombre: "Adviento, Semana I, MIÉRCOLES", archivo: "/ev/ta/1/miércoles.mp3", fecha: `${year}-07-28` },</v>
      </c>
      <c r="L956" s="10">
        <f t="shared" si="146"/>
        <v>46596</v>
      </c>
    </row>
    <row r="957" spans="1:12" hidden="1" x14ac:dyDescent="0.25">
      <c r="A957" t="str" cm="1">
        <f t="array" ref="A957">_xlfn.IFS(E957="Adviento","ta", E957="Navidad","tn", E957="Epifania","te", E957="Ordinario","to", E957="Cuaresma","tc", E957="Domingo De Ramos","tc", E957="Semana Santa","ss", E957="Triduo Pascual","tp", E957="Vigilia Pascual","tp", E957="Pascual","tp")</f>
        <v>ta</v>
      </c>
      <c r="B957" s="14" t="str">
        <f t="shared" si="141"/>
        <v>/* JULIO        */</v>
      </c>
      <c r="C957" s="15">
        <f t="shared" si="142"/>
        <v>46597</v>
      </c>
      <c r="D957" s="9">
        <f t="shared" si="143"/>
        <v>46597</v>
      </c>
      <c r="E957" t="s">
        <v>46</v>
      </c>
      <c r="F957" t="s">
        <v>43</v>
      </c>
      <c r="G957">
        <v>1</v>
      </c>
      <c r="I957" s="11">
        <f t="shared" si="144"/>
        <v>46597</v>
      </c>
      <c r="J957" t="s">
        <v>44</v>
      </c>
      <c r="K957" t="str">
        <f t="shared" si="145"/>
        <v>/* JULIO        */ { nombre: "Adviento, Semana I, JUEVES", archivo: "/ev/ta/1/jueves.mp3", fecha: `${year}-07-29` },</v>
      </c>
      <c r="L957" s="10">
        <f t="shared" si="146"/>
        <v>46597</v>
      </c>
    </row>
    <row r="958" spans="1:12" hidden="1" x14ac:dyDescent="0.25">
      <c r="A958" t="str" cm="1">
        <f t="array" ref="A958">_xlfn.IFS(E958="Adviento","ta", E958="Navidad","tn", E958="Epifania","te", E958="Ordinario","to", E958="Cuaresma","tc", E958="Domingo De Ramos","tc", E958="Semana Santa","ss", E958="Triduo Pascual","tp", E958="Vigilia Pascual","tp", E958="Pascual","tp")</f>
        <v>ta</v>
      </c>
      <c r="B958" s="14" t="str">
        <f t="shared" si="141"/>
        <v>/* JULIO        */</v>
      </c>
      <c r="C958" s="15">
        <f t="shared" si="142"/>
        <v>46598</v>
      </c>
      <c r="D958" s="9">
        <f t="shared" si="143"/>
        <v>46598</v>
      </c>
      <c r="E958" t="s">
        <v>46</v>
      </c>
      <c r="F958" t="s">
        <v>43</v>
      </c>
      <c r="G958">
        <v>1</v>
      </c>
      <c r="I958" s="11">
        <f t="shared" si="144"/>
        <v>46598</v>
      </c>
      <c r="J958" t="s">
        <v>44</v>
      </c>
      <c r="K958" t="str">
        <f t="shared" si="145"/>
        <v>/* JULIO        */ { nombre: "Adviento, Semana I, VIERNES", archivo: "/ev/ta/1/viernes.mp3", fecha: `${year}-07-30` },</v>
      </c>
      <c r="L958" s="10">
        <f t="shared" si="146"/>
        <v>46598</v>
      </c>
    </row>
    <row r="959" spans="1:12" hidden="1" x14ac:dyDescent="0.25">
      <c r="A959" t="str" cm="1">
        <f t="array" ref="A959">_xlfn.IFS(E959="Adviento","ta", E959="Navidad","tn", E959="Epifania","te", E959="Ordinario","to", E959="Cuaresma","tc", E959="Domingo De Ramos","tc", E959="Semana Santa","ss", E959="Triduo Pascual","tp", E959="Vigilia Pascual","tp", E959="Pascual","tp")</f>
        <v>ta</v>
      </c>
      <c r="B959" s="14" t="str">
        <f t="shared" si="141"/>
        <v>/* JULIO        */</v>
      </c>
      <c r="C959" s="15">
        <f t="shared" si="142"/>
        <v>46599</v>
      </c>
      <c r="D959" s="9">
        <f t="shared" si="143"/>
        <v>46599</v>
      </c>
      <c r="E959" t="s">
        <v>46</v>
      </c>
      <c r="F959" t="s">
        <v>43</v>
      </c>
      <c r="G959">
        <v>1</v>
      </c>
      <c r="I959" s="11">
        <f t="shared" si="144"/>
        <v>46599</v>
      </c>
      <c r="J959" t="s">
        <v>44</v>
      </c>
      <c r="K959" t="str">
        <f t="shared" si="145"/>
        <v>/* JULIO        */ { nombre: "Adviento, Semana I, SÁBADO", archivo: "/ev/ta/1/sábado.mp3", fecha: `${year}-07-31` },</v>
      </c>
      <c r="L959" s="10">
        <f t="shared" si="146"/>
        <v>46599</v>
      </c>
    </row>
    <row r="960" spans="1:12" hidden="1" x14ac:dyDescent="0.25">
      <c r="A960" t="str" cm="1">
        <f t="array" ref="A960">_xlfn.IFS(E960="Adviento","ta", E960="Navidad","tn", E960="Epifania","te", E960="Ordinario","to", E960="Cuaresma","tc", E960="Domingo De Ramos","tc", E960="Semana Santa","ss", E960="Triduo Pascual","tp", E960="Vigilia Pascual","tp", E960="Pascual","tp")</f>
        <v>ta</v>
      </c>
      <c r="B960" s="14" t="str">
        <f t="shared" si="141"/>
        <v>/* AGOSTO        */</v>
      </c>
      <c r="C960" s="15">
        <f t="shared" si="142"/>
        <v>46600</v>
      </c>
      <c r="D960" s="9">
        <f t="shared" si="143"/>
        <v>46600</v>
      </c>
      <c r="E960" t="s">
        <v>46</v>
      </c>
      <c r="F960" t="s">
        <v>43</v>
      </c>
      <c r="G960">
        <v>1</v>
      </c>
      <c r="I960" s="11">
        <f t="shared" si="144"/>
        <v>46600</v>
      </c>
      <c r="J960" t="s">
        <v>44</v>
      </c>
      <c r="K960" t="str">
        <f t="shared" si="145"/>
        <v>/* AGOSTO        */ { nombre: "Adviento, Semana I, DOMINGO", archivo: "/ev/ta/1/domingo.mp3", fecha: `${year}-08-01` },</v>
      </c>
      <c r="L960" s="10">
        <f t="shared" si="146"/>
        <v>46600</v>
      </c>
    </row>
    <row r="961" spans="1:12" hidden="1" x14ac:dyDescent="0.25">
      <c r="A961" t="str" cm="1">
        <f t="array" ref="A961">_xlfn.IFS(E961="Adviento","ta", E961="Navidad","tn", E961="Epifania","te", E961="Ordinario","to", E961="Cuaresma","tc", E961="Domingo De Ramos","tc", E961="Semana Santa","ss", E961="Triduo Pascual","tp", E961="Vigilia Pascual","tp", E961="Pascual","tp")</f>
        <v>ta</v>
      </c>
      <c r="B961" s="14" t="str">
        <f t="shared" si="141"/>
        <v>/* AGOSTO        */</v>
      </c>
      <c r="C961" s="15">
        <f t="shared" si="142"/>
        <v>46601</v>
      </c>
      <c r="D961" s="9">
        <f t="shared" si="143"/>
        <v>46601</v>
      </c>
      <c r="E961" t="s">
        <v>46</v>
      </c>
      <c r="F961" t="s">
        <v>43</v>
      </c>
      <c r="G961">
        <v>1</v>
      </c>
      <c r="I961" s="11">
        <f t="shared" si="144"/>
        <v>46601</v>
      </c>
      <c r="J961" t="s">
        <v>44</v>
      </c>
      <c r="K961" t="str">
        <f t="shared" si="145"/>
        <v>/* AGOSTO        */ { nombre: "Adviento, Semana I, LUNES", archivo: "/ev/ta/1/lunes.mp3", fecha: `${year}-08-02` },</v>
      </c>
      <c r="L961" s="10">
        <f t="shared" si="146"/>
        <v>46601</v>
      </c>
    </row>
    <row r="962" spans="1:12" hidden="1" x14ac:dyDescent="0.25">
      <c r="A962" t="str" cm="1">
        <f t="array" ref="A962">_xlfn.IFS(E962="Adviento","ta", E962="Navidad","tn", E962="Epifania","te", E962="Ordinario","to", E962="Cuaresma","tc", E962="Domingo De Ramos","tc", E962="Semana Santa","ss", E962="Triduo Pascual","tp", E962="Vigilia Pascual","tp", E962="Pascual","tp")</f>
        <v>ta</v>
      </c>
      <c r="B962" s="14" t="str">
        <f t="shared" si="141"/>
        <v>/* AGOSTO        */</v>
      </c>
      <c r="C962" s="15">
        <f t="shared" si="142"/>
        <v>46602</v>
      </c>
      <c r="D962" s="9">
        <f t="shared" si="143"/>
        <v>46602</v>
      </c>
      <c r="E962" t="s">
        <v>46</v>
      </c>
      <c r="F962" t="s">
        <v>43</v>
      </c>
      <c r="G962">
        <v>1</v>
      </c>
      <c r="I962" s="11">
        <f t="shared" si="144"/>
        <v>46602</v>
      </c>
      <c r="J962" t="s">
        <v>44</v>
      </c>
      <c r="K962" t="str">
        <f t="shared" si="145"/>
        <v>/* AGOSTO        */ { nombre: "Adviento, Semana I, MARTES", archivo: "/ev/ta/1/martes.mp3", fecha: `${year}-08-03` },</v>
      </c>
      <c r="L962" s="10">
        <f t="shared" si="146"/>
        <v>46602</v>
      </c>
    </row>
    <row r="963" spans="1:12" hidden="1" x14ac:dyDescent="0.25">
      <c r="A963" t="str" cm="1">
        <f t="array" ref="A963">_xlfn.IFS(E963="Adviento","ta", E963="Navidad","tn", E963="Epifania","te", E963="Ordinario","to", E963="Cuaresma","tc", E963="Domingo De Ramos","tc", E963="Semana Santa","ss", E963="Triduo Pascual","tp", E963="Vigilia Pascual","tp", E963="Pascual","tp")</f>
        <v>ta</v>
      </c>
      <c r="B963" s="14" t="str">
        <f t="shared" si="141"/>
        <v>/* AGOSTO        */</v>
      </c>
      <c r="C963" s="15">
        <f t="shared" si="142"/>
        <v>46603</v>
      </c>
      <c r="D963" s="9">
        <f t="shared" si="143"/>
        <v>46603</v>
      </c>
      <c r="E963" t="s">
        <v>46</v>
      </c>
      <c r="F963" t="s">
        <v>43</v>
      </c>
      <c r="G963">
        <v>1</v>
      </c>
      <c r="I963" s="11">
        <f t="shared" si="144"/>
        <v>46603</v>
      </c>
      <c r="J963" t="s">
        <v>44</v>
      </c>
      <c r="K963" t="str">
        <f t="shared" si="145"/>
        <v>/* AGOSTO        */ { nombre: "Adviento, Semana I, MIÉRCOLES", archivo: "/ev/ta/1/miércoles.mp3", fecha: `${year}-08-04` },</v>
      </c>
      <c r="L963" s="10">
        <f t="shared" si="146"/>
        <v>46603</v>
      </c>
    </row>
    <row r="964" spans="1:12" hidden="1" x14ac:dyDescent="0.25">
      <c r="A964" t="str" cm="1">
        <f t="array" ref="A964">_xlfn.IFS(E964="Adviento","ta", E964="Navidad","tn", E964="Epifania","te", E964="Ordinario","to", E964="Cuaresma","tc", E964="Domingo De Ramos","tc", E964="Semana Santa","ss", E964="Triduo Pascual","tp", E964="Vigilia Pascual","tp", E964="Pascual","tp")</f>
        <v>ta</v>
      </c>
      <c r="B964" s="14" t="str">
        <f t="shared" si="141"/>
        <v>/* AGOSTO        */</v>
      </c>
      <c r="C964" s="15">
        <f t="shared" si="142"/>
        <v>46604</v>
      </c>
      <c r="D964" s="9">
        <f t="shared" si="143"/>
        <v>46604</v>
      </c>
      <c r="E964" t="s">
        <v>46</v>
      </c>
      <c r="F964" t="s">
        <v>43</v>
      </c>
      <c r="G964">
        <v>1</v>
      </c>
      <c r="I964" s="11">
        <f t="shared" si="144"/>
        <v>46604</v>
      </c>
      <c r="J964" t="s">
        <v>44</v>
      </c>
      <c r="K964" t="str">
        <f t="shared" si="145"/>
        <v>/* AGOSTO        */ { nombre: "Adviento, Semana I, JUEVES", archivo: "/ev/ta/1/jueves.mp3", fecha: `${year}-08-05` },</v>
      </c>
      <c r="L964" s="10">
        <f t="shared" si="146"/>
        <v>46604</v>
      </c>
    </row>
    <row r="965" spans="1:12" hidden="1" x14ac:dyDescent="0.25">
      <c r="A965" t="str" cm="1">
        <f t="array" ref="A965">_xlfn.IFS(E965="Adviento","ta", E965="Navidad","tn", E965="Epifania","te", E965="Ordinario","to", E965="Cuaresma","tc", E965="Domingo De Ramos","tc", E965="Semana Santa","ss", E965="Triduo Pascual","tp", E965="Vigilia Pascual","tp", E965="Pascual","tp")</f>
        <v>ta</v>
      </c>
      <c r="B965" s="14" t="str">
        <f t="shared" si="141"/>
        <v>/* AGOSTO        */</v>
      </c>
      <c r="C965" s="15">
        <f t="shared" si="142"/>
        <v>46605</v>
      </c>
      <c r="D965" s="9">
        <f t="shared" si="143"/>
        <v>46605</v>
      </c>
      <c r="E965" t="s">
        <v>46</v>
      </c>
      <c r="F965" t="s">
        <v>43</v>
      </c>
      <c r="G965">
        <v>1</v>
      </c>
      <c r="I965" s="11">
        <f t="shared" si="144"/>
        <v>46605</v>
      </c>
      <c r="J965" t="s">
        <v>44</v>
      </c>
      <c r="K965" t="str">
        <f t="shared" si="145"/>
        <v>/* AGOSTO        */ { nombre: "Adviento, Semana I, VIERNES", archivo: "/ev/ta/1/viernes.mp3", fecha: `${year}-08-06` },</v>
      </c>
      <c r="L965" s="10">
        <f t="shared" si="146"/>
        <v>46605</v>
      </c>
    </row>
    <row r="966" spans="1:12" hidden="1" x14ac:dyDescent="0.25">
      <c r="A966" t="str" cm="1">
        <f t="array" ref="A966">_xlfn.IFS(E966="Adviento","ta", E966="Navidad","tn", E966="Epifania","te", E966="Ordinario","to", E966="Cuaresma","tc", E966="Domingo De Ramos","tc", E966="Semana Santa","ss", E966="Triduo Pascual","tp", E966="Vigilia Pascual","tp", E966="Pascual","tp")</f>
        <v>ta</v>
      </c>
      <c r="B966" s="14" t="str">
        <f t="shared" si="141"/>
        <v>/* AGOSTO        */</v>
      </c>
      <c r="C966" s="15">
        <f t="shared" si="142"/>
        <v>46606</v>
      </c>
      <c r="D966" s="9">
        <f t="shared" si="143"/>
        <v>46606</v>
      </c>
      <c r="E966" t="s">
        <v>46</v>
      </c>
      <c r="F966" t="s">
        <v>43</v>
      </c>
      <c r="G966">
        <v>1</v>
      </c>
      <c r="I966" s="11">
        <f t="shared" si="144"/>
        <v>46606</v>
      </c>
      <c r="J966" t="s">
        <v>44</v>
      </c>
      <c r="K966" t="str">
        <f t="shared" si="145"/>
        <v>/* AGOSTO        */ { nombre: "Adviento, Semana I, SÁBADO", archivo: "/ev/ta/1/sábado.mp3", fecha: `${year}-08-07` },</v>
      </c>
      <c r="L966" s="10">
        <f t="shared" si="146"/>
        <v>46606</v>
      </c>
    </row>
    <row r="967" spans="1:12" hidden="1" x14ac:dyDescent="0.25">
      <c r="A967" t="str" cm="1">
        <f t="array" ref="A967">_xlfn.IFS(E967="Adviento","ta", E967="Navidad","tn", E967="Epifania","te", E967="Ordinario","to", E967="Cuaresma","tc", E967="Domingo De Ramos","tc", E967="Semana Santa","ss", E967="Triduo Pascual","tp", E967="Vigilia Pascual","tp", E967="Pascual","tp")</f>
        <v>ta</v>
      </c>
      <c r="B967" s="14" t="str">
        <f t="shared" si="141"/>
        <v>/* AGOSTO        */</v>
      </c>
      <c r="C967" s="15">
        <f t="shared" si="142"/>
        <v>46607</v>
      </c>
      <c r="D967" s="9">
        <f t="shared" si="143"/>
        <v>46607</v>
      </c>
      <c r="E967" t="s">
        <v>46</v>
      </c>
      <c r="F967" t="s">
        <v>43</v>
      </c>
      <c r="G967">
        <v>1</v>
      </c>
      <c r="I967" s="11">
        <f t="shared" si="144"/>
        <v>46607</v>
      </c>
      <c r="J967" t="s">
        <v>44</v>
      </c>
      <c r="K967" t="str">
        <f t="shared" si="145"/>
        <v>/* AGOSTO        */ { nombre: "Adviento, Semana I, DOMINGO", archivo: "/ev/ta/1/domingo.mp3", fecha: `${year}-08-08` },</v>
      </c>
      <c r="L967" s="10">
        <f t="shared" si="146"/>
        <v>46607</v>
      </c>
    </row>
    <row r="968" spans="1:12" hidden="1" x14ac:dyDescent="0.25">
      <c r="A968" t="str" cm="1">
        <f t="array" ref="A968">_xlfn.IFS(E968="Adviento","ta", E968="Navidad","tn", E968="Epifania","te", E968="Ordinario","to", E968="Cuaresma","tc", E968="Domingo De Ramos","tc", E968="Semana Santa","ss", E968="Triduo Pascual","tp", E968="Vigilia Pascual","tp", E968="Pascual","tp")</f>
        <v>ta</v>
      </c>
      <c r="B968" s="14" t="str">
        <f t="shared" si="141"/>
        <v>/* AGOSTO        */</v>
      </c>
      <c r="C968" s="15">
        <f t="shared" si="142"/>
        <v>46608</v>
      </c>
      <c r="D968" s="9">
        <f t="shared" si="143"/>
        <v>46608</v>
      </c>
      <c r="E968" t="s">
        <v>46</v>
      </c>
      <c r="F968" t="s">
        <v>43</v>
      </c>
      <c r="G968">
        <v>1</v>
      </c>
      <c r="I968" s="11">
        <f t="shared" si="144"/>
        <v>46608</v>
      </c>
      <c r="J968" t="s">
        <v>44</v>
      </c>
      <c r="K968" t="str">
        <f t="shared" si="145"/>
        <v>/* AGOSTO        */ { nombre: "Adviento, Semana I, LUNES", archivo: "/ev/ta/1/lunes.mp3", fecha: `${year}-08-09` },</v>
      </c>
      <c r="L968" s="10">
        <f t="shared" si="146"/>
        <v>46608</v>
      </c>
    </row>
    <row r="969" spans="1:12" hidden="1" x14ac:dyDescent="0.25">
      <c r="A969" t="str" cm="1">
        <f t="array" ref="A969">_xlfn.IFS(E969="Adviento","ta", E969="Navidad","tn", E969="Epifania","te", E969="Ordinario","to", E969="Cuaresma","tc", E969="Domingo De Ramos","tc", E969="Semana Santa","ss", E969="Triduo Pascual","tp", E969="Vigilia Pascual","tp", E969="Pascual","tp")</f>
        <v>ta</v>
      </c>
      <c r="B969" s="14" t="str">
        <f t="shared" si="141"/>
        <v>/* AGOSTO        */</v>
      </c>
      <c r="C969" s="15">
        <f t="shared" si="142"/>
        <v>46609</v>
      </c>
      <c r="D969" s="9">
        <f t="shared" si="143"/>
        <v>46609</v>
      </c>
      <c r="E969" t="s">
        <v>46</v>
      </c>
      <c r="F969" t="s">
        <v>43</v>
      </c>
      <c r="G969">
        <v>1</v>
      </c>
      <c r="I969" s="11">
        <f t="shared" si="144"/>
        <v>46609</v>
      </c>
      <c r="J969" t="s">
        <v>44</v>
      </c>
      <c r="K969" t="str">
        <f t="shared" si="145"/>
        <v>/* AGOSTO        */ { nombre: "Adviento, Semana I, MARTES", archivo: "/ev/ta/1/martes.mp3", fecha: `${year}-08-10` },</v>
      </c>
      <c r="L969" s="10">
        <f t="shared" si="146"/>
        <v>46609</v>
      </c>
    </row>
    <row r="970" spans="1:12" hidden="1" x14ac:dyDescent="0.25">
      <c r="A970" t="str" cm="1">
        <f t="array" ref="A970">_xlfn.IFS(E970="Adviento","ta", E970="Navidad","tn", E970="Epifania","te", E970="Ordinario","to", E970="Cuaresma","tc", E970="Domingo De Ramos","tc", E970="Semana Santa","ss", E970="Triduo Pascual","tp", E970="Vigilia Pascual","tp", E970="Pascual","tp")</f>
        <v>ta</v>
      </c>
      <c r="B970" s="14" t="str">
        <f t="shared" si="141"/>
        <v>/* AGOSTO        */</v>
      </c>
      <c r="C970" s="15">
        <f t="shared" si="142"/>
        <v>46610</v>
      </c>
      <c r="D970" s="9">
        <f t="shared" si="143"/>
        <v>46610</v>
      </c>
      <c r="E970" t="s">
        <v>46</v>
      </c>
      <c r="F970" t="s">
        <v>43</v>
      </c>
      <c r="G970">
        <v>1</v>
      </c>
      <c r="I970" s="11">
        <f t="shared" si="144"/>
        <v>46610</v>
      </c>
      <c r="J970" t="s">
        <v>44</v>
      </c>
      <c r="K970" t="str">
        <f t="shared" si="145"/>
        <v>/* AGOSTO        */ { nombre: "Adviento, Semana I, MIÉRCOLES", archivo: "/ev/ta/1/miércoles.mp3", fecha: `${year}-08-11` },</v>
      </c>
      <c r="L970" s="10">
        <f t="shared" si="146"/>
        <v>46610</v>
      </c>
    </row>
    <row r="971" spans="1:12" hidden="1" x14ac:dyDescent="0.25">
      <c r="A971" t="str" cm="1">
        <f t="array" ref="A971">_xlfn.IFS(E971="Adviento","ta", E971="Navidad","tn", E971="Epifania","te", E971="Ordinario","to", E971="Cuaresma","tc", E971="Domingo De Ramos","tc", E971="Semana Santa","ss", E971="Triduo Pascual","tp", E971="Vigilia Pascual","tp", E971="Pascual","tp")</f>
        <v>ta</v>
      </c>
      <c r="B971" s="14" t="str">
        <f t="shared" si="141"/>
        <v>/* AGOSTO        */</v>
      </c>
      <c r="C971" s="15">
        <f t="shared" si="142"/>
        <v>46611</v>
      </c>
      <c r="D971" s="9">
        <f t="shared" si="143"/>
        <v>46611</v>
      </c>
      <c r="E971" t="s">
        <v>46</v>
      </c>
      <c r="F971" t="s">
        <v>43</v>
      </c>
      <c r="G971">
        <v>1</v>
      </c>
      <c r="I971" s="11">
        <f t="shared" si="144"/>
        <v>46611</v>
      </c>
      <c r="J971" t="s">
        <v>44</v>
      </c>
      <c r="K971" t="str">
        <f t="shared" si="145"/>
        <v>/* AGOSTO        */ { nombre: "Adviento, Semana I, JUEVES", archivo: "/ev/ta/1/jueves.mp3", fecha: `${year}-08-12` },</v>
      </c>
      <c r="L971" s="10">
        <f t="shared" si="146"/>
        <v>46611</v>
      </c>
    </row>
    <row r="972" spans="1:12" hidden="1" x14ac:dyDescent="0.25">
      <c r="A972" t="str" cm="1">
        <f t="array" ref="A972">_xlfn.IFS(E972="Adviento","ta", E972="Navidad","tn", E972="Epifania","te", E972="Ordinario","to", E972="Cuaresma","tc", E972="Domingo De Ramos","tc", E972="Semana Santa","ss", E972="Triduo Pascual","tp", E972="Vigilia Pascual","tp", E972="Pascual","tp")</f>
        <v>ta</v>
      </c>
      <c r="B972" s="14" t="str">
        <f t="shared" si="141"/>
        <v>/* AGOSTO        */</v>
      </c>
      <c r="C972" s="15">
        <f t="shared" si="142"/>
        <v>46612</v>
      </c>
      <c r="D972" s="9">
        <f t="shared" si="143"/>
        <v>46612</v>
      </c>
      <c r="E972" t="s">
        <v>46</v>
      </c>
      <c r="F972" t="s">
        <v>43</v>
      </c>
      <c r="G972">
        <v>1</v>
      </c>
      <c r="I972" s="11">
        <f t="shared" si="144"/>
        <v>46612</v>
      </c>
      <c r="J972" t="s">
        <v>44</v>
      </c>
      <c r="K972" t="str">
        <f t="shared" si="145"/>
        <v>/* AGOSTO        */ { nombre: "Adviento, Semana I, VIERNES", archivo: "/ev/ta/1/viernes.mp3", fecha: `${year}-08-13` },</v>
      </c>
      <c r="L972" s="10">
        <f t="shared" si="146"/>
        <v>46612</v>
      </c>
    </row>
    <row r="973" spans="1:12" hidden="1" x14ac:dyDescent="0.25">
      <c r="A973" t="str" cm="1">
        <f t="array" ref="A973">_xlfn.IFS(E973="Adviento","ta", E973="Navidad","tn", E973="Epifania","te", E973="Ordinario","to", E973="Cuaresma","tc", E973="Domingo De Ramos","tc", E973="Semana Santa","ss", E973="Triduo Pascual","tp", E973="Vigilia Pascual","tp", E973="Pascual","tp")</f>
        <v>ta</v>
      </c>
      <c r="B973" s="14" t="str">
        <f t="shared" si="141"/>
        <v>/* AGOSTO        */</v>
      </c>
      <c r="C973" s="15">
        <f t="shared" si="142"/>
        <v>46613</v>
      </c>
      <c r="D973" s="9">
        <f t="shared" si="143"/>
        <v>46613</v>
      </c>
      <c r="E973" t="s">
        <v>46</v>
      </c>
      <c r="F973" t="s">
        <v>43</v>
      </c>
      <c r="G973">
        <v>1</v>
      </c>
      <c r="I973" s="11">
        <f t="shared" si="144"/>
        <v>46613</v>
      </c>
      <c r="J973" t="s">
        <v>44</v>
      </c>
      <c r="K973" t="str">
        <f t="shared" si="145"/>
        <v>/* AGOSTO        */ { nombre: "Adviento, Semana I, SÁBADO", archivo: "/ev/ta/1/sábado.mp3", fecha: `${year}-08-14` },</v>
      </c>
      <c r="L973" s="10">
        <f t="shared" si="146"/>
        <v>46613</v>
      </c>
    </row>
    <row r="974" spans="1:12" hidden="1" x14ac:dyDescent="0.25">
      <c r="A974" t="str" cm="1">
        <f t="array" ref="A974">_xlfn.IFS(E974="Adviento","ta", E974="Navidad","tn", E974="Epifania","te", E974="Ordinario","to", E974="Cuaresma","tc", E974="Domingo De Ramos","tc", E974="Semana Santa","ss", E974="Triduo Pascual","tp", E974="Vigilia Pascual","tp", E974="Pascual","tp")</f>
        <v>ta</v>
      </c>
      <c r="B974" s="14" t="str">
        <f t="shared" si="141"/>
        <v>/* AGOSTO        */</v>
      </c>
      <c r="C974" s="15">
        <f t="shared" si="142"/>
        <v>46614</v>
      </c>
      <c r="D974" s="9">
        <f t="shared" si="143"/>
        <v>46614</v>
      </c>
      <c r="E974" t="s">
        <v>46</v>
      </c>
      <c r="F974" t="s">
        <v>43</v>
      </c>
      <c r="G974">
        <v>1</v>
      </c>
      <c r="I974" s="11">
        <f t="shared" si="144"/>
        <v>46614</v>
      </c>
      <c r="J974" t="s">
        <v>44</v>
      </c>
      <c r="K974" t="str">
        <f t="shared" si="145"/>
        <v>/* AGOSTO        */ { nombre: "Adviento, Semana I, DOMINGO", archivo: "/ev/ta/1/domingo.mp3", fecha: `${year}-08-15` },</v>
      </c>
      <c r="L974" s="10">
        <f t="shared" si="146"/>
        <v>46614</v>
      </c>
    </row>
    <row r="975" spans="1:12" hidden="1" x14ac:dyDescent="0.25">
      <c r="A975" t="str" cm="1">
        <f t="array" ref="A975">_xlfn.IFS(E975="Adviento","ta", E975="Navidad","tn", E975="Epifania","te", E975="Ordinario","to", E975="Cuaresma","tc", E975="Domingo De Ramos","tc", E975="Semana Santa","ss", E975="Triduo Pascual","tp", E975="Vigilia Pascual","tp", E975="Pascual","tp")</f>
        <v>ta</v>
      </c>
      <c r="B975" s="14" t="str">
        <f t="shared" si="141"/>
        <v>/* AGOSTO        */</v>
      </c>
      <c r="C975" s="15">
        <f t="shared" si="142"/>
        <v>46615</v>
      </c>
      <c r="D975" s="9">
        <f t="shared" si="143"/>
        <v>46615</v>
      </c>
      <c r="E975" t="s">
        <v>46</v>
      </c>
      <c r="F975" t="s">
        <v>43</v>
      </c>
      <c r="G975">
        <v>1</v>
      </c>
      <c r="I975" s="11">
        <f t="shared" si="144"/>
        <v>46615</v>
      </c>
      <c r="J975" t="s">
        <v>44</v>
      </c>
      <c r="K975" t="str">
        <f t="shared" si="145"/>
        <v>/* AGOSTO        */ { nombre: "Adviento, Semana I, LUNES", archivo: "/ev/ta/1/lunes.mp3", fecha: `${year}-08-16` },</v>
      </c>
      <c r="L975" s="10">
        <f t="shared" si="146"/>
        <v>46615</v>
      </c>
    </row>
    <row r="976" spans="1:12" hidden="1" x14ac:dyDescent="0.25">
      <c r="A976" t="str" cm="1">
        <f t="array" ref="A976">_xlfn.IFS(E976="Adviento","ta", E976="Navidad","tn", E976="Epifania","te", E976="Ordinario","to", E976="Cuaresma","tc", E976="Domingo De Ramos","tc", E976="Semana Santa","ss", E976="Triduo Pascual","tp", E976="Vigilia Pascual","tp", E976="Pascual","tp")</f>
        <v>ta</v>
      </c>
      <c r="B976" s="14" t="str">
        <f t="shared" si="141"/>
        <v>/* AGOSTO        */</v>
      </c>
      <c r="C976" s="15">
        <f t="shared" si="142"/>
        <v>46616</v>
      </c>
      <c r="D976" s="9">
        <f t="shared" si="143"/>
        <v>46616</v>
      </c>
      <c r="E976" t="s">
        <v>46</v>
      </c>
      <c r="F976" t="s">
        <v>43</v>
      </c>
      <c r="G976">
        <v>1</v>
      </c>
      <c r="I976" s="11">
        <f t="shared" si="144"/>
        <v>46616</v>
      </c>
      <c r="J976" t="s">
        <v>44</v>
      </c>
      <c r="K976" t="str">
        <f t="shared" si="145"/>
        <v>/* AGOSTO        */ { nombre: "Adviento, Semana I, MARTES", archivo: "/ev/ta/1/martes.mp3", fecha: `${year}-08-17` },</v>
      </c>
      <c r="L976" s="10">
        <f t="shared" si="146"/>
        <v>46616</v>
      </c>
    </row>
    <row r="977" spans="1:12" hidden="1" x14ac:dyDescent="0.25">
      <c r="A977" t="str" cm="1">
        <f t="array" ref="A977">_xlfn.IFS(E977="Adviento","ta", E977="Navidad","tn", E977="Epifania","te", E977="Ordinario","to", E977="Cuaresma","tc", E977="Domingo De Ramos","tc", E977="Semana Santa","ss", E977="Triduo Pascual","tp", E977="Vigilia Pascual","tp", E977="Pascual","tp")</f>
        <v>ta</v>
      </c>
      <c r="B977" s="14" t="str">
        <f t="shared" si="141"/>
        <v>/* AGOSTO        */</v>
      </c>
      <c r="C977" s="15">
        <f t="shared" si="142"/>
        <v>46617</v>
      </c>
      <c r="D977" s="9">
        <f t="shared" si="143"/>
        <v>46617</v>
      </c>
      <c r="E977" t="s">
        <v>46</v>
      </c>
      <c r="F977" t="s">
        <v>43</v>
      </c>
      <c r="G977">
        <v>1</v>
      </c>
      <c r="I977" s="11">
        <f t="shared" si="144"/>
        <v>46617</v>
      </c>
      <c r="J977" t="s">
        <v>44</v>
      </c>
      <c r="K977" t="str">
        <f t="shared" si="145"/>
        <v>/* AGOSTO        */ { nombre: "Adviento, Semana I, MIÉRCOLES", archivo: "/ev/ta/1/miércoles.mp3", fecha: `${year}-08-18` },</v>
      </c>
      <c r="L977" s="10">
        <f t="shared" si="146"/>
        <v>46617</v>
      </c>
    </row>
    <row r="978" spans="1:12" hidden="1" x14ac:dyDescent="0.25">
      <c r="A978" t="str" cm="1">
        <f t="array" ref="A978">_xlfn.IFS(E978="Adviento","ta", E978="Navidad","tn", E978="Epifania","te", E978="Ordinario","to", E978="Cuaresma","tc", E978="Domingo De Ramos","tc", E978="Semana Santa","ss", E978="Triduo Pascual","tp", E978="Vigilia Pascual","tp", E978="Pascual","tp")</f>
        <v>ta</v>
      </c>
      <c r="B978" s="14" t="str">
        <f t="shared" si="141"/>
        <v>/* AGOSTO        */</v>
      </c>
      <c r="C978" s="15">
        <f t="shared" si="142"/>
        <v>46618</v>
      </c>
      <c r="D978" s="9">
        <f t="shared" si="143"/>
        <v>46618</v>
      </c>
      <c r="E978" t="s">
        <v>46</v>
      </c>
      <c r="F978" t="s">
        <v>43</v>
      </c>
      <c r="G978">
        <v>1</v>
      </c>
      <c r="I978" s="11">
        <f t="shared" si="144"/>
        <v>46618</v>
      </c>
      <c r="J978" t="s">
        <v>44</v>
      </c>
      <c r="K978" t="str">
        <f t="shared" si="145"/>
        <v>/* AGOSTO        */ { nombre: "Adviento, Semana I, JUEVES", archivo: "/ev/ta/1/jueves.mp3", fecha: `${year}-08-19` },</v>
      </c>
      <c r="L978" s="10">
        <f t="shared" si="146"/>
        <v>46618</v>
      </c>
    </row>
    <row r="979" spans="1:12" hidden="1" x14ac:dyDescent="0.25">
      <c r="A979" t="str" cm="1">
        <f t="array" ref="A979">_xlfn.IFS(E979="Adviento","ta", E979="Navidad","tn", E979="Epifania","te", E979="Ordinario","to", E979="Cuaresma","tc", E979="Domingo De Ramos","tc", E979="Semana Santa","ss", E979="Triduo Pascual","tp", E979="Vigilia Pascual","tp", E979="Pascual","tp")</f>
        <v>ta</v>
      </c>
      <c r="B979" s="14" t="str">
        <f t="shared" si="141"/>
        <v>/* AGOSTO        */</v>
      </c>
      <c r="C979" s="15">
        <f t="shared" si="142"/>
        <v>46619</v>
      </c>
      <c r="D979" s="9">
        <f t="shared" si="143"/>
        <v>46619</v>
      </c>
      <c r="E979" t="s">
        <v>46</v>
      </c>
      <c r="F979" t="s">
        <v>43</v>
      </c>
      <c r="G979">
        <v>1</v>
      </c>
      <c r="I979" s="11">
        <f t="shared" si="144"/>
        <v>46619</v>
      </c>
      <c r="J979" t="s">
        <v>44</v>
      </c>
      <c r="K979" t="str">
        <f t="shared" si="145"/>
        <v>/* AGOSTO        */ { nombre: "Adviento, Semana I, VIERNES", archivo: "/ev/ta/1/viernes.mp3", fecha: `${year}-08-20` },</v>
      </c>
      <c r="L979" s="10">
        <f t="shared" si="146"/>
        <v>46619</v>
      </c>
    </row>
    <row r="980" spans="1:12" hidden="1" x14ac:dyDescent="0.25">
      <c r="A980" t="str" cm="1">
        <f t="array" ref="A980">_xlfn.IFS(E980="Adviento","ta", E980="Navidad","tn", E980="Epifania","te", E980="Ordinario","to", E980="Cuaresma","tc", E980="Domingo De Ramos","tc", E980="Semana Santa","ss", E980="Triduo Pascual","tp", E980="Vigilia Pascual","tp", E980="Pascual","tp")</f>
        <v>ta</v>
      </c>
      <c r="B980" s="14" t="str">
        <f t="shared" si="141"/>
        <v>/* AGOSTO        */</v>
      </c>
      <c r="C980" s="15">
        <f t="shared" si="142"/>
        <v>46620</v>
      </c>
      <c r="D980" s="9">
        <f t="shared" si="143"/>
        <v>46620</v>
      </c>
      <c r="E980" t="s">
        <v>46</v>
      </c>
      <c r="F980" t="s">
        <v>43</v>
      </c>
      <c r="G980">
        <v>1</v>
      </c>
      <c r="I980" s="11">
        <f t="shared" si="144"/>
        <v>46620</v>
      </c>
      <c r="J980" t="s">
        <v>44</v>
      </c>
      <c r="K980" t="str">
        <f t="shared" si="145"/>
        <v>/* AGOSTO        */ { nombre: "Adviento, Semana I, SÁBADO", archivo: "/ev/ta/1/sábado.mp3", fecha: `${year}-08-21` },</v>
      </c>
      <c r="L980" s="10">
        <f t="shared" si="146"/>
        <v>46620</v>
      </c>
    </row>
    <row r="981" spans="1:12" hidden="1" x14ac:dyDescent="0.25">
      <c r="A981" t="str" cm="1">
        <f t="array" ref="A981">_xlfn.IFS(E981="Adviento","ta", E981="Navidad","tn", E981="Epifania","te", E981="Ordinario","to", E981="Cuaresma","tc", E981="Domingo De Ramos","tc", E981="Semana Santa","ss", E981="Triduo Pascual","tp", E981="Vigilia Pascual","tp", E981="Pascual","tp")</f>
        <v>ta</v>
      </c>
      <c r="B981" s="14" t="str">
        <f t="shared" si="141"/>
        <v>/* AGOSTO        */</v>
      </c>
      <c r="C981" s="15">
        <f t="shared" si="142"/>
        <v>46621</v>
      </c>
      <c r="D981" s="9">
        <f t="shared" si="143"/>
        <v>46621</v>
      </c>
      <c r="E981" t="s">
        <v>46</v>
      </c>
      <c r="F981" t="s">
        <v>43</v>
      </c>
      <c r="G981">
        <v>1</v>
      </c>
      <c r="I981" s="11">
        <f t="shared" si="144"/>
        <v>46621</v>
      </c>
      <c r="J981" t="s">
        <v>44</v>
      </c>
      <c r="K981" t="str">
        <f t="shared" si="145"/>
        <v>/* AGOSTO        */ { nombre: "Adviento, Semana I, DOMINGO", archivo: "/ev/ta/1/domingo.mp3", fecha: `${year}-08-22` },</v>
      </c>
      <c r="L981" s="10">
        <f t="shared" si="146"/>
        <v>46621</v>
      </c>
    </row>
    <row r="982" spans="1:12" hidden="1" x14ac:dyDescent="0.25">
      <c r="A982" t="str" cm="1">
        <f t="array" ref="A982">_xlfn.IFS(E982="Adviento","ta", E982="Navidad","tn", E982="Epifania","te", E982="Ordinario","to", E982="Cuaresma","tc", E982="Domingo De Ramos","tc", E982="Semana Santa","ss", E982="Triduo Pascual","tp", E982="Vigilia Pascual","tp", E982="Pascual","tp")</f>
        <v>ta</v>
      </c>
      <c r="B982" s="14" t="str">
        <f t="shared" ref="B982:B1045" si="147">_xlfn.CONCAT("/* ",UPPER(TEXT(D982,"[$-es-ES]mmmm")),"        */")</f>
        <v>/* AGOSTO        */</v>
      </c>
      <c r="C982" s="15">
        <f t="shared" si="142"/>
        <v>46622</v>
      </c>
      <c r="D982" s="9">
        <f t="shared" si="143"/>
        <v>46622</v>
      </c>
      <c r="E982" t="s">
        <v>46</v>
      </c>
      <c r="F982" t="s">
        <v>43</v>
      </c>
      <c r="G982">
        <v>1</v>
      </c>
      <c r="I982" s="11">
        <f t="shared" si="144"/>
        <v>46622</v>
      </c>
      <c r="J982" t="s">
        <v>44</v>
      </c>
      <c r="K982" t="str">
        <f t="shared" si="145"/>
        <v>/* AGOSTO        */ { nombre: "Adviento, Semana I, LUNES", archivo: "/ev/ta/1/lunes.mp3", fecha: `${year}-08-23` },</v>
      </c>
      <c r="L982" s="10">
        <f t="shared" si="146"/>
        <v>46622</v>
      </c>
    </row>
    <row r="983" spans="1:12" hidden="1" x14ac:dyDescent="0.25">
      <c r="A983" t="str" cm="1">
        <f t="array" ref="A983">_xlfn.IFS(E983="Adviento","ta", E983="Navidad","tn", E983="Epifania","te", E983="Ordinario","to", E983="Cuaresma","tc", E983="Domingo De Ramos","tc", E983="Semana Santa","ss", E983="Triduo Pascual","tp", E983="Vigilia Pascual","tp", E983="Pascual","tp")</f>
        <v>ta</v>
      </c>
      <c r="B983" s="14" t="str">
        <f t="shared" si="147"/>
        <v>/* AGOSTO        */</v>
      </c>
      <c r="C983" s="15">
        <f t="shared" si="142"/>
        <v>46623</v>
      </c>
      <c r="D983" s="9">
        <f t="shared" si="143"/>
        <v>46623</v>
      </c>
      <c r="E983" t="s">
        <v>46</v>
      </c>
      <c r="F983" t="s">
        <v>43</v>
      </c>
      <c r="G983">
        <v>1</v>
      </c>
      <c r="I983" s="11">
        <f t="shared" si="144"/>
        <v>46623</v>
      </c>
      <c r="J983" t="s">
        <v>44</v>
      </c>
      <c r="K983" t="str">
        <f t="shared" si="145"/>
        <v>/* AGOSTO        */ { nombre: "Adviento, Semana I, MARTES", archivo: "/ev/ta/1/martes.mp3", fecha: `${year}-08-24` },</v>
      </c>
      <c r="L983" s="10">
        <f t="shared" si="146"/>
        <v>46623</v>
      </c>
    </row>
    <row r="984" spans="1:12" hidden="1" x14ac:dyDescent="0.25">
      <c r="A984" t="str" cm="1">
        <f t="array" ref="A984">_xlfn.IFS(E984="Adviento","ta", E984="Navidad","tn", E984="Epifania","te", E984="Ordinario","to", E984="Cuaresma","tc", E984="Domingo De Ramos","tc", E984="Semana Santa","ss", E984="Triduo Pascual","tp", E984="Vigilia Pascual","tp", E984="Pascual","tp")</f>
        <v>ta</v>
      </c>
      <c r="B984" s="14" t="str">
        <f t="shared" si="147"/>
        <v>/* AGOSTO        */</v>
      </c>
      <c r="C984" s="15">
        <f t="shared" si="142"/>
        <v>46624</v>
      </c>
      <c r="D984" s="9">
        <f t="shared" si="143"/>
        <v>46624</v>
      </c>
      <c r="E984" t="s">
        <v>46</v>
      </c>
      <c r="F984" t="s">
        <v>43</v>
      </c>
      <c r="G984">
        <v>1</v>
      </c>
      <c r="I984" s="11">
        <f t="shared" si="144"/>
        <v>46624</v>
      </c>
      <c r="J984" t="s">
        <v>44</v>
      </c>
      <c r="K984" t="str">
        <f t="shared" si="145"/>
        <v>/* AGOSTO        */ { nombre: "Adviento, Semana I, MIÉRCOLES", archivo: "/ev/ta/1/miércoles.mp3", fecha: `${year}-08-25` },</v>
      </c>
      <c r="L984" s="10">
        <f t="shared" si="146"/>
        <v>46624</v>
      </c>
    </row>
    <row r="985" spans="1:12" hidden="1" x14ac:dyDescent="0.25">
      <c r="A985" t="str" cm="1">
        <f t="array" ref="A985">_xlfn.IFS(E985="Adviento","ta", E985="Navidad","tn", E985="Epifania","te", E985="Ordinario","to", E985="Cuaresma","tc", E985="Domingo De Ramos","tc", E985="Semana Santa","ss", E985="Triduo Pascual","tp", E985="Vigilia Pascual","tp", E985="Pascual","tp")</f>
        <v>ta</v>
      </c>
      <c r="B985" s="14" t="str">
        <f t="shared" si="147"/>
        <v>/* AGOSTO        */</v>
      </c>
      <c r="C985" s="15">
        <f t="shared" si="142"/>
        <v>46625</v>
      </c>
      <c r="D985" s="9">
        <f t="shared" si="143"/>
        <v>46625</v>
      </c>
      <c r="E985" t="s">
        <v>46</v>
      </c>
      <c r="F985" t="s">
        <v>43</v>
      </c>
      <c r="G985">
        <v>1</v>
      </c>
      <c r="I985" s="11">
        <f t="shared" si="144"/>
        <v>46625</v>
      </c>
      <c r="J985" t="s">
        <v>44</v>
      </c>
      <c r="K985" t="str">
        <f t="shared" si="145"/>
        <v>/* AGOSTO        */ { nombre: "Adviento, Semana I, JUEVES", archivo: "/ev/ta/1/jueves.mp3", fecha: `${year}-08-26` },</v>
      </c>
      <c r="L985" s="10">
        <f t="shared" si="146"/>
        <v>46625</v>
      </c>
    </row>
    <row r="986" spans="1:12" hidden="1" x14ac:dyDescent="0.25">
      <c r="A986" t="str" cm="1">
        <f t="array" ref="A986">_xlfn.IFS(E986="Adviento","ta", E986="Navidad","tn", E986="Epifania","te", E986="Ordinario","to", E986="Cuaresma","tc", E986="Domingo De Ramos","tc", E986="Semana Santa","ss", E986="Triduo Pascual","tp", E986="Vigilia Pascual","tp", E986="Pascual","tp")</f>
        <v>ta</v>
      </c>
      <c r="B986" s="14" t="str">
        <f t="shared" si="147"/>
        <v>/* AGOSTO        */</v>
      </c>
      <c r="C986" s="15">
        <f t="shared" si="142"/>
        <v>46626</v>
      </c>
      <c r="D986" s="9">
        <f t="shared" si="143"/>
        <v>46626</v>
      </c>
      <c r="E986" t="s">
        <v>46</v>
      </c>
      <c r="F986" t="s">
        <v>43</v>
      </c>
      <c r="G986">
        <v>1</v>
      </c>
      <c r="I986" s="11">
        <f t="shared" si="144"/>
        <v>46626</v>
      </c>
      <c r="J986" t="s">
        <v>44</v>
      </c>
      <c r="K986" t="str">
        <f t="shared" si="145"/>
        <v>/* AGOSTO        */ { nombre: "Adviento, Semana I, VIERNES", archivo: "/ev/ta/1/viernes.mp3", fecha: `${year}-08-27` },</v>
      </c>
      <c r="L986" s="10">
        <f t="shared" si="146"/>
        <v>46626</v>
      </c>
    </row>
    <row r="987" spans="1:12" hidden="1" x14ac:dyDescent="0.25">
      <c r="A987" t="str" cm="1">
        <f t="array" ref="A987">_xlfn.IFS(E987="Adviento","ta", E987="Navidad","tn", E987="Epifania","te", E987="Ordinario","to", E987="Cuaresma","tc", E987="Domingo De Ramos","tc", E987="Semana Santa","ss", E987="Triduo Pascual","tp", E987="Vigilia Pascual","tp", E987="Pascual","tp")</f>
        <v>ta</v>
      </c>
      <c r="B987" s="14" t="str">
        <f t="shared" si="147"/>
        <v>/* AGOSTO        */</v>
      </c>
      <c r="C987" s="15">
        <f t="shared" si="142"/>
        <v>46627</v>
      </c>
      <c r="D987" s="9">
        <f t="shared" si="143"/>
        <v>46627</v>
      </c>
      <c r="E987" t="s">
        <v>46</v>
      </c>
      <c r="F987" t="s">
        <v>43</v>
      </c>
      <c r="G987">
        <v>1</v>
      </c>
      <c r="I987" s="11">
        <f t="shared" si="144"/>
        <v>46627</v>
      </c>
      <c r="J987" t="s">
        <v>44</v>
      </c>
      <c r="K987" t="str">
        <f t="shared" si="145"/>
        <v>/* AGOSTO        */ { nombre: "Adviento, Semana I, SÁBADO", archivo: "/ev/ta/1/sábado.mp3", fecha: `${year}-08-28` },</v>
      </c>
      <c r="L987" s="10">
        <f t="shared" si="146"/>
        <v>46627</v>
      </c>
    </row>
    <row r="988" spans="1:12" hidden="1" x14ac:dyDescent="0.25">
      <c r="A988" t="str" cm="1">
        <f t="array" ref="A988">_xlfn.IFS(E988="Adviento","ta", E988="Navidad","tn", E988="Epifania","te", E988="Ordinario","to", E988="Cuaresma","tc", E988="Domingo De Ramos","tc", E988="Semana Santa","ss", E988="Triduo Pascual","tp", E988="Vigilia Pascual","tp", E988="Pascual","tp")</f>
        <v>ta</v>
      </c>
      <c r="B988" s="14" t="str">
        <f t="shared" si="147"/>
        <v>/* AGOSTO        */</v>
      </c>
      <c r="C988" s="15">
        <f t="shared" si="142"/>
        <v>46628</v>
      </c>
      <c r="D988" s="9">
        <f t="shared" si="143"/>
        <v>46628</v>
      </c>
      <c r="E988" t="s">
        <v>46</v>
      </c>
      <c r="F988" t="s">
        <v>43</v>
      </c>
      <c r="G988">
        <v>1</v>
      </c>
      <c r="I988" s="11">
        <f t="shared" si="144"/>
        <v>46628</v>
      </c>
      <c r="J988" t="s">
        <v>44</v>
      </c>
      <c r="K988" t="str">
        <f t="shared" si="145"/>
        <v>/* AGOSTO        */ { nombre: "Adviento, Semana I, DOMINGO", archivo: "/ev/ta/1/domingo.mp3", fecha: `${year}-08-29` },</v>
      </c>
      <c r="L988" s="10">
        <f t="shared" si="146"/>
        <v>46628</v>
      </c>
    </row>
    <row r="989" spans="1:12" hidden="1" x14ac:dyDescent="0.25">
      <c r="A989" t="str" cm="1">
        <f t="array" ref="A989">_xlfn.IFS(E989="Adviento","ta", E989="Navidad","tn", E989="Epifania","te", E989="Ordinario","to", E989="Cuaresma","tc", E989="Domingo De Ramos","tc", E989="Semana Santa","ss", E989="Triduo Pascual","tp", E989="Vigilia Pascual","tp", E989="Pascual","tp")</f>
        <v>ta</v>
      </c>
      <c r="B989" s="14" t="str">
        <f t="shared" si="147"/>
        <v>/* AGOSTO        */</v>
      </c>
      <c r="C989" s="15">
        <f t="shared" si="142"/>
        <v>46629</v>
      </c>
      <c r="D989" s="9">
        <f t="shared" si="143"/>
        <v>46629</v>
      </c>
      <c r="E989" t="s">
        <v>46</v>
      </c>
      <c r="F989" t="s">
        <v>43</v>
      </c>
      <c r="G989">
        <v>1</v>
      </c>
      <c r="I989" s="11">
        <f t="shared" si="144"/>
        <v>46629</v>
      </c>
      <c r="J989" t="s">
        <v>44</v>
      </c>
      <c r="K989" t="str">
        <f t="shared" si="145"/>
        <v>/* AGOSTO        */ { nombre: "Adviento, Semana I, LUNES", archivo: "/ev/ta/1/lunes.mp3", fecha: `${year}-08-30` },</v>
      </c>
      <c r="L989" s="10">
        <f t="shared" si="146"/>
        <v>46629</v>
      </c>
    </row>
    <row r="990" spans="1:12" hidden="1" x14ac:dyDescent="0.25">
      <c r="A990" t="str" cm="1">
        <f t="array" ref="A990">_xlfn.IFS(E990="Adviento","ta", E990="Navidad","tn", E990="Epifania","te", E990="Ordinario","to", E990="Cuaresma","tc", E990="Domingo De Ramos","tc", E990="Semana Santa","ss", E990="Triduo Pascual","tp", E990="Vigilia Pascual","tp", E990="Pascual","tp")</f>
        <v>ta</v>
      </c>
      <c r="B990" s="14" t="str">
        <f t="shared" si="147"/>
        <v>/* AGOSTO        */</v>
      </c>
      <c r="C990" s="15">
        <f t="shared" si="142"/>
        <v>46630</v>
      </c>
      <c r="D990" s="9">
        <f t="shared" si="143"/>
        <v>46630</v>
      </c>
      <c r="E990" t="s">
        <v>46</v>
      </c>
      <c r="F990" t="s">
        <v>43</v>
      </c>
      <c r="G990">
        <v>1</v>
      </c>
      <c r="I990" s="11">
        <f t="shared" si="144"/>
        <v>46630</v>
      </c>
      <c r="J990" t="s">
        <v>44</v>
      </c>
      <c r="K990" t="str">
        <f t="shared" si="145"/>
        <v>/* AGOSTO        */ { nombre: "Adviento, Semana I, MARTES", archivo: "/ev/ta/1/martes.mp3", fecha: `${year}-08-31` },</v>
      </c>
      <c r="L990" s="10">
        <f t="shared" si="146"/>
        <v>46630</v>
      </c>
    </row>
    <row r="991" spans="1:12" hidden="1" x14ac:dyDescent="0.25">
      <c r="A991" t="str" cm="1">
        <f t="array" ref="A991">_xlfn.IFS(E991="Adviento","ta", E991="Navidad","tn", E991="Epifania","te", E991="Ordinario","to", E991="Cuaresma","tc", E991="Domingo De Ramos","tc", E991="Semana Santa","ss", E991="Triduo Pascual","tp", E991="Vigilia Pascual","tp", E991="Pascual","tp")</f>
        <v>ta</v>
      </c>
      <c r="B991" s="14" t="str">
        <f t="shared" si="147"/>
        <v>/* SEPTIEMBRE        */</v>
      </c>
      <c r="C991" s="15">
        <f t="shared" si="142"/>
        <v>46631</v>
      </c>
      <c r="D991" s="9">
        <f t="shared" si="143"/>
        <v>46631</v>
      </c>
      <c r="E991" t="s">
        <v>46</v>
      </c>
      <c r="F991" t="s">
        <v>43</v>
      </c>
      <c r="G991">
        <v>1</v>
      </c>
      <c r="I991" s="11">
        <f t="shared" si="144"/>
        <v>46631</v>
      </c>
      <c r="J991" t="s">
        <v>44</v>
      </c>
      <c r="K991" t="str">
        <f t="shared" si="145"/>
        <v>/* SEPTIEMBRE        */ { nombre: "Adviento, Semana I, MIÉRCOLES", archivo: "/ev/ta/1/miércoles.mp3", fecha: `${year}-09-01` },</v>
      </c>
      <c r="L991" s="10">
        <f t="shared" si="146"/>
        <v>46631</v>
      </c>
    </row>
    <row r="992" spans="1:12" hidden="1" x14ac:dyDescent="0.25">
      <c r="A992" t="str" cm="1">
        <f t="array" ref="A992">_xlfn.IFS(E992="Adviento","ta", E992="Navidad","tn", E992="Epifania","te", E992="Ordinario","to", E992="Cuaresma","tc", E992="Domingo De Ramos","tc", E992="Semana Santa","ss", E992="Triduo Pascual","tp", E992="Vigilia Pascual","tp", E992="Pascual","tp")</f>
        <v>ta</v>
      </c>
      <c r="B992" s="14" t="str">
        <f t="shared" si="147"/>
        <v>/* SEPTIEMBRE        */</v>
      </c>
      <c r="C992" s="15">
        <f t="shared" si="142"/>
        <v>46632</v>
      </c>
      <c r="D992" s="9">
        <f t="shared" si="143"/>
        <v>46632</v>
      </c>
      <c r="E992" t="s">
        <v>46</v>
      </c>
      <c r="F992" t="s">
        <v>43</v>
      </c>
      <c r="G992">
        <v>1</v>
      </c>
      <c r="I992" s="11">
        <f t="shared" si="144"/>
        <v>46632</v>
      </c>
      <c r="J992" t="s">
        <v>44</v>
      </c>
      <c r="K992" t="str">
        <f t="shared" si="145"/>
        <v>/* SEPTIEMBRE        */ { nombre: "Adviento, Semana I, JUEVES", archivo: "/ev/ta/1/jueves.mp3", fecha: `${year}-09-02` },</v>
      </c>
      <c r="L992" s="10">
        <f t="shared" si="146"/>
        <v>46632</v>
      </c>
    </row>
    <row r="993" spans="1:12" hidden="1" x14ac:dyDescent="0.25">
      <c r="A993" t="str" cm="1">
        <f t="array" ref="A993">_xlfn.IFS(E993="Adviento","ta", E993="Navidad","tn", E993="Epifania","te", E993="Ordinario","to", E993="Cuaresma","tc", E993="Domingo De Ramos","tc", E993="Semana Santa","ss", E993="Triduo Pascual","tp", E993="Vigilia Pascual","tp", E993="Pascual","tp")</f>
        <v>ta</v>
      </c>
      <c r="B993" s="14" t="str">
        <f t="shared" si="147"/>
        <v>/* SEPTIEMBRE        */</v>
      </c>
      <c r="C993" s="15">
        <f t="shared" si="142"/>
        <v>46633</v>
      </c>
      <c r="D993" s="9">
        <f t="shared" si="143"/>
        <v>46633</v>
      </c>
      <c r="E993" t="s">
        <v>46</v>
      </c>
      <c r="F993" t="s">
        <v>43</v>
      </c>
      <c r="G993">
        <v>1</v>
      </c>
      <c r="I993" s="11">
        <f t="shared" si="144"/>
        <v>46633</v>
      </c>
      <c r="J993" t="s">
        <v>44</v>
      </c>
      <c r="K993" t="str">
        <f t="shared" si="145"/>
        <v>/* SEPTIEMBRE        */ { nombre: "Adviento, Semana I, VIERNES", archivo: "/ev/ta/1/viernes.mp3", fecha: `${year}-09-03` },</v>
      </c>
      <c r="L993" s="10">
        <f t="shared" si="146"/>
        <v>46633</v>
      </c>
    </row>
    <row r="994" spans="1:12" hidden="1" x14ac:dyDescent="0.25">
      <c r="A994" t="str" cm="1">
        <f t="array" ref="A994">_xlfn.IFS(E994="Adviento","ta", E994="Navidad","tn", E994="Epifania","te", E994="Ordinario","to", E994="Cuaresma","tc", E994="Domingo De Ramos","tc", E994="Semana Santa","ss", E994="Triduo Pascual","tp", E994="Vigilia Pascual","tp", E994="Pascual","tp")</f>
        <v>ta</v>
      </c>
      <c r="B994" s="14" t="str">
        <f t="shared" si="147"/>
        <v>/* SEPTIEMBRE        */</v>
      </c>
      <c r="C994" s="15">
        <f t="shared" si="142"/>
        <v>46634</v>
      </c>
      <c r="D994" s="9">
        <f t="shared" si="143"/>
        <v>46634</v>
      </c>
      <c r="E994" t="s">
        <v>46</v>
      </c>
      <c r="F994" t="s">
        <v>43</v>
      </c>
      <c r="G994">
        <v>1</v>
      </c>
      <c r="I994" s="11">
        <f t="shared" si="144"/>
        <v>46634</v>
      </c>
      <c r="J994" t="s">
        <v>44</v>
      </c>
      <c r="K994" t="str">
        <f t="shared" si="145"/>
        <v>/* SEPTIEMBRE        */ { nombre: "Adviento, Semana I, SÁBADO", archivo: "/ev/ta/1/sábado.mp3", fecha: `${year}-09-04` },</v>
      </c>
      <c r="L994" s="10">
        <f t="shared" si="146"/>
        <v>46634</v>
      </c>
    </row>
    <row r="995" spans="1:12" hidden="1" x14ac:dyDescent="0.25">
      <c r="A995" t="str" cm="1">
        <f t="array" ref="A995">_xlfn.IFS(E995="Adviento","ta", E995="Navidad","tn", E995="Epifania","te", E995="Ordinario","to", E995="Cuaresma","tc", E995="Domingo De Ramos","tc", E995="Semana Santa","ss", E995="Triduo Pascual","tp", E995="Vigilia Pascual","tp", E995="Pascual","tp")</f>
        <v>ta</v>
      </c>
      <c r="B995" s="14" t="str">
        <f t="shared" si="147"/>
        <v>/* SEPTIEMBRE        */</v>
      </c>
      <c r="C995" s="15">
        <f t="shared" si="142"/>
        <v>46635</v>
      </c>
      <c r="D995" s="9">
        <f t="shared" si="143"/>
        <v>46635</v>
      </c>
      <c r="E995" t="s">
        <v>46</v>
      </c>
      <c r="F995" t="s">
        <v>43</v>
      </c>
      <c r="G995">
        <v>1</v>
      </c>
      <c r="I995" s="11">
        <f t="shared" si="144"/>
        <v>46635</v>
      </c>
      <c r="J995" t="s">
        <v>44</v>
      </c>
      <c r="K995" t="str">
        <f t="shared" si="145"/>
        <v>/* SEPTIEMBRE        */ { nombre: "Adviento, Semana I, DOMINGO", archivo: "/ev/ta/1/domingo.mp3", fecha: `${year}-09-05` },</v>
      </c>
      <c r="L995" s="10">
        <f t="shared" si="146"/>
        <v>46635</v>
      </c>
    </row>
    <row r="996" spans="1:12" hidden="1" x14ac:dyDescent="0.25">
      <c r="A996" t="str" cm="1">
        <f t="array" ref="A996">_xlfn.IFS(E996="Adviento","ta", E996="Navidad","tn", E996="Epifania","te", E996="Ordinario","to", E996="Cuaresma","tc", E996="Domingo De Ramos","tc", E996="Semana Santa","ss", E996="Triduo Pascual","tp", E996="Vigilia Pascual","tp", E996="Pascual","tp")</f>
        <v>ta</v>
      </c>
      <c r="B996" s="14" t="str">
        <f t="shared" si="147"/>
        <v>/* SEPTIEMBRE        */</v>
      </c>
      <c r="C996" s="15">
        <f t="shared" si="142"/>
        <v>46636</v>
      </c>
      <c r="D996" s="9">
        <f t="shared" si="143"/>
        <v>46636</v>
      </c>
      <c r="E996" t="s">
        <v>46</v>
      </c>
      <c r="F996" t="s">
        <v>43</v>
      </c>
      <c r="G996">
        <v>1</v>
      </c>
      <c r="I996" s="11">
        <f t="shared" si="144"/>
        <v>46636</v>
      </c>
      <c r="J996" t="s">
        <v>44</v>
      </c>
      <c r="K996" t="str">
        <f t="shared" si="145"/>
        <v>/* SEPTIEMBRE        */ { nombre: "Adviento, Semana I, LUNES", archivo: "/ev/ta/1/lunes.mp3", fecha: `${year}-09-06` },</v>
      </c>
      <c r="L996" s="10">
        <f t="shared" si="146"/>
        <v>46636</v>
      </c>
    </row>
    <row r="997" spans="1:12" hidden="1" x14ac:dyDescent="0.25">
      <c r="A997" t="str" cm="1">
        <f t="array" ref="A997">_xlfn.IFS(E997="Adviento","ta", E997="Navidad","tn", E997="Epifania","te", E997="Ordinario","to", E997="Cuaresma","tc", E997="Domingo De Ramos","tc", E997="Semana Santa","ss", E997="Triduo Pascual","tp", E997="Vigilia Pascual","tp", E997="Pascual","tp")</f>
        <v>ta</v>
      </c>
      <c r="B997" s="14" t="str">
        <f t="shared" si="147"/>
        <v>/* SEPTIEMBRE        */</v>
      </c>
      <c r="C997" s="15">
        <f t="shared" si="142"/>
        <v>46637</v>
      </c>
      <c r="D997" s="9">
        <f t="shared" si="143"/>
        <v>46637</v>
      </c>
      <c r="E997" t="s">
        <v>46</v>
      </c>
      <c r="F997" t="s">
        <v>43</v>
      </c>
      <c r="G997">
        <v>1</v>
      </c>
      <c r="I997" s="11">
        <f t="shared" si="144"/>
        <v>46637</v>
      </c>
      <c r="J997" t="s">
        <v>44</v>
      </c>
      <c r="K997" t="str">
        <f t="shared" si="145"/>
        <v>/* SEPTIEMBRE        */ { nombre: "Adviento, Semana I, MARTES", archivo: "/ev/ta/1/martes.mp3", fecha: `${year}-09-07` },</v>
      </c>
      <c r="L997" s="10">
        <f t="shared" si="146"/>
        <v>46637</v>
      </c>
    </row>
    <row r="998" spans="1:12" hidden="1" x14ac:dyDescent="0.25">
      <c r="A998" t="str" cm="1">
        <f t="array" ref="A998">_xlfn.IFS(E998="Adviento","ta", E998="Navidad","tn", E998="Epifania","te", E998="Ordinario","to", E998="Cuaresma","tc", E998="Domingo De Ramos","tc", E998="Semana Santa","ss", E998="Triduo Pascual","tp", E998="Vigilia Pascual","tp", E998="Pascual","tp")</f>
        <v>ta</v>
      </c>
      <c r="B998" s="14" t="str">
        <f t="shared" si="147"/>
        <v>/* SEPTIEMBRE        */</v>
      </c>
      <c r="C998" s="15">
        <f t="shared" si="142"/>
        <v>46638</v>
      </c>
      <c r="D998" s="9">
        <f t="shared" si="143"/>
        <v>46638</v>
      </c>
      <c r="E998" t="s">
        <v>46</v>
      </c>
      <c r="F998" t="s">
        <v>43</v>
      </c>
      <c r="G998">
        <v>1</v>
      </c>
      <c r="I998" s="11">
        <f t="shared" si="144"/>
        <v>46638</v>
      </c>
      <c r="J998" t="s">
        <v>44</v>
      </c>
      <c r="K998" t="str">
        <f t="shared" si="145"/>
        <v>/* SEPTIEMBRE        */ { nombre: "Adviento, Semana I, MIÉRCOLES", archivo: "/ev/ta/1/miércoles.mp3", fecha: `${year}-09-08` },</v>
      </c>
      <c r="L998" s="10">
        <f t="shared" si="146"/>
        <v>46638</v>
      </c>
    </row>
    <row r="999" spans="1:12" hidden="1" x14ac:dyDescent="0.25">
      <c r="A999" t="str" cm="1">
        <f t="array" ref="A999">_xlfn.IFS(E999="Adviento","ta", E999="Navidad","tn", E999="Epifania","te", E999="Ordinario","to", E999="Cuaresma","tc", E999="Domingo De Ramos","tc", E999="Semana Santa","ss", E999="Triduo Pascual","tp", E999="Vigilia Pascual","tp", E999="Pascual","tp")</f>
        <v>ta</v>
      </c>
      <c r="B999" s="14" t="str">
        <f t="shared" si="147"/>
        <v>/* SEPTIEMBRE        */</v>
      </c>
      <c r="C999" s="15">
        <f t="shared" si="142"/>
        <v>46639</v>
      </c>
      <c r="D999" s="9">
        <f t="shared" si="143"/>
        <v>46639</v>
      </c>
      <c r="E999" t="s">
        <v>46</v>
      </c>
      <c r="F999" t="s">
        <v>43</v>
      </c>
      <c r="G999">
        <v>1</v>
      </c>
      <c r="I999" s="11">
        <f t="shared" si="144"/>
        <v>46639</v>
      </c>
      <c r="J999" t="s">
        <v>44</v>
      </c>
      <c r="K999" t="str">
        <f t="shared" si="145"/>
        <v>/* SEPTIEMBRE        */ { nombre: "Adviento, Semana I, JUEVES", archivo: "/ev/ta/1/jueves.mp3", fecha: `${year}-09-09` },</v>
      </c>
      <c r="L999" s="10">
        <f t="shared" si="146"/>
        <v>46639</v>
      </c>
    </row>
    <row r="1000" spans="1:12" hidden="1" x14ac:dyDescent="0.25">
      <c r="A1000" t="str" cm="1">
        <f t="array" ref="A1000">_xlfn.IFS(E1000="Adviento","ta", E1000="Navidad","tn", E1000="Epifania","te", E1000="Ordinario","to", E1000="Cuaresma","tc", E1000="Domingo De Ramos","tc", E1000="Semana Santa","ss", E1000="Triduo Pascual","tp", E1000="Vigilia Pascual","tp", E1000="Pascual","tp")</f>
        <v>ta</v>
      </c>
      <c r="B1000" s="14" t="str">
        <f t="shared" si="147"/>
        <v>/* SEPTIEMBRE        */</v>
      </c>
      <c r="C1000" s="15">
        <f t="shared" si="142"/>
        <v>46640</v>
      </c>
      <c r="D1000" s="9">
        <f t="shared" si="143"/>
        <v>46640</v>
      </c>
      <c r="E1000" t="s">
        <v>46</v>
      </c>
      <c r="F1000" t="s">
        <v>43</v>
      </c>
      <c r="G1000">
        <v>1</v>
      </c>
      <c r="I1000" s="11">
        <f t="shared" si="144"/>
        <v>46640</v>
      </c>
      <c r="J1000" t="s">
        <v>44</v>
      </c>
      <c r="K1000" t="str">
        <f t="shared" si="145"/>
        <v>/* SEPTIEMBRE        */ { nombre: "Adviento, Semana I, VIERNES", archivo: "/ev/ta/1/viernes.mp3", fecha: `${year}-09-10` },</v>
      </c>
      <c r="L1000" s="10">
        <f t="shared" si="146"/>
        <v>46640</v>
      </c>
    </row>
    <row r="1001" spans="1:12" hidden="1" x14ac:dyDescent="0.25">
      <c r="A1001" t="str" cm="1">
        <f t="array" ref="A1001">_xlfn.IFS(E1001="Adviento","ta", E1001="Navidad","tn", E1001="Epifania","te", E1001="Ordinario","to", E1001="Cuaresma","tc", E1001="Domingo De Ramos","tc", E1001="Semana Santa","ss", E1001="Triduo Pascual","tp", E1001="Vigilia Pascual","tp", E1001="Pascual","tp")</f>
        <v>ta</v>
      </c>
      <c r="B1001" s="14" t="str">
        <f t="shared" si="147"/>
        <v>/* SEPTIEMBRE        */</v>
      </c>
      <c r="C1001" s="15">
        <f t="shared" si="142"/>
        <v>46641</v>
      </c>
      <c r="D1001" s="9">
        <f t="shared" si="143"/>
        <v>46641</v>
      </c>
      <c r="E1001" t="s">
        <v>46</v>
      </c>
      <c r="F1001" t="s">
        <v>43</v>
      </c>
      <c r="G1001">
        <v>1</v>
      </c>
      <c r="I1001" s="11">
        <f t="shared" si="144"/>
        <v>46641</v>
      </c>
      <c r="J1001" t="s">
        <v>44</v>
      </c>
      <c r="K1001" t="str">
        <f t="shared" si="145"/>
        <v>/* SEPTIEMBRE        */ { nombre: "Adviento, Semana I, SÁBADO", archivo: "/ev/ta/1/sábado.mp3", fecha: `${year}-09-11` },</v>
      </c>
      <c r="L1001" s="10">
        <f t="shared" si="146"/>
        <v>46641</v>
      </c>
    </row>
    <row r="1002" spans="1:12" hidden="1" x14ac:dyDescent="0.25">
      <c r="A1002" t="str" cm="1">
        <f t="array" ref="A1002">_xlfn.IFS(E1002="Adviento","ta", E1002="Navidad","tn", E1002="Epifania","te", E1002="Ordinario","to", E1002="Cuaresma","tc", E1002="Domingo De Ramos","tc", E1002="Semana Santa","ss", E1002="Triduo Pascual","tp", E1002="Vigilia Pascual","tp", E1002="Pascual","tp")</f>
        <v>ta</v>
      </c>
      <c r="B1002" s="14" t="str">
        <f t="shared" si="147"/>
        <v>/* SEPTIEMBRE        */</v>
      </c>
      <c r="C1002" s="15">
        <f t="shared" si="142"/>
        <v>46642</v>
      </c>
      <c r="D1002" s="9">
        <f t="shared" si="143"/>
        <v>46642</v>
      </c>
      <c r="E1002" t="s">
        <v>46</v>
      </c>
      <c r="F1002" t="s">
        <v>43</v>
      </c>
      <c r="G1002">
        <v>1</v>
      </c>
      <c r="I1002" s="11">
        <f t="shared" si="144"/>
        <v>46642</v>
      </c>
      <c r="J1002" t="s">
        <v>44</v>
      </c>
      <c r="K1002" t="str">
        <f t="shared" si="145"/>
        <v>/* SEPTIEMBRE        */ { nombre: "Adviento, Semana I, DOMINGO", archivo: "/ev/ta/1/domingo.mp3", fecha: `${year}-09-12` },</v>
      </c>
      <c r="L1002" s="10">
        <f t="shared" si="146"/>
        <v>46642</v>
      </c>
    </row>
    <row r="1003" spans="1:12" hidden="1" x14ac:dyDescent="0.25">
      <c r="A1003" t="str" cm="1">
        <f t="array" ref="A1003">_xlfn.IFS(E1003="Adviento","ta", E1003="Navidad","tn", E1003="Epifania","te", E1003="Ordinario","to", E1003="Cuaresma","tc", E1003="Domingo De Ramos","tc", E1003="Semana Santa","ss", E1003="Triduo Pascual","tp", E1003="Vigilia Pascual","tp", E1003="Pascual","tp")</f>
        <v>ta</v>
      </c>
      <c r="B1003" s="14" t="str">
        <f t="shared" si="147"/>
        <v>/* SEPTIEMBRE        */</v>
      </c>
      <c r="C1003" s="15">
        <f t="shared" si="142"/>
        <v>46643</v>
      </c>
      <c r="D1003" s="9">
        <f t="shared" si="143"/>
        <v>46643</v>
      </c>
      <c r="E1003" t="s">
        <v>46</v>
      </c>
      <c r="F1003" t="s">
        <v>43</v>
      </c>
      <c r="G1003">
        <v>1</v>
      </c>
      <c r="I1003" s="11">
        <f t="shared" si="144"/>
        <v>46643</v>
      </c>
      <c r="J1003" t="s">
        <v>44</v>
      </c>
      <c r="K1003" t="str">
        <f t="shared" si="145"/>
        <v>/* SEPTIEMBRE        */ { nombre: "Adviento, Semana I, LUNES", archivo: "/ev/ta/1/lunes.mp3", fecha: `${year}-09-13` },</v>
      </c>
      <c r="L1003" s="10">
        <f t="shared" si="146"/>
        <v>46643</v>
      </c>
    </row>
    <row r="1004" spans="1:12" hidden="1" x14ac:dyDescent="0.25">
      <c r="A1004" t="str" cm="1">
        <f t="array" ref="A1004">_xlfn.IFS(E1004="Adviento","ta", E1004="Navidad","tn", E1004="Epifania","te", E1004="Ordinario","to", E1004="Cuaresma","tc", E1004="Domingo De Ramos","tc", E1004="Semana Santa","ss", E1004="Triduo Pascual","tp", E1004="Vigilia Pascual","tp", E1004="Pascual","tp")</f>
        <v>ta</v>
      </c>
      <c r="B1004" s="14" t="str">
        <f t="shared" si="147"/>
        <v>/* SEPTIEMBRE        */</v>
      </c>
      <c r="C1004" s="15">
        <f t="shared" si="142"/>
        <v>46644</v>
      </c>
      <c r="D1004" s="9">
        <f t="shared" si="143"/>
        <v>46644</v>
      </c>
      <c r="E1004" t="s">
        <v>46</v>
      </c>
      <c r="F1004" t="s">
        <v>43</v>
      </c>
      <c r="G1004">
        <v>1</v>
      </c>
      <c r="I1004" s="11">
        <f t="shared" si="144"/>
        <v>46644</v>
      </c>
      <c r="J1004" t="s">
        <v>44</v>
      </c>
      <c r="K1004" t="str">
        <f t="shared" si="145"/>
        <v>/* SEPTIEMBRE        */ { nombre: "Adviento, Semana I, MARTES", archivo: "/ev/ta/1/martes.mp3", fecha: `${year}-09-14` },</v>
      </c>
      <c r="L1004" s="10">
        <f t="shared" si="146"/>
        <v>46644</v>
      </c>
    </row>
    <row r="1005" spans="1:12" hidden="1" x14ac:dyDescent="0.25">
      <c r="A1005" t="str" cm="1">
        <f t="array" ref="A1005">_xlfn.IFS(E1005="Adviento","ta", E1005="Navidad","tn", E1005="Epifania","te", E1005="Ordinario","to", E1005="Cuaresma","tc", E1005="Domingo De Ramos","tc", E1005="Semana Santa","ss", E1005="Triduo Pascual","tp", E1005="Vigilia Pascual","tp", E1005="Pascual","tp")</f>
        <v>ta</v>
      </c>
      <c r="B1005" s="14" t="str">
        <f t="shared" si="147"/>
        <v>/* SEPTIEMBRE        */</v>
      </c>
      <c r="C1005" s="15">
        <f t="shared" si="142"/>
        <v>46645</v>
      </c>
      <c r="D1005" s="9">
        <f t="shared" si="143"/>
        <v>46645</v>
      </c>
      <c r="E1005" t="s">
        <v>46</v>
      </c>
      <c r="F1005" t="s">
        <v>43</v>
      </c>
      <c r="G1005">
        <v>1</v>
      </c>
      <c r="I1005" s="11">
        <f t="shared" si="144"/>
        <v>46645</v>
      </c>
      <c r="J1005" t="s">
        <v>44</v>
      </c>
      <c r="K1005" t="str">
        <f t="shared" si="145"/>
        <v>/* SEPTIEMBRE        */ { nombre: "Adviento, Semana I, MIÉRCOLES", archivo: "/ev/ta/1/miércoles.mp3", fecha: `${year}-09-15` },</v>
      </c>
      <c r="L1005" s="10">
        <f t="shared" si="146"/>
        <v>46645</v>
      </c>
    </row>
    <row r="1006" spans="1:12" hidden="1" x14ac:dyDescent="0.25">
      <c r="A1006" t="str" cm="1">
        <f t="array" ref="A1006">_xlfn.IFS(E1006="Adviento","ta", E1006="Navidad","tn", E1006="Epifania","te", E1006="Ordinario","to", E1006="Cuaresma","tc", E1006="Domingo De Ramos","tc", E1006="Semana Santa","ss", E1006="Triduo Pascual","tp", E1006="Vigilia Pascual","tp", E1006="Pascual","tp")</f>
        <v>ta</v>
      </c>
      <c r="B1006" s="14" t="str">
        <f t="shared" si="147"/>
        <v>/* SEPTIEMBRE        */</v>
      </c>
      <c r="C1006" s="15">
        <f t="shared" si="142"/>
        <v>46646</v>
      </c>
      <c r="D1006" s="9">
        <f t="shared" si="143"/>
        <v>46646</v>
      </c>
      <c r="E1006" t="s">
        <v>46</v>
      </c>
      <c r="F1006" t="s">
        <v>43</v>
      </c>
      <c r="G1006">
        <v>1</v>
      </c>
      <c r="I1006" s="11">
        <f t="shared" si="144"/>
        <v>46646</v>
      </c>
      <c r="J1006" t="s">
        <v>44</v>
      </c>
      <c r="K1006" t="str">
        <f t="shared" si="145"/>
        <v>/* SEPTIEMBRE        */ { nombre: "Adviento, Semana I, JUEVES", archivo: "/ev/ta/1/jueves.mp3", fecha: `${year}-09-16` },</v>
      </c>
      <c r="L1006" s="10">
        <f t="shared" si="146"/>
        <v>46646</v>
      </c>
    </row>
    <row r="1007" spans="1:12" hidden="1" x14ac:dyDescent="0.25">
      <c r="A1007" t="str" cm="1">
        <f t="array" ref="A1007">_xlfn.IFS(E1007="Adviento","ta", E1007="Navidad","tn", E1007="Epifania","te", E1007="Ordinario","to", E1007="Cuaresma","tc", E1007="Domingo De Ramos","tc", E1007="Semana Santa","ss", E1007="Triduo Pascual","tp", E1007="Vigilia Pascual","tp", E1007="Pascual","tp")</f>
        <v>ta</v>
      </c>
      <c r="B1007" s="14" t="str">
        <f t="shared" si="147"/>
        <v>/* SEPTIEMBRE        */</v>
      </c>
      <c r="C1007" s="15">
        <f t="shared" si="142"/>
        <v>46647</v>
      </c>
      <c r="D1007" s="9">
        <f t="shared" si="143"/>
        <v>46647</v>
      </c>
      <c r="E1007" t="s">
        <v>46</v>
      </c>
      <c r="F1007" t="s">
        <v>43</v>
      </c>
      <c r="G1007">
        <v>1</v>
      </c>
      <c r="I1007" s="11">
        <f t="shared" si="144"/>
        <v>46647</v>
      </c>
      <c r="J1007" t="s">
        <v>44</v>
      </c>
      <c r="K1007" t="str">
        <f t="shared" si="145"/>
        <v>/* SEPTIEMBRE        */ { nombre: "Adviento, Semana I, VIERNES", archivo: "/ev/ta/1/viernes.mp3", fecha: `${year}-09-17` },</v>
      </c>
      <c r="L1007" s="10">
        <f t="shared" si="146"/>
        <v>46647</v>
      </c>
    </row>
    <row r="1008" spans="1:12" hidden="1" x14ac:dyDescent="0.25">
      <c r="A1008" t="str" cm="1">
        <f t="array" ref="A1008">_xlfn.IFS(E1008="Adviento","ta", E1008="Navidad","tn", E1008="Epifania","te", E1008="Ordinario","to", E1008="Cuaresma","tc", E1008="Domingo De Ramos","tc", E1008="Semana Santa","ss", E1008="Triduo Pascual","tp", E1008="Vigilia Pascual","tp", E1008="Pascual","tp")</f>
        <v>ta</v>
      </c>
      <c r="B1008" s="14" t="str">
        <f t="shared" si="147"/>
        <v>/* SEPTIEMBRE        */</v>
      </c>
      <c r="C1008" s="15">
        <f t="shared" si="142"/>
        <v>46648</v>
      </c>
      <c r="D1008" s="9">
        <f t="shared" si="143"/>
        <v>46648</v>
      </c>
      <c r="E1008" t="s">
        <v>46</v>
      </c>
      <c r="F1008" t="s">
        <v>43</v>
      </c>
      <c r="G1008">
        <v>1</v>
      </c>
      <c r="I1008" s="11">
        <f t="shared" si="144"/>
        <v>46648</v>
      </c>
      <c r="J1008" t="s">
        <v>44</v>
      </c>
      <c r="K1008" t="str">
        <f t="shared" si="145"/>
        <v>/* SEPTIEMBRE        */ { nombre: "Adviento, Semana I, SÁBADO", archivo: "/ev/ta/1/sábado.mp3", fecha: `${year}-09-18` },</v>
      </c>
      <c r="L1008" s="10">
        <f t="shared" si="146"/>
        <v>46648</v>
      </c>
    </row>
    <row r="1009" spans="1:12" hidden="1" x14ac:dyDescent="0.25">
      <c r="A1009" t="str" cm="1">
        <f t="array" ref="A1009">_xlfn.IFS(E1009="Adviento","ta", E1009="Navidad","tn", E1009="Epifania","te", E1009="Ordinario","to", E1009="Cuaresma","tc", E1009="Domingo De Ramos","tc", E1009="Semana Santa","ss", E1009="Triduo Pascual","tp", E1009="Vigilia Pascual","tp", E1009="Pascual","tp")</f>
        <v>ta</v>
      </c>
      <c r="B1009" s="14" t="str">
        <f t="shared" si="147"/>
        <v>/* SEPTIEMBRE        */</v>
      </c>
      <c r="C1009" s="15">
        <f t="shared" si="142"/>
        <v>46649</v>
      </c>
      <c r="D1009" s="9">
        <f t="shared" si="143"/>
        <v>46649</v>
      </c>
      <c r="E1009" t="s">
        <v>46</v>
      </c>
      <c r="F1009" t="s">
        <v>43</v>
      </c>
      <c r="G1009">
        <v>1</v>
      </c>
      <c r="I1009" s="11">
        <f t="shared" si="144"/>
        <v>46649</v>
      </c>
      <c r="J1009" t="s">
        <v>44</v>
      </c>
      <c r="K1009" t="str">
        <f t="shared" si="145"/>
        <v>/* SEPTIEMBRE        */ { nombre: "Adviento, Semana I, DOMINGO", archivo: "/ev/ta/1/domingo.mp3", fecha: `${year}-09-19` },</v>
      </c>
      <c r="L1009" s="10">
        <f t="shared" si="146"/>
        <v>46649</v>
      </c>
    </row>
    <row r="1010" spans="1:12" hidden="1" x14ac:dyDescent="0.25">
      <c r="A1010" t="str" cm="1">
        <f t="array" ref="A1010">_xlfn.IFS(E1010="Adviento","ta", E1010="Navidad","tn", E1010="Epifania","te", E1010="Ordinario","to", E1010="Cuaresma","tc", E1010="Domingo De Ramos","tc", E1010="Semana Santa","ss", E1010="Triduo Pascual","tp", E1010="Vigilia Pascual","tp", E1010="Pascual","tp")</f>
        <v>ta</v>
      </c>
      <c r="B1010" s="14" t="str">
        <f t="shared" si="147"/>
        <v>/* SEPTIEMBRE        */</v>
      </c>
      <c r="C1010" s="15">
        <f t="shared" si="142"/>
        <v>46650</v>
      </c>
      <c r="D1010" s="9">
        <f t="shared" si="143"/>
        <v>46650</v>
      </c>
      <c r="E1010" t="s">
        <v>46</v>
      </c>
      <c r="F1010" t="s">
        <v>43</v>
      </c>
      <c r="G1010">
        <v>1</v>
      </c>
      <c r="I1010" s="11">
        <f t="shared" si="144"/>
        <v>46650</v>
      </c>
      <c r="J1010" t="s">
        <v>44</v>
      </c>
      <c r="K1010" t="str">
        <f t="shared" si="145"/>
        <v>/* SEPTIEMBRE        */ { nombre: "Adviento, Semana I, LUNES", archivo: "/ev/ta/1/lunes.mp3", fecha: `${year}-09-20` },</v>
      </c>
      <c r="L1010" s="10">
        <f t="shared" si="146"/>
        <v>46650</v>
      </c>
    </row>
    <row r="1011" spans="1:12" hidden="1" x14ac:dyDescent="0.25">
      <c r="A1011" t="str" cm="1">
        <f t="array" ref="A1011">_xlfn.IFS(E1011="Adviento","ta", E1011="Navidad","tn", E1011="Epifania","te", E1011="Ordinario","to", E1011="Cuaresma","tc", E1011="Domingo De Ramos","tc", E1011="Semana Santa","ss", E1011="Triduo Pascual","tp", E1011="Vigilia Pascual","tp", E1011="Pascual","tp")</f>
        <v>ta</v>
      </c>
      <c r="B1011" s="14" t="str">
        <f t="shared" si="147"/>
        <v>/* SEPTIEMBRE        */</v>
      </c>
      <c r="C1011" s="15">
        <f t="shared" si="142"/>
        <v>46651</v>
      </c>
      <c r="D1011" s="9">
        <f t="shared" si="143"/>
        <v>46651</v>
      </c>
      <c r="E1011" t="s">
        <v>46</v>
      </c>
      <c r="F1011" t="s">
        <v>43</v>
      </c>
      <c r="G1011">
        <v>1</v>
      </c>
      <c r="I1011" s="11">
        <f t="shared" si="144"/>
        <v>46651</v>
      </c>
      <c r="J1011" t="s">
        <v>44</v>
      </c>
      <c r="K1011" t="str">
        <f t="shared" si="145"/>
        <v>/* SEPTIEMBRE        */ { nombre: "Adviento, Semana I, MARTES", archivo: "/ev/ta/1/martes.mp3", fecha: `${year}-09-21` },</v>
      </c>
      <c r="L1011" s="10">
        <f t="shared" si="146"/>
        <v>46651</v>
      </c>
    </row>
    <row r="1012" spans="1:12" hidden="1" x14ac:dyDescent="0.25">
      <c r="A1012" t="str" cm="1">
        <f t="array" ref="A1012">_xlfn.IFS(E1012="Adviento","ta", E1012="Navidad","tn", E1012="Epifania","te", E1012="Ordinario","to", E1012="Cuaresma","tc", E1012="Domingo De Ramos","tc", E1012="Semana Santa","ss", E1012="Triduo Pascual","tp", E1012="Vigilia Pascual","tp", E1012="Pascual","tp")</f>
        <v>ta</v>
      </c>
      <c r="B1012" s="14" t="str">
        <f t="shared" si="147"/>
        <v>/* SEPTIEMBRE        */</v>
      </c>
      <c r="C1012" s="15">
        <f t="shared" si="142"/>
        <v>46652</v>
      </c>
      <c r="D1012" s="9">
        <f t="shared" si="143"/>
        <v>46652</v>
      </c>
      <c r="E1012" t="s">
        <v>46</v>
      </c>
      <c r="F1012" t="s">
        <v>43</v>
      </c>
      <c r="G1012">
        <v>1</v>
      </c>
      <c r="I1012" s="11">
        <f t="shared" si="144"/>
        <v>46652</v>
      </c>
      <c r="J1012" t="s">
        <v>44</v>
      </c>
      <c r="K1012" t="str">
        <f t="shared" si="145"/>
        <v>/* SEPTIEMBRE        */ { nombre: "Adviento, Semana I, MIÉRCOLES", archivo: "/ev/ta/1/miércoles.mp3", fecha: `${year}-09-22` },</v>
      </c>
      <c r="L1012" s="10">
        <f t="shared" si="146"/>
        <v>46652</v>
      </c>
    </row>
    <row r="1013" spans="1:12" hidden="1" x14ac:dyDescent="0.25">
      <c r="A1013" t="str" cm="1">
        <f t="array" ref="A1013">_xlfn.IFS(E1013="Adviento","ta", E1013="Navidad","tn", E1013="Epifania","te", E1013="Ordinario","to", E1013="Cuaresma","tc", E1013="Domingo De Ramos","tc", E1013="Semana Santa","ss", E1013="Triduo Pascual","tp", E1013="Vigilia Pascual","tp", E1013="Pascual","tp")</f>
        <v>ta</v>
      </c>
      <c r="B1013" s="14" t="str">
        <f t="shared" si="147"/>
        <v>/* SEPTIEMBRE        */</v>
      </c>
      <c r="C1013" s="15">
        <f t="shared" ref="C1013:C1076" si="148">+C1012+1</f>
        <v>46653</v>
      </c>
      <c r="D1013" s="9">
        <f t="shared" ref="D1013:D1076" si="149">+D1012+1</f>
        <v>46653</v>
      </c>
      <c r="E1013" t="s">
        <v>46</v>
      </c>
      <c r="F1013" t="s">
        <v>43</v>
      </c>
      <c r="G1013">
        <v>1</v>
      </c>
      <c r="I1013" s="11">
        <f t="shared" ref="I1013:I1076" si="150">D1013</f>
        <v>46653</v>
      </c>
      <c r="J1013" t="s">
        <v>44</v>
      </c>
      <c r="K1013" t="str">
        <f t="shared" ref="K1013:K1076" si="151">_xlfn.CONCAT(B1013, " ", "{ nombre: ", CHAR(34), E1013, ", ", F1013, " ", ROMAN(G1013),H1013, ", ", UPPER(TEXT(D1013, "[$-es-ES]dddd")), CHAR(34), ", archivo: ", CHAR(34), "/ev/", _xlfn.IFS(E1013="Adviento","ta", E1013="Navidad","tn", E1013="Epifania","te", E1013="Ordinario","to", E1013="Cuaresma","tc", E1013="Domingo De Ramos","tc", E1013="Semana Santa","ss", E1013="Triduo Pascual","tp", E1013="Vigilia Pascual","tp", E1013="Pascual","tp"), "/", G1013, "/", TEXT(D1013, "[$-es-ES]dddd"), ".mp3", CHAR(34), ", fecha: `${year}-", TEXT(D1013, "mm-dd"), "` },")</f>
        <v>/* SEPTIEMBRE        */ { nombre: "Adviento, Semana I, JUEVES", archivo: "/ev/ta/1/jueves.mp3", fecha: `${year}-09-23` },</v>
      </c>
      <c r="L1013" s="10">
        <f t="shared" ref="L1013:L1076" si="152">D1013</f>
        <v>46653</v>
      </c>
    </row>
    <row r="1014" spans="1:12" hidden="1" x14ac:dyDescent="0.25">
      <c r="A1014" t="str" cm="1">
        <f t="array" ref="A1014">_xlfn.IFS(E1014="Adviento","ta", E1014="Navidad","tn", E1014="Epifania","te", E1014="Ordinario","to", E1014="Cuaresma","tc", E1014="Domingo De Ramos","tc", E1014="Semana Santa","ss", E1014="Triduo Pascual","tp", E1014="Vigilia Pascual","tp", E1014="Pascual","tp")</f>
        <v>ta</v>
      </c>
      <c r="B1014" s="14" t="str">
        <f t="shared" si="147"/>
        <v>/* SEPTIEMBRE        */</v>
      </c>
      <c r="C1014" s="15">
        <f t="shared" si="148"/>
        <v>46654</v>
      </c>
      <c r="D1014" s="9">
        <f t="shared" si="149"/>
        <v>46654</v>
      </c>
      <c r="E1014" t="s">
        <v>46</v>
      </c>
      <c r="F1014" t="s">
        <v>43</v>
      </c>
      <c r="G1014">
        <v>1</v>
      </c>
      <c r="I1014" s="11">
        <f t="shared" si="150"/>
        <v>46654</v>
      </c>
      <c r="J1014" t="s">
        <v>44</v>
      </c>
      <c r="K1014" t="str">
        <f t="shared" si="151"/>
        <v>/* SEPTIEMBRE        */ { nombre: "Adviento, Semana I, VIERNES", archivo: "/ev/ta/1/viernes.mp3", fecha: `${year}-09-24` },</v>
      </c>
      <c r="L1014" s="10">
        <f t="shared" si="152"/>
        <v>46654</v>
      </c>
    </row>
    <row r="1015" spans="1:12" hidden="1" x14ac:dyDescent="0.25">
      <c r="A1015" t="str" cm="1">
        <f t="array" ref="A1015">_xlfn.IFS(E1015="Adviento","ta", E1015="Navidad","tn", E1015="Epifania","te", E1015="Ordinario","to", E1015="Cuaresma","tc", E1015="Domingo De Ramos","tc", E1015="Semana Santa","ss", E1015="Triduo Pascual","tp", E1015="Vigilia Pascual","tp", E1015="Pascual","tp")</f>
        <v>ta</v>
      </c>
      <c r="B1015" s="14" t="str">
        <f t="shared" si="147"/>
        <v>/* SEPTIEMBRE        */</v>
      </c>
      <c r="C1015" s="15">
        <f t="shared" si="148"/>
        <v>46655</v>
      </c>
      <c r="D1015" s="9">
        <f t="shared" si="149"/>
        <v>46655</v>
      </c>
      <c r="E1015" t="s">
        <v>46</v>
      </c>
      <c r="F1015" t="s">
        <v>43</v>
      </c>
      <c r="G1015">
        <v>1</v>
      </c>
      <c r="I1015" s="11">
        <f t="shared" si="150"/>
        <v>46655</v>
      </c>
      <c r="J1015" t="s">
        <v>44</v>
      </c>
      <c r="K1015" t="str">
        <f t="shared" si="151"/>
        <v>/* SEPTIEMBRE        */ { nombre: "Adviento, Semana I, SÁBADO", archivo: "/ev/ta/1/sábado.mp3", fecha: `${year}-09-25` },</v>
      </c>
      <c r="L1015" s="10">
        <f t="shared" si="152"/>
        <v>46655</v>
      </c>
    </row>
    <row r="1016" spans="1:12" hidden="1" x14ac:dyDescent="0.25">
      <c r="A1016" t="str" cm="1">
        <f t="array" ref="A1016">_xlfn.IFS(E1016="Adviento","ta", E1016="Navidad","tn", E1016="Epifania","te", E1016="Ordinario","to", E1016="Cuaresma","tc", E1016="Domingo De Ramos","tc", E1016="Semana Santa","ss", E1016="Triduo Pascual","tp", E1016="Vigilia Pascual","tp", E1016="Pascual","tp")</f>
        <v>ta</v>
      </c>
      <c r="B1016" s="14" t="str">
        <f t="shared" si="147"/>
        <v>/* SEPTIEMBRE        */</v>
      </c>
      <c r="C1016" s="15">
        <f t="shared" si="148"/>
        <v>46656</v>
      </c>
      <c r="D1016" s="9">
        <f t="shared" si="149"/>
        <v>46656</v>
      </c>
      <c r="E1016" t="s">
        <v>46</v>
      </c>
      <c r="F1016" t="s">
        <v>43</v>
      </c>
      <c r="G1016">
        <v>1</v>
      </c>
      <c r="I1016" s="11">
        <f t="shared" si="150"/>
        <v>46656</v>
      </c>
      <c r="J1016" t="s">
        <v>44</v>
      </c>
      <c r="K1016" t="str">
        <f t="shared" si="151"/>
        <v>/* SEPTIEMBRE        */ { nombre: "Adviento, Semana I, DOMINGO", archivo: "/ev/ta/1/domingo.mp3", fecha: `${year}-09-26` },</v>
      </c>
      <c r="L1016" s="10">
        <f t="shared" si="152"/>
        <v>46656</v>
      </c>
    </row>
    <row r="1017" spans="1:12" hidden="1" x14ac:dyDescent="0.25">
      <c r="A1017" t="str" cm="1">
        <f t="array" ref="A1017">_xlfn.IFS(E1017="Adviento","ta", E1017="Navidad","tn", E1017="Epifania","te", E1017="Ordinario","to", E1017="Cuaresma","tc", E1017="Domingo De Ramos","tc", E1017="Semana Santa","ss", E1017="Triduo Pascual","tp", E1017="Vigilia Pascual","tp", E1017="Pascual","tp")</f>
        <v>ta</v>
      </c>
      <c r="B1017" s="14" t="str">
        <f t="shared" si="147"/>
        <v>/* SEPTIEMBRE        */</v>
      </c>
      <c r="C1017" s="15">
        <f t="shared" si="148"/>
        <v>46657</v>
      </c>
      <c r="D1017" s="9">
        <f t="shared" si="149"/>
        <v>46657</v>
      </c>
      <c r="E1017" t="s">
        <v>46</v>
      </c>
      <c r="F1017" t="s">
        <v>43</v>
      </c>
      <c r="G1017">
        <v>1</v>
      </c>
      <c r="I1017" s="11">
        <f t="shared" si="150"/>
        <v>46657</v>
      </c>
      <c r="J1017" t="s">
        <v>44</v>
      </c>
      <c r="K1017" t="str">
        <f t="shared" si="151"/>
        <v>/* SEPTIEMBRE        */ { nombre: "Adviento, Semana I, LUNES", archivo: "/ev/ta/1/lunes.mp3", fecha: `${year}-09-27` },</v>
      </c>
      <c r="L1017" s="10">
        <f t="shared" si="152"/>
        <v>46657</v>
      </c>
    </row>
    <row r="1018" spans="1:12" hidden="1" x14ac:dyDescent="0.25">
      <c r="A1018" t="str" cm="1">
        <f t="array" ref="A1018">_xlfn.IFS(E1018="Adviento","ta", E1018="Navidad","tn", E1018="Epifania","te", E1018="Ordinario","to", E1018="Cuaresma","tc", E1018="Domingo De Ramos","tc", E1018="Semana Santa","ss", E1018="Triduo Pascual","tp", E1018="Vigilia Pascual","tp", E1018="Pascual","tp")</f>
        <v>ta</v>
      </c>
      <c r="B1018" s="14" t="str">
        <f t="shared" si="147"/>
        <v>/* SEPTIEMBRE        */</v>
      </c>
      <c r="C1018" s="15">
        <f t="shared" si="148"/>
        <v>46658</v>
      </c>
      <c r="D1018" s="9">
        <f t="shared" si="149"/>
        <v>46658</v>
      </c>
      <c r="E1018" t="s">
        <v>46</v>
      </c>
      <c r="F1018" t="s">
        <v>43</v>
      </c>
      <c r="G1018">
        <v>1</v>
      </c>
      <c r="I1018" s="11">
        <f t="shared" si="150"/>
        <v>46658</v>
      </c>
      <c r="J1018" t="s">
        <v>44</v>
      </c>
      <c r="K1018" t="str">
        <f t="shared" si="151"/>
        <v>/* SEPTIEMBRE        */ { nombre: "Adviento, Semana I, MARTES", archivo: "/ev/ta/1/martes.mp3", fecha: `${year}-09-28` },</v>
      </c>
      <c r="L1018" s="10">
        <f t="shared" si="152"/>
        <v>46658</v>
      </c>
    </row>
    <row r="1019" spans="1:12" hidden="1" x14ac:dyDescent="0.25">
      <c r="A1019" t="str" cm="1">
        <f t="array" ref="A1019">_xlfn.IFS(E1019="Adviento","ta", E1019="Navidad","tn", E1019="Epifania","te", E1019="Ordinario","to", E1019="Cuaresma","tc", E1019="Domingo De Ramos","tc", E1019="Semana Santa","ss", E1019="Triduo Pascual","tp", E1019="Vigilia Pascual","tp", E1019="Pascual","tp")</f>
        <v>ta</v>
      </c>
      <c r="B1019" s="14" t="str">
        <f t="shared" si="147"/>
        <v>/* SEPTIEMBRE        */</v>
      </c>
      <c r="C1019" s="15">
        <f t="shared" si="148"/>
        <v>46659</v>
      </c>
      <c r="D1019" s="9">
        <f t="shared" si="149"/>
        <v>46659</v>
      </c>
      <c r="E1019" t="s">
        <v>46</v>
      </c>
      <c r="F1019" t="s">
        <v>43</v>
      </c>
      <c r="G1019">
        <v>1</v>
      </c>
      <c r="I1019" s="11">
        <f t="shared" si="150"/>
        <v>46659</v>
      </c>
      <c r="J1019" t="s">
        <v>44</v>
      </c>
      <c r="K1019" t="str">
        <f t="shared" si="151"/>
        <v>/* SEPTIEMBRE        */ { nombre: "Adviento, Semana I, MIÉRCOLES", archivo: "/ev/ta/1/miércoles.mp3", fecha: `${year}-09-29` },</v>
      </c>
      <c r="L1019" s="10">
        <f t="shared" si="152"/>
        <v>46659</v>
      </c>
    </row>
    <row r="1020" spans="1:12" hidden="1" x14ac:dyDescent="0.25">
      <c r="A1020" t="str" cm="1">
        <f t="array" ref="A1020">_xlfn.IFS(E1020="Adviento","ta", E1020="Navidad","tn", E1020="Epifania","te", E1020="Ordinario","to", E1020="Cuaresma","tc", E1020="Domingo De Ramos","tc", E1020="Semana Santa","ss", E1020="Triduo Pascual","tp", E1020="Vigilia Pascual","tp", E1020="Pascual","tp")</f>
        <v>ta</v>
      </c>
      <c r="B1020" s="14" t="str">
        <f t="shared" si="147"/>
        <v>/* SEPTIEMBRE        */</v>
      </c>
      <c r="C1020" s="15">
        <f t="shared" si="148"/>
        <v>46660</v>
      </c>
      <c r="D1020" s="9">
        <f t="shared" si="149"/>
        <v>46660</v>
      </c>
      <c r="E1020" t="s">
        <v>46</v>
      </c>
      <c r="F1020" t="s">
        <v>43</v>
      </c>
      <c r="G1020">
        <v>1</v>
      </c>
      <c r="I1020" s="11">
        <f t="shared" si="150"/>
        <v>46660</v>
      </c>
      <c r="J1020" t="s">
        <v>44</v>
      </c>
      <c r="K1020" t="str">
        <f t="shared" si="151"/>
        <v>/* SEPTIEMBRE        */ { nombre: "Adviento, Semana I, JUEVES", archivo: "/ev/ta/1/jueves.mp3", fecha: `${year}-09-30` },</v>
      </c>
      <c r="L1020" s="10">
        <f t="shared" si="152"/>
        <v>46660</v>
      </c>
    </row>
    <row r="1021" spans="1:12" hidden="1" x14ac:dyDescent="0.25">
      <c r="A1021" t="str" cm="1">
        <f t="array" ref="A1021">_xlfn.IFS(E1021="Adviento","ta", E1021="Navidad","tn", E1021="Epifania","te", E1021="Ordinario","to", E1021="Cuaresma","tc", E1021="Domingo De Ramos","tc", E1021="Semana Santa","ss", E1021="Triduo Pascual","tp", E1021="Vigilia Pascual","tp", E1021="Pascual","tp")</f>
        <v>ta</v>
      </c>
      <c r="B1021" s="14" t="str">
        <f t="shared" si="147"/>
        <v>/* OCTUBRE        */</v>
      </c>
      <c r="C1021" s="15">
        <f t="shared" si="148"/>
        <v>46661</v>
      </c>
      <c r="D1021" s="9">
        <f t="shared" si="149"/>
        <v>46661</v>
      </c>
      <c r="E1021" t="s">
        <v>46</v>
      </c>
      <c r="F1021" t="s">
        <v>43</v>
      </c>
      <c r="G1021">
        <v>1</v>
      </c>
      <c r="I1021" s="11">
        <f t="shared" si="150"/>
        <v>46661</v>
      </c>
      <c r="J1021" t="s">
        <v>44</v>
      </c>
      <c r="K1021" t="str">
        <f t="shared" si="151"/>
        <v>/* OCTUBRE        */ { nombre: "Adviento, Semana I, VIERNES", archivo: "/ev/ta/1/viernes.mp3", fecha: `${year}-10-01` },</v>
      </c>
      <c r="L1021" s="10">
        <f t="shared" si="152"/>
        <v>46661</v>
      </c>
    </row>
    <row r="1022" spans="1:12" hidden="1" x14ac:dyDescent="0.25">
      <c r="A1022" t="str" cm="1">
        <f t="array" ref="A1022">_xlfn.IFS(E1022="Adviento","ta", E1022="Navidad","tn", E1022="Epifania","te", E1022="Ordinario","to", E1022="Cuaresma","tc", E1022="Domingo De Ramos","tc", E1022="Semana Santa","ss", E1022="Triduo Pascual","tp", E1022="Vigilia Pascual","tp", E1022="Pascual","tp")</f>
        <v>ta</v>
      </c>
      <c r="B1022" s="14" t="str">
        <f t="shared" si="147"/>
        <v>/* OCTUBRE        */</v>
      </c>
      <c r="C1022" s="15">
        <f t="shared" si="148"/>
        <v>46662</v>
      </c>
      <c r="D1022" s="9">
        <f t="shared" si="149"/>
        <v>46662</v>
      </c>
      <c r="E1022" t="s">
        <v>46</v>
      </c>
      <c r="F1022" t="s">
        <v>43</v>
      </c>
      <c r="G1022">
        <v>1</v>
      </c>
      <c r="I1022" s="11">
        <f t="shared" si="150"/>
        <v>46662</v>
      </c>
      <c r="J1022" t="s">
        <v>44</v>
      </c>
      <c r="K1022" t="str">
        <f t="shared" si="151"/>
        <v>/* OCTUBRE        */ { nombre: "Adviento, Semana I, SÁBADO", archivo: "/ev/ta/1/sábado.mp3", fecha: `${year}-10-02` },</v>
      </c>
      <c r="L1022" s="10">
        <f t="shared" si="152"/>
        <v>46662</v>
      </c>
    </row>
    <row r="1023" spans="1:12" hidden="1" x14ac:dyDescent="0.25">
      <c r="A1023" t="str" cm="1">
        <f t="array" ref="A1023">_xlfn.IFS(E1023="Adviento","ta", E1023="Navidad","tn", E1023="Epifania","te", E1023="Ordinario","to", E1023="Cuaresma","tc", E1023="Domingo De Ramos","tc", E1023="Semana Santa","ss", E1023="Triduo Pascual","tp", E1023="Vigilia Pascual","tp", E1023="Pascual","tp")</f>
        <v>ta</v>
      </c>
      <c r="B1023" s="14" t="str">
        <f t="shared" si="147"/>
        <v>/* OCTUBRE        */</v>
      </c>
      <c r="C1023" s="15">
        <f t="shared" si="148"/>
        <v>46663</v>
      </c>
      <c r="D1023" s="9">
        <f t="shared" si="149"/>
        <v>46663</v>
      </c>
      <c r="E1023" t="s">
        <v>46</v>
      </c>
      <c r="F1023" t="s">
        <v>43</v>
      </c>
      <c r="G1023">
        <v>1</v>
      </c>
      <c r="I1023" s="11">
        <f t="shared" si="150"/>
        <v>46663</v>
      </c>
      <c r="J1023" t="s">
        <v>44</v>
      </c>
      <c r="K1023" t="str">
        <f t="shared" si="151"/>
        <v>/* OCTUBRE        */ { nombre: "Adviento, Semana I, DOMINGO", archivo: "/ev/ta/1/domingo.mp3", fecha: `${year}-10-03` },</v>
      </c>
      <c r="L1023" s="10">
        <f t="shared" si="152"/>
        <v>46663</v>
      </c>
    </row>
    <row r="1024" spans="1:12" hidden="1" x14ac:dyDescent="0.25">
      <c r="A1024" t="str" cm="1">
        <f t="array" ref="A1024">_xlfn.IFS(E1024="Adviento","ta", E1024="Navidad","tn", E1024="Epifania","te", E1024="Ordinario","to", E1024="Cuaresma","tc", E1024="Domingo De Ramos","tc", E1024="Semana Santa","ss", E1024="Triduo Pascual","tp", E1024="Vigilia Pascual","tp", E1024="Pascual","tp")</f>
        <v>ta</v>
      </c>
      <c r="B1024" s="14" t="str">
        <f t="shared" si="147"/>
        <v>/* OCTUBRE        */</v>
      </c>
      <c r="C1024" s="15">
        <f t="shared" si="148"/>
        <v>46664</v>
      </c>
      <c r="D1024" s="9">
        <f t="shared" si="149"/>
        <v>46664</v>
      </c>
      <c r="E1024" t="s">
        <v>46</v>
      </c>
      <c r="F1024" t="s">
        <v>43</v>
      </c>
      <c r="G1024">
        <v>1</v>
      </c>
      <c r="I1024" s="11">
        <f t="shared" si="150"/>
        <v>46664</v>
      </c>
      <c r="J1024" t="s">
        <v>44</v>
      </c>
      <c r="K1024" t="str">
        <f t="shared" si="151"/>
        <v>/* OCTUBRE        */ { nombre: "Adviento, Semana I, LUNES", archivo: "/ev/ta/1/lunes.mp3", fecha: `${year}-10-04` },</v>
      </c>
      <c r="L1024" s="10">
        <f t="shared" si="152"/>
        <v>46664</v>
      </c>
    </row>
    <row r="1025" spans="1:12" hidden="1" x14ac:dyDescent="0.25">
      <c r="A1025" t="str" cm="1">
        <f t="array" ref="A1025">_xlfn.IFS(E1025="Adviento","ta", E1025="Navidad","tn", E1025="Epifania","te", E1025="Ordinario","to", E1025="Cuaresma","tc", E1025="Domingo De Ramos","tc", E1025="Semana Santa","ss", E1025="Triduo Pascual","tp", E1025="Vigilia Pascual","tp", E1025="Pascual","tp")</f>
        <v>ta</v>
      </c>
      <c r="B1025" s="14" t="str">
        <f t="shared" si="147"/>
        <v>/* OCTUBRE        */</v>
      </c>
      <c r="C1025" s="15">
        <f t="shared" si="148"/>
        <v>46665</v>
      </c>
      <c r="D1025" s="9">
        <f t="shared" si="149"/>
        <v>46665</v>
      </c>
      <c r="E1025" t="s">
        <v>46</v>
      </c>
      <c r="F1025" t="s">
        <v>43</v>
      </c>
      <c r="G1025">
        <v>1</v>
      </c>
      <c r="I1025" s="11">
        <f t="shared" si="150"/>
        <v>46665</v>
      </c>
      <c r="J1025" t="s">
        <v>44</v>
      </c>
      <c r="K1025" t="str">
        <f t="shared" si="151"/>
        <v>/* OCTUBRE        */ { nombre: "Adviento, Semana I, MARTES", archivo: "/ev/ta/1/martes.mp3", fecha: `${year}-10-05` },</v>
      </c>
      <c r="L1025" s="10">
        <f t="shared" si="152"/>
        <v>46665</v>
      </c>
    </row>
    <row r="1026" spans="1:12" hidden="1" x14ac:dyDescent="0.25">
      <c r="A1026" t="str" cm="1">
        <f t="array" ref="A1026">_xlfn.IFS(E1026="Adviento","ta", E1026="Navidad","tn", E1026="Epifania","te", E1026="Ordinario","to", E1026="Cuaresma","tc", E1026="Domingo De Ramos","tc", E1026="Semana Santa","ss", E1026="Triduo Pascual","tp", E1026="Vigilia Pascual","tp", E1026="Pascual","tp")</f>
        <v>ta</v>
      </c>
      <c r="B1026" s="14" t="str">
        <f t="shared" si="147"/>
        <v>/* OCTUBRE        */</v>
      </c>
      <c r="C1026" s="15">
        <f t="shared" si="148"/>
        <v>46666</v>
      </c>
      <c r="D1026" s="9">
        <f t="shared" si="149"/>
        <v>46666</v>
      </c>
      <c r="E1026" t="s">
        <v>46</v>
      </c>
      <c r="F1026" t="s">
        <v>43</v>
      </c>
      <c r="G1026">
        <v>1</v>
      </c>
      <c r="I1026" s="11">
        <f t="shared" si="150"/>
        <v>46666</v>
      </c>
      <c r="J1026" t="s">
        <v>44</v>
      </c>
      <c r="K1026" t="str">
        <f t="shared" si="151"/>
        <v>/* OCTUBRE        */ { nombre: "Adviento, Semana I, MIÉRCOLES", archivo: "/ev/ta/1/miércoles.mp3", fecha: `${year}-10-06` },</v>
      </c>
      <c r="L1026" s="10">
        <f t="shared" si="152"/>
        <v>46666</v>
      </c>
    </row>
    <row r="1027" spans="1:12" hidden="1" x14ac:dyDescent="0.25">
      <c r="A1027" t="str" cm="1">
        <f t="array" ref="A1027">_xlfn.IFS(E1027="Adviento","ta", E1027="Navidad","tn", E1027="Epifania","te", E1027="Ordinario","to", E1027="Cuaresma","tc", E1027="Domingo De Ramos","tc", E1027="Semana Santa","ss", E1027="Triduo Pascual","tp", E1027="Vigilia Pascual","tp", E1027="Pascual","tp")</f>
        <v>ta</v>
      </c>
      <c r="B1027" s="14" t="str">
        <f t="shared" si="147"/>
        <v>/* OCTUBRE        */</v>
      </c>
      <c r="C1027" s="15">
        <f t="shared" si="148"/>
        <v>46667</v>
      </c>
      <c r="D1027" s="9">
        <f t="shared" si="149"/>
        <v>46667</v>
      </c>
      <c r="E1027" t="s">
        <v>46</v>
      </c>
      <c r="F1027" t="s">
        <v>43</v>
      </c>
      <c r="G1027">
        <v>1</v>
      </c>
      <c r="I1027" s="11">
        <f t="shared" si="150"/>
        <v>46667</v>
      </c>
      <c r="J1027" t="s">
        <v>44</v>
      </c>
      <c r="K1027" t="str">
        <f t="shared" si="151"/>
        <v>/* OCTUBRE        */ { nombre: "Adviento, Semana I, JUEVES", archivo: "/ev/ta/1/jueves.mp3", fecha: `${year}-10-07` },</v>
      </c>
      <c r="L1027" s="10">
        <f t="shared" si="152"/>
        <v>46667</v>
      </c>
    </row>
    <row r="1028" spans="1:12" hidden="1" x14ac:dyDescent="0.25">
      <c r="A1028" t="str" cm="1">
        <f t="array" ref="A1028">_xlfn.IFS(E1028="Adviento","ta", E1028="Navidad","tn", E1028="Epifania","te", E1028="Ordinario","to", E1028="Cuaresma","tc", E1028="Domingo De Ramos","tc", E1028="Semana Santa","ss", E1028="Triduo Pascual","tp", E1028="Vigilia Pascual","tp", E1028="Pascual","tp")</f>
        <v>ta</v>
      </c>
      <c r="B1028" s="14" t="str">
        <f t="shared" si="147"/>
        <v>/* OCTUBRE        */</v>
      </c>
      <c r="C1028" s="15">
        <f t="shared" si="148"/>
        <v>46668</v>
      </c>
      <c r="D1028" s="9">
        <f t="shared" si="149"/>
        <v>46668</v>
      </c>
      <c r="E1028" t="s">
        <v>46</v>
      </c>
      <c r="F1028" t="s">
        <v>43</v>
      </c>
      <c r="G1028">
        <v>1</v>
      </c>
      <c r="I1028" s="11">
        <f t="shared" si="150"/>
        <v>46668</v>
      </c>
      <c r="J1028" t="s">
        <v>44</v>
      </c>
      <c r="K1028" t="str">
        <f t="shared" si="151"/>
        <v>/* OCTUBRE        */ { nombre: "Adviento, Semana I, VIERNES", archivo: "/ev/ta/1/viernes.mp3", fecha: `${year}-10-08` },</v>
      </c>
      <c r="L1028" s="10">
        <f t="shared" si="152"/>
        <v>46668</v>
      </c>
    </row>
    <row r="1029" spans="1:12" hidden="1" x14ac:dyDescent="0.25">
      <c r="A1029" t="str" cm="1">
        <f t="array" ref="A1029">_xlfn.IFS(E1029="Adviento","ta", E1029="Navidad","tn", E1029="Epifania","te", E1029="Ordinario","to", E1029="Cuaresma","tc", E1029="Domingo De Ramos","tc", E1029="Semana Santa","ss", E1029="Triduo Pascual","tp", E1029="Vigilia Pascual","tp", E1029="Pascual","tp")</f>
        <v>ta</v>
      </c>
      <c r="B1029" s="14" t="str">
        <f t="shared" si="147"/>
        <v>/* OCTUBRE        */</v>
      </c>
      <c r="C1029" s="15">
        <f t="shared" si="148"/>
        <v>46669</v>
      </c>
      <c r="D1029" s="9">
        <f t="shared" si="149"/>
        <v>46669</v>
      </c>
      <c r="E1029" t="s">
        <v>46</v>
      </c>
      <c r="F1029" t="s">
        <v>43</v>
      </c>
      <c r="G1029">
        <v>1</v>
      </c>
      <c r="I1029" s="11">
        <f t="shared" si="150"/>
        <v>46669</v>
      </c>
      <c r="J1029" t="s">
        <v>44</v>
      </c>
      <c r="K1029" t="str">
        <f t="shared" si="151"/>
        <v>/* OCTUBRE        */ { nombre: "Adviento, Semana I, SÁBADO", archivo: "/ev/ta/1/sábado.mp3", fecha: `${year}-10-09` },</v>
      </c>
      <c r="L1029" s="10">
        <f t="shared" si="152"/>
        <v>46669</v>
      </c>
    </row>
    <row r="1030" spans="1:12" hidden="1" x14ac:dyDescent="0.25">
      <c r="A1030" t="str" cm="1">
        <f t="array" ref="A1030">_xlfn.IFS(E1030="Adviento","ta", E1030="Navidad","tn", E1030="Epifania","te", E1030="Ordinario","to", E1030="Cuaresma","tc", E1030="Domingo De Ramos","tc", E1030="Semana Santa","ss", E1030="Triduo Pascual","tp", E1030="Vigilia Pascual","tp", E1030="Pascual","tp")</f>
        <v>ta</v>
      </c>
      <c r="B1030" s="14" t="str">
        <f t="shared" si="147"/>
        <v>/* OCTUBRE        */</v>
      </c>
      <c r="C1030" s="15">
        <f t="shared" si="148"/>
        <v>46670</v>
      </c>
      <c r="D1030" s="9">
        <f t="shared" si="149"/>
        <v>46670</v>
      </c>
      <c r="E1030" t="s">
        <v>46</v>
      </c>
      <c r="F1030" t="s">
        <v>43</v>
      </c>
      <c r="G1030">
        <v>1</v>
      </c>
      <c r="I1030" s="11">
        <f t="shared" si="150"/>
        <v>46670</v>
      </c>
      <c r="J1030" t="s">
        <v>44</v>
      </c>
      <c r="K1030" t="str">
        <f t="shared" si="151"/>
        <v>/* OCTUBRE        */ { nombre: "Adviento, Semana I, DOMINGO", archivo: "/ev/ta/1/domingo.mp3", fecha: `${year}-10-10` },</v>
      </c>
      <c r="L1030" s="10">
        <f t="shared" si="152"/>
        <v>46670</v>
      </c>
    </row>
    <row r="1031" spans="1:12" hidden="1" x14ac:dyDescent="0.25">
      <c r="A1031" t="str" cm="1">
        <f t="array" ref="A1031">_xlfn.IFS(E1031="Adviento","ta", E1031="Navidad","tn", E1031="Epifania","te", E1031="Ordinario","to", E1031="Cuaresma","tc", E1031="Domingo De Ramos","tc", E1031="Semana Santa","ss", E1031="Triduo Pascual","tp", E1031="Vigilia Pascual","tp", E1031="Pascual","tp")</f>
        <v>ta</v>
      </c>
      <c r="B1031" s="14" t="str">
        <f t="shared" si="147"/>
        <v>/* OCTUBRE        */</v>
      </c>
      <c r="C1031" s="15">
        <f t="shared" si="148"/>
        <v>46671</v>
      </c>
      <c r="D1031" s="9">
        <f t="shared" si="149"/>
        <v>46671</v>
      </c>
      <c r="E1031" t="s">
        <v>46</v>
      </c>
      <c r="F1031" t="s">
        <v>43</v>
      </c>
      <c r="G1031">
        <v>1</v>
      </c>
      <c r="I1031" s="11">
        <f t="shared" si="150"/>
        <v>46671</v>
      </c>
      <c r="J1031" t="s">
        <v>44</v>
      </c>
      <c r="K1031" t="str">
        <f t="shared" si="151"/>
        <v>/* OCTUBRE        */ { nombre: "Adviento, Semana I, LUNES", archivo: "/ev/ta/1/lunes.mp3", fecha: `${year}-10-11` },</v>
      </c>
      <c r="L1031" s="10">
        <f t="shared" si="152"/>
        <v>46671</v>
      </c>
    </row>
    <row r="1032" spans="1:12" hidden="1" x14ac:dyDescent="0.25">
      <c r="A1032" t="str" cm="1">
        <f t="array" ref="A1032">_xlfn.IFS(E1032="Adviento","ta", E1032="Navidad","tn", E1032="Epifania","te", E1032="Ordinario","to", E1032="Cuaresma","tc", E1032="Domingo De Ramos","tc", E1032="Semana Santa","ss", E1032="Triduo Pascual","tp", E1032="Vigilia Pascual","tp", E1032="Pascual","tp")</f>
        <v>ta</v>
      </c>
      <c r="B1032" s="14" t="str">
        <f t="shared" si="147"/>
        <v>/* OCTUBRE        */</v>
      </c>
      <c r="C1032" s="15">
        <f t="shared" si="148"/>
        <v>46672</v>
      </c>
      <c r="D1032" s="9">
        <f t="shared" si="149"/>
        <v>46672</v>
      </c>
      <c r="E1032" t="s">
        <v>46</v>
      </c>
      <c r="F1032" t="s">
        <v>43</v>
      </c>
      <c r="G1032">
        <v>1</v>
      </c>
      <c r="I1032" s="11">
        <f t="shared" si="150"/>
        <v>46672</v>
      </c>
      <c r="J1032" t="s">
        <v>44</v>
      </c>
      <c r="K1032" t="str">
        <f t="shared" si="151"/>
        <v>/* OCTUBRE        */ { nombre: "Adviento, Semana I, MARTES", archivo: "/ev/ta/1/martes.mp3", fecha: `${year}-10-12` },</v>
      </c>
      <c r="L1032" s="10">
        <f t="shared" si="152"/>
        <v>46672</v>
      </c>
    </row>
    <row r="1033" spans="1:12" hidden="1" x14ac:dyDescent="0.25">
      <c r="A1033" t="str" cm="1">
        <f t="array" ref="A1033">_xlfn.IFS(E1033="Adviento","ta", E1033="Navidad","tn", E1033="Epifania","te", E1033="Ordinario","to", E1033="Cuaresma","tc", E1033="Domingo De Ramos","tc", E1033="Semana Santa","ss", E1033="Triduo Pascual","tp", E1033="Vigilia Pascual","tp", E1033="Pascual","tp")</f>
        <v>ta</v>
      </c>
      <c r="B1033" s="14" t="str">
        <f t="shared" si="147"/>
        <v>/* OCTUBRE        */</v>
      </c>
      <c r="C1033" s="15">
        <f t="shared" si="148"/>
        <v>46673</v>
      </c>
      <c r="D1033" s="9">
        <f t="shared" si="149"/>
        <v>46673</v>
      </c>
      <c r="E1033" t="s">
        <v>46</v>
      </c>
      <c r="F1033" t="s">
        <v>43</v>
      </c>
      <c r="G1033">
        <v>1</v>
      </c>
      <c r="I1033" s="11">
        <f t="shared" si="150"/>
        <v>46673</v>
      </c>
      <c r="J1033" t="s">
        <v>44</v>
      </c>
      <c r="K1033" t="str">
        <f t="shared" si="151"/>
        <v>/* OCTUBRE        */ { nombre: "Adviento, Semana I, MIÉRCOLES", archivo: "/ev/ta/1/miércoles.mp3", fecha: `${year}-10-13` },</v>
      </c>
      <c r="L1033" s="10">
        <f t="shared" si="152"/>
        <v>46673</v>
      </c>
    </row>
    <row r="1034" spans="1:12" hidden="1" x14ac:dyDescent="0.25">
      <c r="A1034" t="str" cm="1">
        <f t="array" ref="A1034">_xlfn.IFS(E1034="Adviento","ta", E1034="Navidad","tn", E1034="Epifania","te", E1034="Ordinario","to", E1034="Cuaresma","tc", E1034="Domingo De Ramos","tc", E1034="Semana Santa","ss", E1034="Triduo Pascual","tp", E1034="Vigilia Pascual","tp", E1034="Pascual","tp")</f>
        <v>ta</v>
      </c>
      <c r="B1034" s="14" t="str">
        <f t="shared" si="147"/>
        <v>/* OCTUBRE        */</v>
      </c>
      <c r="C1034" s="15">
        <f t="shared" si="148"/>
        <v>46674</v>
      </c>
      <c r="D1034" s="9">
        <f t="shared" si="149"/>
        <v>46674</v>
      </c>
      <c r="E1034" t="s">
        <v>46</v>
      </c>
      <c r="F1034" t="s">
        <v>43</v>
      </c>
      <c r="G1034">
        <v>1</v>
      </c>
      <c r="I1034" s="11">
        <f t="shared" si="150"/>
        <v>46674</v>
      </c>
      <c r="J1034" t="s">
        <v>44</v>
      </c>
      <c r="K1034" t="str">
        <f t="shared" si="151"/>
        <v>/* OCTUBRE        */ { nombre: "Adviento, Semana I, JUEVES", archivo: "/ev/ta/1/jueves.mp3", fecha: `${year}-10-14` },</v>
      </c>
      <c r="L1034" s="10">
        <f t="shared" si="152"/>
        <v>46674</v>
      </c>
    </row>
    <row r="1035" spans="1:12" hidden="1" x14ac:dyDescent="0.25">
      <c r="A1035" t="str" cm="1">
        <f t="array" ref="A1035">_xlfn.IFS(E1035="Adviento","ta", E1035="Navidad","tn", E1035="Epifania","te", E1035="Ordinario","to", E1035="Cuaresma","tc", E1035="Domingo De Ramos","tc", E1035="Semana Santa","ss", E1035="Triduo Pascual","tp", E1035="Vigilia Pascual","tp", E1035="Pascual","tp")</f>
        <v>ta</v>
      </c>
      <c r="B1035" s="14" t="str">
        <f t="shared" si="147"/>
        <v>/* OCTUBRE        */</v>
      </c>
      <c r="C1035" s="15">
        <f t="shared" si="148"/>
        <v>46675</v>
      </c>
      <c r="D1035" s="9">
        <f t="shared" si="149"/>
        <v>46675</v>
      </c>
      <c r="E1035" t="s">
        <v>46</v>
      </c>
      <c r="F1035" t="s">
        <v>43</v>
      </c>
      <c r="G1035">
        <v>1</v>
      </c>
      <c r="I1035" s="11">
        <f t="shared" si="150"/>
        <v>46675</v>
      </c>
      <c r="J1035" t="s">
        <v>44</v>
      </c>
      <c r="K1035" t="str">
        <f t="shared" si="151"/>
        <v>/* OCTUBRE        */ { nombre: "Adviento, Semana I, VIERNES", archivo: "/ev/ta/1/viernes.mp3", fecha: `${year}-10-15` },</v>
      </c>
      <c r="L1035" s="10">
        <f t="shared" si="152"/>
        <v>46675</v>
      </c>
    </row>
    <row r="1036" spans="1:12" hidden="1" x14ac:dyDescent="0.25">
      <c r="A1036" t="str" cm="1">
        <f t="array" ref="A1036">_xlfn.IFS(E1036="Adviento","ta", E1036="Navidad","tn", E1036="Epifania","te", E1036="Ordinario","to", E1036="Cuaresma","tc", E1036="Domingo De Ramos","tc", E1036="Semana Santa","ss", E1036="Triduo Pascual","tp", E1036="Vigilia Pascual","tp", E1036="Pascual","tp")</f>
        <v>ta</v>
      </c>
      <c r="B1036" s="14" t="str">
        <f t="shared" si="147"/>
        <v>/* OCTUBRE        */</v>
      </c>
      <c r="C1036" s="15">
        <f t="shared" si="148"/>
        <v>46676</v>
      </c>
      <c r="D1036" s="9">
        <f t="shared" si="149"/>
        <v>46676</v>
      </c>
      <c r="E1036" t="s">
        <v>46</v>
      </c>
      <c r="F1036" t="s">
        <v>43</v>
      </c>
      <c r="G1036">
        <v>1</v>
      </c>
      <c r="I1036" s="11">
        <f t="shared" si="150"/>
        <v>46676</v>
      </c>
      <c r="J1036" t="s">
        <v>44</v>
      </c>
      <c r="K1036" t="str">
        <f t="shared" si="151"/>
        <v>/* OCTUBRE        */ { nombre: "Adviento, Semana I, SÁBADO", archivo: "/ev/ta/1/sábado.mp3", fecha: `${year}-10-16` },</v>
      </c>
      <c r="L1036" s="10">
        <f t="shared" si="152"/>
        <v>46676</v>
      </c>
    </row>
    <row r="1037" spans="1:12" hidden="1" x14ac:dyDescent="0.25">
      <c r="A1037" t="str" cm="1">
        <f t="array" ref="A1037">_xlfn.IFS(E1037="Adviento","ta", E1037="Navidad","tn", E1037="Epifania","te", E1037="Ordinario","to", E1037="Cuaresma","tc", E1037="Domingo De Ramos","tc", E1037="Semana Santa","ss", E1037="Triduo Pascual","tp", E1037="Vigilia Pascual","tp", E1037="Pascual","tp")</f>
        <v>ta</v>
      </c>
      <c r="B1037" s="14" t="str">
        <f t="shared" si="147"/>
        <v>/* OCTUBRE        */</v>
      </c>
      <c r="C1037" s="15">
        <f t="shared" si="148"/>
        <v>46677</v>
      </c>
      <c r="D1037" s="9">
        <f t="shared" si="149"/>
        <v>46677</v>
      </c>
      <c r="E1037" t="s">
        <v>46</v>
      </c>
      <c r="F1037" t="s">
        <v>43</v>
      </c>
      <c r="G1037">
        <v>1</v>
      </c>
      <c r="I1037" s="11">
        <f t="shared" si="150"/>
        <v>46677</v>
      </c>
      <c r="J1037" t="s">
        <v>44</v>
      </c>
      <c r="K1037" t="str">
        <f t="shared" si="151"/>
        <v>/* OCTUBRE        */ { nombre: "Adviento, Semana I, DOMINGO", archivo: "/ev/ta/1/domingo.mp3", fecha: `${year}-10-17` },</v>
      </c>
      <c r="L1037" s="10">
        <f t="shared" si="152"/>
        <v>46677</v>
      </c>
    </row>
    <row r="1038" spans="1:12" hidden="1" x14ac:dyDescent="0.25">
      <c r="A1038" t="str" cm="1">
        <f t="array" ref="A1038">_xlfn.IFS(E1038="Adviento","ta", E1038="Navidad","tn", E1038="Epifania","te", E1038="Ordinario","to", E1038="Cuaresma","tc", E1038="Domingo De Ramos","tc", E1038="Semana Santa","ss", E1038="Triduo Pascual","tp", E1038="Vigilia Pascual","tp", E1038="Pascual","tp")</f>
        <v>ta</v>
      </c>
      <c r="B1038" s="14" t="str">
        <f t="shared" si="147"/>
        <v>/* OCTUBRE        */</v>
      </c>
      <c r="C1038" s="15">
        <f t="shared" si="148"/>
        <v>46678</v>
      </c>
      <c r="D1038" s="9">
        <f t="shared" si="149"/>
        <v>46678</v>
      </c>
      <c r="E1038" t="s">
        <v>46</v>
      </c>
      <c r="F1038" t="s">
        <v>43</v>
      </c>
      <c r="G1038">
        <v>1</v>
      </c>
      <c r="I1038" s="11">
        <f t="shared" si="150"/>
        <v>46678</v>
      </c>
      <c r="J1038" t="s">
        <v>44</v>
      </c>
      <c r="K1038" t="str">
        <f t="shared" si="151"/>
        <v>/* OCTUBRE        */ { nombre: "Adviento, Semana I, LUNES", archivo: "/ev/ta/1/lunes.mp3", fecha: `${year}-10-18` },</v>
      </c>
      <c r="L1038" s="10">
        <f t="shared" si="152"/>
        <v>46678</v>
      </c>
    </row>
    <row r="1039" spans="1:12" hidden="1" x14ac:dyDescent="0.25">
      <c r="A1039" t="str" cm="1">
        <f t="array" ref="A1039">_xlfn.IFS(E1039="Adviento","ta", E1039="Navidad","tn", E1039="Epifania","te", E1039="Ordinario","to", E1039="Cuaresma","tc", E1039="Domingo De Ramos","tc", E1039="Semana Santa","ss", E1039="Triduo Pascual","tp", E1039="Vigilia Pascual","tp", E1039="Pascual","tp")</f>
        <v>ta</v>
      </c>
      <c r="B1039" s="14" t="str">
        <f t="shared" si="147"/>
        <v>/* OCTUBRE        */</v>
      </c>
      <c r="C1039" s="15">
        <f t="shared" si="148"/>
        <v>46679</v>
      </c>
      <c r="D1039" s="9">
        <f t="shared" si="149"/>
        <v>46679</v>
      </c>
      <c r="E1039" t="s">
        <v>46</v>
      </c>
      <c r="F1039" t="s">
        <v>43</v>
      </c>
      <c r="G1039">
        <v>1</v>
      </c>
      <c r="I1039" s="11">
        <f t="shared" si="150"/>
        <v>46679</v>
      </c>
      <c r="J1039" t="s">
        <v>44</v>
      </c>
      <c r="K1039" t="str">
        <f t="shared" si="151"/>
        <v>/* OCTUBRE        */ { nombre: "Adviento, Semana I, MARTES", archivo: "/ev/ta/1/martes.mp3", fecha: `${year}-10-19` },</v>
      </c>
      <c r="L1039" s="10">
        <f t="shared" si="152"/>
        <v>46679</v>
      </c>
    </row>
    <row r="1040" spans="1:12" hidden="1" x14ac:dyDescent="0.25">
      <c r="A1040" t="str" cm="1">
        <f t="array" ref="A1040">_xlfn.IFS(E1040="Adviento","ta", E1040="Navidad","tn", E1040="Epifania","te", E1040="Ordinario","to", E1040="Cuaresma","tc", E1040="Domingo De Ramos","tc", E1040="Semana Santa","ss", E1040="Triduo Pascual","tp", E1040="Vigilia Pascual","tp", E1040="Pascual","tp")</f>
        <v>ta</v>
      </c>
      <c r="B1040" s="14" t="str">
        <f t="shared" si="147"/>
        <v>/* OCTUBRE        */</v>
      </c>
      <c r="C1040" s="15">
        <f t="shared" si="148"/>
        <v>46680</v>
      </c>
      <c r="D1040" s="9">
        <f t="shared" si="149"/>
        <v>46680</v>
      </c>
      <c r="E1040" t="s">
        <v>46</v>
      </c>
      <c r="F1040" t="s">
        <v>43</v>
      </c>
      <c r="G1040">
        <v>1</v>
      </c>
      <c r="I1040" s="11">
        <f t="shared" si="150"/>
        <v>46680</v>
      </c>
      <c r="J1040" t="s">
        <v>44</v>
      </c>
      <c r="K1040" t="str">
        <f t="shared" si="151"/>
        <v>/* OCTUBRE        */ { nombre: "Adviento, Semana I, MIÉRCOLES", archivo: "/ev/ta/1/miércoles.mp3", fecha: `${year}-10-20` },</v>
      </c>
      <c r="L1040" s="10">
        <f t="shared" si="152"/>
        <v>46680</v>
      </c>
    </row>
    <row r="1041" spans="1:12" hidden="1" x14ac:dyDescent="0.25">
      <c r="A1041" t="str" cm="1">
        <f t="array" ref="A1041">_xlfn.IFS(E1041="Adviento","ta", E1041="Navidad","tn", E1041="Epifania","te", E1041="Ordinario","to", E1041="Cuaresma","tc", E1041="Domingo De Ramos","tc", E1041="Semana Santa","ss", E1041="Triduo Pascual","tp", E1041="Vigilia Pascual","tp", E1041="Pascual","tp")</f>
        <v>ta</v>
      </c>
      <c r="B1041" s="14" t="str">
        <f t="shared" si="147"/>
        <v>/* OCTUBRE        */</v>
      </c>
      <c r="C1041" s="15">
        <f t="shared" si="148"/>
        <v>46681</v>
      </c>
      <c r="D1041" s="9">
        <f t="shared" si="149"/>
        <v>46681</v>
      </c>
      <c r="E1041" t="s">
        <v>46</v>
      </c>
      <c r="F1041" t="s">
        <v>43</v>
      </c>
      <c r="G1041">
        <v>1</v>
      </c>
      <c r="I1041" s="11">
        <f t="shared" si="150"/>
        <v>46681</v>
      </c>
      <c r="J1041" t="s">
        <v>44</v>
      </c>
      <c r="K1041" t="str">
        <f t="shared" si="151"/>
        <v>/* OCTUBRE        */ { nombre: "Adviento, Semana I, JUEVES", archivo: "/ev/ta/1/jueves.mp3", fecha: `${year}-10-21` },</v>
      </c>
      <c r="L1041" s="10">
        <f t="shared" si="152"/>
        <v>46681</v>
      </c>
    </row>
    <row r="1042" spans="1:12" hidden="1" x14ac:dyDescent="0.25">
      <c r="A1042" t="str" cm="1">
        <f t="array" ref="A1042">_xlfn.IFS(E1042="Adviento","ta", E1042="Navidad","tn", E1042="Epifania","te", E1042="Ordinario","to", E1042="Cuaresma","tc", E1042="Domingo De Ramos","tc", E1042="Semana Santa","ss", E1042="Triduo Pascual","tp", E1042="Vigilia Pascual","tp", E1042="Pascual","tp")</f>
        <v>ta</v>
      </c>
      <c r="B1042" s="14" t="str">
        <f t="shared" si="147"/>
        <v>/* OCTUBRE        */</v>
      </c>
      <c r="C1042" s="15">
        <f t="shared" si="148"/>
        <v>46682</v>
      </c>
      <c r="D1042" s="9">
        <f t="shared" si="149"/>
        <v>46682</v>
      </c>
      <c r="E1042" t="s">
        <v>46</v>
      </c>
      <c r="F1042" t="s">
        <v>43</v>
      </c>
      <c r="G1042">
        <v>1</v>
      </c>
      <c r="I1042" s="11">
        <f t="shared" si="150"/>
        <v>46682</v>
      </c>
      <c r="J1042" t="s">
        <v>44</v>
      </c>
      <c r="K1042" t="str">
        <f t="shared" si="151"/>
        <v>/* OCTUBRE        */ { nombre: "Adviento, Semana I, VIERNES", archivo: "/ev/ta/1/viernes.mp3", fecha: `${year}-10-22` },</v>
      </c>
      <c r="L1042" s="10">
        <f t="shared" si="152"/>
        <v>46682</v>
      </c>
    </row>
    <row r="1043" spans="1:12" hidden="1" x14ac:dyDescent="0.25">
      <c r="A1043" t="str" cm="1">
        <f t="array" ref="A1043">_xlfn.IFS(E1043="Adviento","ta", E1043="Navidad","tn", E1043="Epifania","te", E1043="Ordinario","to", E1043="Cuaresma","tc", E1043="Domingo De Ramos","tc", E1043="Semana Santa","ss", E1043="Triduo Pascual","tp", E1043="Vigilia Pascual","tp", E1043="Pascual","tp")</f>
        <v>ta</v>
      </c>
      <c r="B1043" s="14" t="str">
        <f t="shared" si="147"/>
        <v>/* OCTUBRE        */</v>
      </c>
      <c r="C1043" s="15">
        <f t="shared" si="148"/>
        <v>46683</v>
      </c>
      <c r="D1043" s="9">
        <f t="shared" si="149"/>
        <v>46683</v>
      </c>
      <c r="E1043" t="s">
        <v>46</v>
      </c>
      <c r="F1043" t="s">
        <v>43</v>
      </c>
      <c r="G1043">
        <v>1</v>
      </c>
      <c r="I1043" s="11">
        <f t="shared" si="150"/>
        <v>46683</v>
      </c>
      <c r="J1043" t="s">
        <v>44</v>
      </c>
      <c r="K1043" t="str">
        <f t="shared" si="151"/>
        <v>/* OCTUBRE        */ { nombre: "Adviento, Semana I, SÁBADO", archivo: "/ev/ta/1/sábado.mp3", fecha: `${year}-10-23` },</v>
      </c>
      <c r="L1043" s="10">
        <f t="shared" si="152"/>
        <v>46683</v>
      </c>
    </row>
    <row r="1044" spans="1:12" hidden="1" x14ac:dyDescent="0.25">
      <c r="A1044" t="str" cm="1">
        <f t="array" ref="A1044">_xlfn.IFS(E1044="Adviento","ta", E1044="Navidad","tn", E1044="Epifania","te", E1044="Ordinario","to", E1044="Cuaresma","tc", E1044="Domingo De Ramos","tc", E1044="Semana Santa","ss", E1044="Triduo Pascual","tp", E1044="Vigilia Pascual","tp", E1044="Pascual","tp")</f>
        <v>ta</v>
      </c>
      <c r="B1044" s="14" t="str">
        <f t="shared" si="147"/>
        <v>/* OCTUBRE        */</v>
      </c>
      <c r="C1044" s="15">
        <f t="shared" si="148"/>
        <v>46684</v>
      </c>
      <c r="D1044" s="9">
        <f t="shared" si="149"/>
        <v>46684</v>
      </c>
      <c r="E1044" t="s">
        <v>46</v>
      </c>
      <c r="F1044" t="s">
        <v>43</v>
      </c>
      <c r="G1044">
        <v>1</v>
      </c>
      <c r="I1044" s="11">
        <f t="shared" si="150"/>
        <v>46684</v>
      </c>
      <c r="J1044" t="s">
        <v>44</v>
      </c>
      <c r="K1044" t="str">
        <f t="shared" si="151"/>
        <v>/* OCTUBRE        */ { nombre: "Adviento, Semana I, DOMINGO", archivo: "/ev/ta/1/domingo.mp3", fecha: `${year}-10-24` },</v>
      </c>
      <c r="L1044" s="10">
        <f t="shared" si="152"/>
        <v>46684</v>
      </c>
    </row>
    <row r="1045" spans="1:12" hidden="1" x14ac:dyDescent="0.25">
      <c r="A1045" t="str" cm="1">
        <f t="array" ref="A1045">_xlfn.IFS(E1045="Adviento","ta", E1045="Navidad","tn", E1045="Epifania","te", E1045="Ordinario","to", E1045="Cuaresma","tc", E1045="Domingo De Ramos","tc", E1045="Semana Santa","ss", E1045="Triduo Pascual","tp", E1045="Vigilia Pascual","tp", E1045="Pascual","tp")</f>
        <v>ta</v>
      </c>
      <c r="B1045" s="14" t="str">
        <f t="shared" si="147"/>
        <v>/* OCTUBRE        */</v>
      </c>
      <c r="C1045" s="15">
        <f t="shared" si="148"/>
        <v>46685</v>
      </c>
      <c r="D1045" s="9">
        <f t="shared" si="149"/>
        <v>46685</v>
      </c>
      <c r="E1045" t="s">
        <v>46</v>
      </c>
      <c r="F1045" t="s">
        <v>43</v>
      </c>
      <c r="G1045">
        <v>1</v>
      </c>
      <c r="I1045" s="11">
        <f t="shared" si="150"/>
        <v>46685</v>
      </c>
      <c r="J1045" t="s">
        <v>44</v>
      </c>
      <c r="K1045" t="str">
        <f t="shared" si="151"/>
        <v>/* OCTUBRE        */ { nombre: "Adviento, Semana I, LUNES", archivo: "/ev/ta/1/lunes.mp3", fecha: `${year}-10-25` },</v>
      </c>
      <c r="L1045" s="10">
        <f t="shared" si="152"/>
        <v>46685</v>
      </c>
    </row>
    <row r="1046" spans="1:12" hidden="1" x14ac:dyDescent="0.25">
      <c r="A1046" t="str" cm="1">
        <f t="array" ref="A1046">_xlfn.IFS(E1046="Adviento","ta", E1046="Navidad","tn", E1046="Epifania","te", E1046="Ordinario","to", E1046="Cuaresma","tc", E1046="Domingo De Ramos","tc", E1046="Semana Santa","ss", E1046="Triduo Pascual","tp", E1046="Vigilia Pascual","tp", E1046="Pascual","tp")</f>
        <v>ta</v>
      </c>
      <c r="B1046" s="14" t="str">
        <f t="shared" ref="B1046:B1109" si="153">_xlfn.CONCAT("/* ",UPPER(TEXT(D1046,"[$-es-ES]mmmm")),"        */")</f>
        <v>/* OCTUBRE        */</v>
      </c>
      <c r="C1046" s="15">
        <f t="shared" si="148"/>
        <v>46686</v>
      </c>
      <c r="D1046" s="9">
        <f t="shared" si="149"/>
        <v>46686</v>
      </c>
      <c r="E1046" t="s">
        <v>46</v>
      </c>
      <c r="F1046" t="s">
        <v>43</v>
      </c>
      <c r="G1046">
        <v>1</v>
      </c>
      <c r="I1046" s="11">
        <f t="shared" si="150"/>
        <v>46686</v>
      </c>
      <c r="J1046" t="s">
        <v>44</v>
      </c>
      <c r="K1046" t="str">
        <f t="shared" si="151"/>
        <v>/* OCTUBRE        */ { nombre: "Adviento, Semana I, MARTES", archivo: "/ev/ta/1/martes.mp3", fecha: `${year}-10-26` },</v>
      </c>
      <c r="L1046" s="10">
        <f t="shared" si="152"/>
        <v>46686</v>
      </c>
    </row>
    <row r="1047" spans="1:12" hidden="1" x14ac:dyDescent="0.25">
      <c r="A1047" t="str" cm="1">
        <f t="array" ref="A1047">_xlfn.IFS(E1047="Adviento","ta", E1047="Navidad","tn", E1047="Epifania","te", E1047="Ordinario","to", E1047="Cuaresma","tc", E1047="Domingo De Ramos","tc", E1047="Semana Santa","ss", E1047="Triduo Pascual","tp", E1047="Vigilia Pascual","tp", E1047="Pascual","tp")</f>
        <v>ta</v>
      </c>
      <c r="B1047" s="14" t="str">
        <f t="shared" si="153"/>
        <v>/* OCTUBRE        */</v>
      </c>
      <c r="C1047" s="15">
        <f t="shared" si="148"/>
        <v>46687</v>
      </c>
      <c r="D1047" s="9">
        <f t="shared" si="149"/>
        <v>46687</v>
      </c>
      <c r="E1047" t="s">
        <v>46</v>
      </c>
      <c r="F1047" t="s">
        <v>43</v>
      </c>
      <c r="G1047">
        <v>1</v>
      </c>
      <c r="I1047" s="11">
        <f t="shared" si="150"/>
        <v>46687</v>
      </c>
      <c r="J1047" t="s">
        <v>44</v>
      </c>
      <c r="K1047" t="str">
        <f t="shared" si="151"/>
        <v>/* OCTUBRE        */ { nombre: "Adviento, Semana I, MIÉRCOLES", archivo: "/ev/ta/1/miércoles.mp3", fecha: `${year}-10-27` },</v>
      </c>
      <c r="L1047" s="10">
        <f t="shared" si="152"/>
        <v>46687</v>
      </c>
    </row>
    <row r="1048" spans="1:12" hidden="1" x14ac:dyDescent="0.25">
      <c r="A1048" t="str" cm="1">
        <f t="array" ref="A1048">_xlfn.IFS(E1048="Adviento","ta", E1048="Navidad","tn", E1048="Epifania","te", E1048="Ordinario","to", E1048="Cuaresma","tc", E1048="Domingo De Ramos","tc", E1048="Semana Santa","ss", E1048="Triduo Pascual","tp", E1048="Vigilia Pascual","tp", E1048="Pascual","tp")</f>
        <v>ta</v>
      </c>
      <c r="B1048" s="14" t="str">
        <f t="shared" si="153"/>
        <v>/* OCTUBRE        */</v>
      </c>
      <c r="C1048" s="15">
        <f t="shared" si="148"/>
        <v>46688</v>
      </c>
      <c r="D1048" s="9">
        <f t="shared" si="149"/>
        <v>46688</v>
      </c>
      <c r="E1048" t="s">
        <v>46</v>
      </c>
      <c r="F1048" t="s">
        <v>43</v>
      </c>
      <c r="G1048">
        <v>1</v>
      </c>
      <c r="I1048" s="11">
        <f t="shared" si="150"/>
        <v>46688</v>
      </c>
      <c r="J1048" t="s">
        <v>44</v>
      </c>
      <c r="K1048" t="str">
        <f t="shared" si="151"/>
        <v>/* OCTUBRE        */ { nombre: "Adviento, Semana I, JUEVES", archivo: "/ev/ta/1/jueves.mp3", fecha: `${year}-10-28` },</v>
      </c>
      <c r="L1048" s="10">
        <f t="shared" si="152"/>
        <v>46688</v>
      </c>
    </row>
    <row r="1049" spans="1:12" hidden="1" x14ac:dyDescent="0.25">
      <c r="A1049" t="str" cm="1">
        <f t="array" ref="A1049">_xlfn.IFS(E1049="Adviento","ta", E1049="Navidad","tn", E1049="Epifania","te", E1049="Ordinario","to", E1049="Cuaresma","tc", E1049="Domingo De Ramos","tc", E1049="Semana Santa","ss", E1049="Triduo Pascual","tp", E1049="Vigilia Pascual","tp", E1049="Pascual","tp")</f>
        <v>ta</v>
      </c>
      <c r="B1049" s="14" t="str">
        <f t="shared" si="153"/>
        <v>/* OCTUBRE        */</v>
      </c>
      <c r="C1049" s="15">
        <f t="shared" si="148"/>
        <v>46689</v>
      </c>
      <c r="D1049" s="9">
        <f t="shared" si="149"/>
        <v>46689</v>
      </c>
      <c r="E1049" t="s">
        <v>46</v>
      </c>
      <c r="F1049" t="s">
        <v>43</v>
      </c>
      <c r="G1049">
        <v>1</v>
      </c>
      <c r="I1049" s="11">
        <f t="shared" si="150"/>
        <v>46689</v>
      </c>
      <c r="J1049" t="s">
        <v>44</v>
      </c>
      <c r="K1049" t="str">
        <f t="shared" si="151"/>
        <v>/* OCTUBRE        */ { nombre: "Adviento, Semana I, VIERNES", archivo: "/ev/ta/1/viernes.mp3", fecha: `${year}-10-29` },</v>
      </c>
      <c r="L1049" s="10">
        <f t="shared" si="152"/>
        <v>46689</v>
      </c>
    </row>
    <row r="1050" spans="1:12" hidden="1" x14ac:dyDescent="0.25">
      <c r="A1050" t="str" cm="1">
        <f t="array" ref="A1050">_xlfn.IFS(E1050="Adviento","ta", E1050="Navidad","tn", E1050="Epifania","te", E1050="Ordinario","to", E1050="Cuaresma","tc", E1050="Domingo De Ramos","tc", E1050="Semana Santa","ss", E1050="Triduo Pascual","tp", E1050="Vigilia Pascual","tp", E1050="Pascual","tp")</f>
        <v>ta</v>
      </c>
      <c r="B1050" s="14" t="str">
        <f t="shared" si="153"/>
        <v>/* OCTUBRE        */</v>
      </c>
      <c r="C1050" s="15">
        <f t="shared" si="148"/>
        <v>46690</v>
      </c>
      <c r="D1050" s="9">
        <f t="shared" si="149"/>
        <v>46690</v>
      </c>
      <c r="E1050" t="s">
        <v>46</v>
      </c>
      <c r="F1050" t="s">
        <v>43</v>
      </c>
      <c r="G1050">
        <v>1</v>
      </c>
      <c r="I1050" s="11">
        <f t="shared" si="150"/>
        <v>46690</v>
      </c>
      <c r="J1050" t="s">
        <v>44</v>
      </c>
      <c r="K1050" t="str">
        <f t="shared" si="151"/>
        <v>/* OCTUBRE        */ { nombre: "Adviento, Semana I, SÁBADO", archivo: "/ev/ta/1/sábado.mp3", fecha: `${year}-10-30` },</v>
      </c>
      <c r="L1050" s="10">
        <f t="shared" si="152"/>
        <v>46690</v>
      </c>
    </row>
    <row r="1051" spans="1:12" hidden="1" x14ac:dyDescent="0.25">
      <c r="A1051" t="str" cm="1">
        <f t="array" ref="A1051">_xlfn.IFS(E1051="Adviento","ta", E1051="Navidad","tn", E1051="Epifania","te", E1051="Ordinario","to", E1051="Cuaresma","tc", E1051="Domingo De Ramos","tc", E1051="Semana Santa","ss", E1051="Triduo Pascual","tp", E1051="Vigilia Pascual","tp", E1051="Pascual","tp")</f>
        <v>ta</v>
      </c>
      <c r="B1051" s="14" t="str">
        <f t="shared" si="153"/>
        <v>/* OCTUBRE        */</v>
      </c>
      <c r="C1051" s="15">
        <f t="shared" si="148"/>
        <v>46691</v>
      </c>
      <c r="D1051" s="9">
        <f t="shared" si="149"/>
        <v>46691</v>
      </c>
      <c r="E1051" t="s">
        <v>46</v>
      </c>
      <c r="F1051" t="s">
        <v>43</v>
      </c>
      <c r="G1051">
        <v>1</v>
      </c>
      <c r="I1051" s="11">
        <f t="shared" si="150"/>
        <v>46691</v>
      </c>
      <c r="J1051" t="s">
        <v>44</v>
      </c>
      <c r="K1051" t="str">
        <f t="shared" si="151"/>
        <v>/* OCTUBRE        */ { nombre: "Adviento, Semana I, DOMINGO", archivo: "/ev/ta/1/domingo.mp3", fecha: `${year}-10-31` },</v>
      </c>
      <c r="L1051" s="10">
        <f t="shared" si="152"/>
        <v>46691</v>
      </c>
    </row>
    <row r="1052" spans="1:12" hidden="1" x14ac:dyDescent="0.25">
      <c r="A1052" t="str" cm="1">
        <f t="array" ref="A1052">_xlfn.IFS(E1052="Adviento","ta", E1052="Navidad","tn", E1052="Epifania","te", E1052="Ordinario","to", E1052="Cuaresma","tc", E1052="Domingo De Ramos","tc", E1052="Semana Santa","ss", E1052="Triduo Pascual","tp", E1052="Vigilia Pascual","tp", E1052="Pascual","tp")</f>
        <v>ta</v>
      </c>
      <c r="B1052" s="14" t="str">
        <f t="shared" si="153"/>
        <v>/* NOVIEMBRE        */</v>
      </c>
      <c r="C1052" s="15">
        <f t="shared" si="148"/>
        <v>46692</v>
      </c>
      <c r="D1052" s="9">
        <f t="shared" si="149"/>
        <v>46692</v>
      </c>
      <c r="E1052" t="s">
        <v>46</v>
      </c>
      <c r="F1052" t="s">
        <v>43</v>
      </c>
      <c r="G1052">
        <v>1</v>
      </c>
      <c r="I1052" s="11">
        <f t="shared" si="150"/>
        <v>46692</v>
      </c>
      <c r="J1052" t="s">
        <v>44</v>
      </c>
      <c r="K1052" t="str">
        <f t="shared" si="151"/>
        <v>/* NOVIEMBRE        */ { nombre: "Adviento, Semana I, LUNES", archivo: "/ev/ta/1/lunes.mp3", fecha: `${year}-11-01` },</v>
      </c>
      <c r="L1052" s="10">
        <f t="shared" si="152"/>
        <v>46692</v>
      </c>
    </row>
    <row r="1053" spans="1:12" hidden="1" x14ac:dyDescent="0.25">
      <c r="A1053" t="str" cm="1">
        <f t="array" ref="A1053">_xlfn.IFS(E1053="Adviento","ta", E1053="Navidad","tn", E1053="Epifania","te", E1053="Ordinario","to", E1053="Cuaresma","tc", E1053="Domingo De Ramos","tc", E1053="Semana Santa","ss", E1053="Triduo Pascual","tp", E1053="Vigilia Pascual","tp", E1053="Pascual","tp")</f>
        <v>ta</v>
      </c>
      <c r="B1053" s="14" t="str">
        <f t="shared" si="153"/>
        <v>/* NOVIEMBRE        */</v>
      </c>
      <c r="C1053" s="15">
        <f t="shared" si="148"/>
        <v>46693</v>
      </c>
      <c r="D1053" s="9">
        <f t="shared" si="149"/>
        <v>46693</v>
      </c>
      <c r="E1053" t="s">
        <v>46</v>
      </c>
      <c r="F1053" t="s">
        <v>43</v>
      </c>
      <c r="G1053">
        <v>1</v>
      </c>
      <c r="I1053" s="11">
        <f t="shared" si="150"/>
        <v>46693</v>
      </c>
      <c r="J1053" t="s">
        <v>44</v>
      </c>
      <c r="K1053" t="str">
        <f t="shared" si="151"/>
        <v>/* NOVIEMBRE        */ { nombre: "Adviento, Semana I, MARTES", archivo: "/ev/ta/1/martes.mp3", fecha: `${year}-11-02` },</v>
      </c>
      <c r="L1053" s="10">
        <f t="shared" si="152"/>
        <v>46693</v>
      </c>
    </row>
    <row r="1054" spans="1:12" hidden="1" x14ac:dyDescent="0.25">
      <c r="A1054" t="str" cm="1">
        <f t="array" ref="A1054">_xlfn.IFS(E1054="Adviento","ta", E1054="Navidad","tn", E1054="Epifania","te", E1054="Ordinario","to", E1054="Cuaresma","tc", E1054="Domingo De Ramos","tc", E1054="Semana Santa","ss", E1054="Triduo Pascual","tp", E1054="Vigilia Pascual","tp", E1054="Pascual","tp")</f>
        <v>ta</v>
      </c>
      <c r="B1054" s="14" t="str">
        <f t="shared" si="153"/>
        <v>/* NOVIEMBRE        */</v>
      </c>
      <c r="C1054" s="15">
        <f t="shared" si="148"/>
        <v>46694</v>
      </c>
      <c r="D1054" s="9">
        <f t="shared" si="149"/>
        <v>46694</v>
      </c>
      <c r="E1054" t="s">
        <v>46</v>
      </c>
      <c r="F1054" t="s">
        <v>43</v>
      </c>
      <c r="G1054">
        <v>1</v>
      </c>
      <c r="I1054" s="11">
        <f t="shared" si="150"/>
        <v>46694</v>
      </c>
      <c r="J1054" t="s">
        <v>44</v>
      </c>
      <c r="K1054" t="str">
        <f t="shared" si="151"/>
        <v>/* NOVIEMBRE        */ { nombre: "Adviento, Semana I, MIÉRCOLES", archivo: "/ev/ta/1/miércoles.mp3", fecha: `${year}-11-03` },</v>
      </c>
      <c r="L1054" s="10">
        <f t="shared" si="152"/>
        <v>46694</v>
      </c>
    </row>
    <row r="1055" spans="1:12" hidden="1" x14ac:dyDescent="0.25">
      <c r="A1055" t="str" cm="1">
        <f t="array" ref="A1055">_xlfn.IFS(E1055="Adviento","ta", E1055="Navidad","tn", E1055="Epifania","te", E1055="Ordinario","to", E1055="Cuaresma","tc", E1055="Domingo De Ramos","tc", E1055="Semana Santa","ss", E1055="Triduo Pascual","tp", E1055="Vigilia Pascual","tp", E1055="Pascual","tp")</f>
        <v>ta</v>
      </c>
      <c r="B1055" s="14" t="str">
        <f t="shared" si="153"/>
        <v>/* NOVIEMBRE        */</v>
      </c>
      <c r="C1055" s="15">
        <f t="shared" si="148"/>
        <v>46695</v>
      </c>
      <c r="D1055" s="9">
        <f t="shared" si="149"/>
        <v>46695</v>
      </c>
      <c r="E1055" t="s">
        <v>46</v>
      </c>
      <c r="F1055" t="s">
        <v>43</v>
      </c>
      <c r="G1055">
        <v>1</v>
      </c>
      <c r="I1055" s="11">
        <f t="shared" si="150"/>
        <v>46695</v>
      </c>
      <c r="J1055" t="s">
        <v>44</v>
      </c>
      <c r="K1055" t="str">
        <f t="shared" si="151"/>
        <v>/* NOVIEMBRE        */ { nombre: "Adviento, Semana I, JUEVES", archivo: "/ev/ta/1/jueves.mp3", fecha: `${year}-11-04` },</v>
      </c>
      <c r="L1055" s="10">
        <f t="shared" si="152"/>
        <v>46695</v>
      </c>
    </row>
    <row r="1056" spans="1:12" hidden="1" x14ac:dyDescent="0.25">
      <c r="A1056" t="str" cm="1">
        <f t="array" ref="A1056">_xlfn.IFS(E1056="Adviento","ta", E1056="Navidad","tn", E1056="Epifania","te", E1056="Ordinario","to", E1056="Cuaresma","tc", E1056="Domingo De Ramos","tc", E1056="Semana Santa","ss", E1056="Triduo Pascual","tp", E1056="Vigilia Pascual","tp", E1056="Pascual","tp")</f>
        <v>ta</v>
      </c>
      <c r="B1056" s="14" t="str">
        <f t="shared" si="153"/>
        <v>/* NOVIEMBRE        */</v>
      </c>
      <c r="C1056" s="15">
        <f t="shared" si="148"/>
        <v>46696</v>
      </c>
      <c r="D1056" s="9">
        <f t="shared" si="149"/>
        <v>46696</v>
      </c>
      <c r="E1056" t="s">
        <v>46</v>
      </c>
      <c r="F1056" t="s">
        <v>43</v>
      </c>
      <c r="G1056">
        <v>1</v>
      </c>
      <c r="I1056" s="11">
        <f t="shared" si="150"/>
        <v>46696</v>
      </c>
      <c r="J1056" t="s">
        <v>44</v>
      </c>
      <c r="K1056" t="str">
        <f t="shared" si="151"/>
        <v>/* NOVIEMBRE        */ { nombre: "Adviento, Semana I, VIERNES", archivo: "/ev/ta/1/viernes.mp3", fecha: `${year}-11-05` },</v>
      </c>
      <c r="L1056" s="10">
        <f t="shared" si="152"/>
        <v>46696</v>
      </c>
    </row>
    <row r="1057" spans="1:12" hidden="1" x14ac:dyDescent="0.25">
      <c r="A1057" t="str" cm="1">
        <f t="array" ref="A1057">_xlfn.IFS(E1057="Adviento","ta", E1057="Navidad","tn", E1057="Epifania","te", E1057="Ordinario","to", E1057="Cuaresma","tc", E1057="Domingo De Ramos","tc", E1057="Semana Santa","ss", E1057="Triduo Pascual","tp", E1057="Vigilia Pascual","tp", E1057="Pascual","tp")</f>
        <v>ta</v>
      </c>
      <c r="B1057" s="14" t="str">
        <f t="shared" si="153"/>
        <v>/* NOVIEMBRE        */</v>
      </c>
      <c r="C1057" s="15">
        <f t="shared" si="148"/>
        <v>46697</v>
      </c>
      <c r="D1057" s="9">
        <f t="shared" si="149"/>
        <v>46697</v>
      </c>
      <c r="E1057" t="s">
        <v>46</v>
      </c>
      <c r="F1057" t="s">
        <v>43</v>
      </c>
      <c r="G1057">
        <v>1</v>
      </c>
      <c r="I1057" s="11">
        <f t="shared" si="150"/>
        <v>46697</v>
      </c>
      <c r="J1057" t="s">
        <v>44</v>
      </c>
      <c r="K1057" t="str">
        <f t="shared" si="151"/>
        <v>/* NOVIEMBRE        */ { nombre: "Adviento, Semana I, SÁBADO", archivo: "/ev/ta/1/sábado.mp3", fecha: `${year}-11-06` },</v>
      </c>
      <c r="L1057" s="10">
        <f t="shared" si="152"/>
        <v>46697</v>
      </c>
    </row>
    <row r="1058" spans="1:12" hidden="1" x14ac:dyDescent="0.25">
      <c r="A1058" t="str" cm="1">
        <f t="array" ref="A1058">_xlfn.IFS(E1058="Adviento","ta", E1058="Navidad","tn", E1058="Epifania","te", E1058="Ordinario","to", E1058="Cuaresma","tc", E1058="Domingo De Ramos","tc", E1058="Semana Santa","ss", E1058="Triduo Pascual","tp", E1058="Vigilia Pascual","tp", E1058="Pascual","tp")</f>
        <v>ta</v>
      </c>
      <c r="B1058" s="14" t="str">
        <f t="shared" si="153"/>
        <v>/* NOVIEMBRE        */</v>
      </c>
      <c r="C1058" s="15">
        <f t="shared" si="148"/>
        <v>46698</v>
      </c>
      <c r="D1058" s="9">
        <f t="shared" si="149"/>
        <v>46698</v>
      </c>
      <c r="E1058" t="s">
        <v>46</v>
      </c>
      <c r="F1058" t="s">
        <v>43</v>
      </c>
      <c r="G1058">
        <v>1</v>
      </c>
      <c r="I1058" s="11">
        <f t="shared" si="150"/>
        <v>46698</v>
      </c>
      <c r="J1058" t="s">
        <v>44</v>
      </c>
      <c r="K1058" t="str">
        <f t="shared" si="151"/>
        <v>/* NOVIEMBRE        */ { nombre: "Adviento, Semana I, DOMINGO", archivo: "/ev/ta/1/domingo.mp3", fecha: `${year}-11-07` },</v>
      </c>
      <c r="L1058" s="10">
        <f t="shared" si="152"/>
        <v>46698</v>
      </c>
    </row>
    <row r="1059" spans="1:12" hidden="1" x14ac:dyDescent="0.25">
      <c r="A1059" t="str" cm="1">
        <f t="array" ref="A1059">_xlfn.IFS(E1059="Adviento","ta", E1059="Navidad","tn", E1059="Epifania","te", E1059="Ordinario","to", E1059="Cuaresma","tc", E1059="Domingo De Ramos","tc", E1059="Semana Santa","ss", E1059="Triduo Pascual","tp", E1059="Vigilia Pascual","tp", E1059="Pascual","tp")</f>
        <v>ta</v>
      </c>
      <c r="B1059" s="14" t="str">
        <f t="shared" si="153"/>
        <v>/* NOVIEMBRE        */</v>
      </c>
      <c r="C1059" s="15">
        <f t="shared" si="148"/>
        <v>46699</v>
      </c>
      <c r="D1059" s="9">
        <f t="shared" si="149"/>
        <v>46699</v>
      </c>
      <c r="E1059" t="s">
        <v>46</v>
      </c>
      <c r="F1059" t="s">
        <v>43</v>
      </c>
      <c r="G1059">
        <v>1</v>
      </c>
      <c r="I1059" s="11">
        <f t="shared" si="150"/>
        <v>46699</v>
      </c>
      <c r="J1059" t="s">
        <v>44</v>
      </c>
      <c r="K1059" t="str">
        <f t="shared" si="151"/>
        <v>/* NOVIEMBRE        */ { nombre: "Adviento, Semana I, LUNES", archivo: "/ev/ta/1/lunes.mp3", fecha: `${year}-11-08` },</v>
      </c>
      <c r="L1059" s="10">
        <f t="shared" si="152"/>
        <v>46699</v>
      </c>
    </row>
    <row r="1060" spans="1:12" hidden="1" x14ac:dyDescent="0.25">
      <c r="A1060" t="str" cm="1">
        <f t="array" ref="A1060">_xlfn.IFS(E1060="Adviento","ta", E1060="Navidad","tn", E1060="Epifania","te", E1060="Ordinario","to", E1060="Cuaresma","tc", E1060="Domingo De Ramos","tc", E1060="Semana Santa","ss", E1060="Triduo Pascual","tp", E1060="Vigilia Pascual","tp", E1060="Pascual","tp")</f>
        <v>ta</v>
      </c>
      <c r="B1060" s="14" t="str">
        <f t="shared" si="153"/>
        <v>/* NOVIEMBRE        */</v>
      </c>
      <c r="C1060" s="15">
        <f t="shared" si="148"/>
        <v>46700</v>
      </c>
      <c r="D1060" s="9">
        <f t="shared" si="149"/>
        <v>46700</v>
      </c>
      <c r="E1060" t="s">
        <v>46</v>
      </c>
      <c r="F1060" t="s">
        <v>43</v>
      </c>
      <c r="G1060">
        <v>1</v>
      </c>
      <c r="I1060" s="11">
        <f t="shared" si="150"/>
        <v>46700</v>
      </c>
      <c r="J1060" t="s">
        <v>44</v>
      </c>
      <c r="K1060" t="str">
        <f t="shared" si="151"/>
        <v>/* NOVIEMBRE        */ { nombre: "Adviento, Semana I, MARTES", archivo: "/ev/ta/1/martes.mp3", fecha: `${year}-11-09` },</v>
      </c>
      <c r="L1060" s="10">
        <f t="shared" si="152"/>
        <v>46700</v>
      </c>
    </row>
    <row r="1061" spans="1:12" hidden="1" x14ac:dyDescent="0.25">
      <c r="A1061" t="str" cm="1">
        <f t="array" ref="A1061">_xlfn.IFS(E1061="Adviento","ta", E1061="Navidad","tn", E1061="Epifania","te", E1061="Ordinario","to", E1061="Cuaresma","tc", E1061="Domingo De Ramos","tc", E1061="Semana Santa","ss", E1061="Triduo Pascual","tp", E1061="Vigilia Pascual","tp", E1061="Pascual","tp")</f>
        <v>ta</v>
      </c>
      <c r="B1061" s="14" t="str">
        <f t="shared" si="153"/>
        <v>/* NOVIEMBRE        */</v>
      </c>
      <c r="C1061" s="15">
        <f t="shared" si="148"/>
        <v>46701</v>
      </c>
      <c r="D1061" s="9">
        <f t="shared" si="149"/>
        <v>46701</v>
      </c>
      <c r="E1061" t="s">
        <v>46</v>
      </c>
      <c r="F1061" t="s">
        <v>43</v>
      </c>
      <c r="G1061">
        <v>1</v>
      </c>
      <c r="I1061" s="11">
        <f t="shared" si="150"/>
        <v>46701</v>
      </c>
      <c r="J1061" t="s">
        <v>44</v>
      </c>
      <c r="K1061" t="str">
        <f t="shared" si="151"/>
        <v>/* NOVIEMBRE        */ { nombre: "Adviento, Semana I, MIÉRCOLES", archivo: "/ev/ta/1/miércoles.mp3", fecha: `${year}-11-10` },</v>
      </c>
      <c r="L1061" s="10">
        <f t="shared" si="152"/>
        <v>46701</v>
      </c>
    </row>
    <row r="1062" spans="1:12" hidden="1" x14ac:dyDescent="0.25">
      <c r="A1062" t="str" cm="1">
        <f t="array" ref="A1062">_xlfn.IFS(E1062="Adviento","ta", E1062="Navidad","tn", E1062="Epifania","te", E1062="Ordinario","to", E1062="Cuaresma","tc", E1062="Domingo De Ramos","tc", E1062="Semana Santa","ss", E1062="Triduo Pascual","tp", E1062="Vigilia Pascual","tp", E1062="Pascual","tp")</f>
        <v>ta</v>
      </c>
      <c r="B1062" s="14" t="str">
        <f t="shared" si="153"/>
        <v>/* NOVIEMBRE        */</v>
      </c>
      <c r="C1062" s="15">
        <f t="shared" si="148"/>
        <v>46702</v>
      </c>
      <c r="D1062" s="9">
        <f t="shared" si="149"/>
        <v>46702</v>
      </c>
      <c r="E1062" t="s">
        <v>46</v>
      </c>
      <c r="F1062" t="s">
        <v>43</v>
      </c>
      <c r="G1062">
        <v>1</v>
      </c>
      <c r="I1062" s="11">
        <f t="shared" si="150"/>
        <v>46702</v>
      </c>
      <c r="J1062" t="s">
        <v>44</v>
      </c>
      <c r="K1062" t="str">
        <f t="shared" si="151"/>
        <v>/* NOVIEMBRE        */ { nombre: "Adviento, Semana I, JUEVES", archivo: "/ev/ta/1/jueves.mp3", fecha: `${year}-11-11` },</v>
      </c>
      <c r="L1062" s="10">
        <f t="shared" si="152"/>
        <v>46702</v>
      </c>
    </row>
    <row r="1063" spans="1:12" hidden="1" x14ac:dyDescent="0.25">
      <c r="A1063" t="str" cm="1">
        <f t="array" ref="A1063">_xlfn.IFS(E1063="Adviento","ta", E1063="Navidad","tn", E1063="Epifania","te", E1063="Ordinario","to", E1063="Cuaresma","tc", E1063="Domingo De Ramos","tc", E1063="Semana Santa","ss", E1063="Triduo Pascual","tp", E1063="Vigilia Pascual","tp", E1063="Pascual","tp")</f>
        <v>ta</v>
      </c>
      <c r="B1063" s="14" t="str">
        <f t="shared" si="153"/>
        <v>/* NOVIEMBRE        */</v>
      </c>
      <c r="C1063" s="15">
        <f t="shared" si="148"/>
        <v>46703</v>
      </c>
      <c r="D1063" s="9">
        <f t="shared" si="149"/>
        <v>46703</v>
      </c>
      <c r="E1063" t="s">
        <v>46</v>
      </c>
      <c r="F1063" t="s">
        <v>43</v>
      </c>
      <c r="G1063">
        <v>1</v>
      </c>
      <c r="I1063" s="11">
        <f t="shared" si="150"/>
        <v>46703</v>
      </c>
      <c r="J1063" t="s">
        <v>44</v>
      </c>
      <c r="K1063" t="str">
        <f t="shared" si="151"/>
        <v>/* NOVIEMBRE        */ { nombre: "Adviento, Semana I, VIERNES", archivo: "/ev/ta/1/viernes.mp3", fecha: `${year}-11-12` },</v>
      </c>
      <c r="L1063" s="10">
        <f t="shared" si="152"/>
        <v>46703</v>
      </c>
    </row>
    <row r="1064" spans="1:12" hidden="1" x14ac:dyDescent="0.25">
      <c r="A1064" t="str" cm="1">
        <f t="array" ref="A1064">_xlfn.IFS(E1064="Adviento","ta", E1064="Navidad","tn", E1064="Epifania","te", E1064="Ordinario","to", E1064="Cuaresma","tc", E1064="Domingo De Ramos","tc", E1064="Semana Santa","ss", E1064="Triduo Pascual","tp", E1064="Vigilia Pascual","tp", E1064="Pascual","tp")</f>
        <v>ta</v>
      </c>
      <c r="B1064" s="14" t="str">
        <f t="shared" si="153"/>
        <v>/* NOVIEMBRE        */</v>
      </c>
      <c r="C1064" s="15">
        <f t="shared" si="148"/>
        <v>46704</v>
      </c>
      <c r="D1064" s="9">
        <f t="shared" si="149"/>
        <v>46704</v>
      </c>
      <c r="E1064" t="s">
        <v>46</v>
      </c>
      <c r="F1064" t="s">
        <v>43</v>
      </c>
      <c r="G1064">
        <v>1</v>
      </c>
      <c r="I1064" s="11">
        <f t="shared" si="150"/>
        <v>46704</v>
      </c>
      <c r="J1064" t="s">
        <v>44</v>
      </c>
      <c r="K1064" t="str">
        <f t="shared" si="151"/>
        <v>/* NOVIEMBRE        */ { nombre: "Adviento, Semana I, SÁBADO", archivo: "/ev/ta/1/sábado.mp3", fecha: `${year}-11-13` },</v>
      </c>
      <c r="L1064" s="10">
        <f t="shared" si="152"/>
        <v>46704</v>
      </c>
    </row>
    <row r="1065" spans="1:12" hidden="1" x14ac:dyDescent="0.25">
      <c r="A1065" t="str" cm="1">
        <f t="array" ref="A1065">_xlfn.IFS(E1065="Adviento","ta", E1065="Navidad","tn", E1065="Epifania","te", E1065="Ordinario","to", E1065="Cuaresma","tc", E1065="Domingo De Ramos","tc", E1065="Semana Santa","ss", E1065="Triduo Pascual","tp", E1065="Vigilia Pascual","tp", E1065="Pascual","tp")</f>
        <v>ta</v>
      </c>
      <c r="B1065" s="14" t="str">
        <f t="shared" si="153"/>
        <v>/* NOVIEMBRE        */</v>
      </c>
      <c r="C1065" s="15">
        <f t="shared" si="148"/>
        <v>46705</v>
      </c>
      <c r="D1065" s="9">
        <f t="shared" si="149"/>
        <v>46705</v>
      </c>
      <c r="E1065" t="s">
        <v>46</v>
      </c>
      <c r="F1065" t="s">
        <v>43</v>
      </c>
      <c r="G1065">
        <v>1</v>
      </c>
      <c r="I1065" s="11">
        <f t="shared" si="150"/>
        <v>46705</v>
      </c>
      <c r="J1065" t="s">
        <v>44</v>
      </c>
      <c r="K1065" t="str">
        <f t="shared" si="151"/>
        <v>/* NOVIEMBRE        */ { nombre: "Adviento, Semana I, DOMINGO", archivo: "/ev/ta/1/domingo.mp3", fecha: `${year}-11-14` },</v>
      </c>
      <c r="L1065" s="10">
        <f t="shared" si="152"/>
        <v>46705</v>
      </c>
    </row>
    <row r="1066" spans="1:12" hidden="1" x14ac:dyDescent="0.25">
      <c r="A1066" t="str" cm="1">
        <f t="array" ref="A1066">_xlfn.IFS(E1066="Adviento","ta", E1066="Navidad","tn", E1066="Epifania","te", E1066="Ordinario","to", E1066="Cuaresma","tc", E1066="Domingo De Ramos","tc", E1066="Semana Santa","ss", E1066="Triduo Pascual","tp", E1066="Vigilia Pascual","tp", E1066="Pascual","tp")</f>
        <v>ta</v>
      </c>
      <c r="B1066" s="14" t="str">
        <f t="shared" si="153"/>
        <v>/* NOVIEMBRE        */</v>
      </c>
      <c r="C1066" s="15">
        <f t="shared" si="148"/>
        <v>46706</v>
      </c>
      <c r="D1066" s="9">
        <f t="shared" si="149"/>
        <v>46706</v>
      </c>
      <c r="E1066" t="s">
        <v>46</v>
      </c>
      <c r="F1066" t="s">
        <v>43</v>
      </c>
      <c r="G1066">
        <v>1</v>
      </c>
      <c r="I1066" s="11">
        <f t="shared" si="150"/>
        <v>46706</v>
      </c>
      <c r="J1066" t="s">
        <v>44</v>
      </c>
      <c r="K1066" t="str">
        <f t="shared" si="151"/>
        <v>/* NOVIEMBRE        */ { nombre: "Adviento, Semana I, LUNES", archivo: "/ev/ta/1/lunes.mp3", fecha: `${year}-11-15` },</v>
      </c>
      <c r="L1066" s="10">
        <f t="shared" si="152"/>
        <v>46706</v>
      </c>
    </row>
    <row r="1067" spans="1:12" hidden="1" x14ac:dyDescent="0.25">
      <c r="A1067" t="str" cm="1">
        <f t="array" ref="A1067">_xlfn.IFS(E1067="Adviento","ta", E1067="Navidad","tn", E1067="Epifania","te", E1067="Ordinario","to", E1067="Cuaresma","tc", E1067="Domingo De Ramos","tc", E1067="Semana Santa","ss", E1067="Triduo Pascual","tp", E1067="Vigilia Pascual","tp", E1067="Pascual","tp")</f>
        <v>ta</v>
      </c>
      <c r="B1067" s="14" t="str">
        <f t="shared" si="153"/>
        <v>/* NOVIEMBRE        */</v>
      </c>
      <c r="C1067" s="15">
        <f t="shared" si="148"/>
        <v>46707</v>
      </c>
      <c r="D1067" s="9">
        <f t="shared" si="149"/>
        <v>46707</v>
      </c>
      <c r="E1067" t="s">
        <v>46</v>
      </c>
      <c r="F1067" t="s">
        <v>43</v>
      </c>
      <c r="G1067">
        <v>1</v>
      </c>
      <c r="I1067" s="11">
        <f t="shared" si="150"/>
        <v>46707</v>
      </c>
      <c r="J1067" t="s">
        <v>44</v>
      </c>
      <c r="K1067" t="str">
        <f t="shared" si="151"/>
        <v>/* NOVIEMBRE        */ { nombre: "Adviento, Semana I, MARTES", archivo: "/ev/ta/1/martes.mp3", fecha: `${year}-11-16` },</v>
      </c>
      <c r="L1067" s="10">
        <f t="shared" si="152"/>
        <v>46707</v>
      </c>
    </row>
    <row r="1068" spans="1:12" hidden="1" x14ac:dyDescent="0.25">
      <c r="A1068" t="str" cm="1">
        <f t="array" ref="A1068">_xlfn.IFS(E1068="Adviento","ta", E1068="Navidad","tn", E1068="Epifania","te", E1068="Ordinario","to", E1068="Cuaresma","tc", E1068="Domingo De Ramos","tc", E1068="Semana Santa","ss", E1068="Triduo Pascual","tp", E1068="Vigilia Pascual","tp", E1068="Pascual","tp")</f>
        <v>ta</v>
      </c>
      <c r="B1068" s="14" t="str">
        <f t="shared" si="153"/>
        <v>/* NOVIEMBRE        */</v>
      </c>
      <c r="C1068" s="15">
        <f t="shared" si="148"/>
        <v>46708</v>
      </c>
      <c r="D1068" s="9">
        <f t="shared" si="149"/>
        <v>46708</v>
      </c>
      <c r="E1068" t="s">
        <v>46</v>
      </c>
      <c r="F1068" t="s">
        <v>43</v>
      </c>
      <c r="G1068">
        <v>1</v>
      </c>
      <c r="I1068" s="11">
        <f t="shared" si="150"/>
        <v>46708</v>
      </c>
      <c r="J1068" t="s">
        <v>44</v>
      </c>
      <c r="K1068" t="str">
        <f t="shared" si="151"/>
        <v>/* NOVIEMBRE        */ { nombre: "Adviento, Semana I, MIÉRCOLES", archivo: "/ev/ta/1/miércoles.mp3", fecha: `${year}-11-17` },</v>
      </c>
      <c r="L1068" s="10">
        <f t="shared" si="152"/>
        <v>46708</v>
      </c>
    </row>
    <row r="1069" spans="1:12" hidden="1" x14ac:dyDescent="0.25">
      <c r="A1069" t="str" cm="1">
        <f t="array" ref="A1069">_xlfn.IFS(E1069="Adviento","ta", E1069="Navidad","tn", E1069="Epifania","te", E1069="Ordinario","to", E1069="Cuaresma","tc", E1069="Domingo De Ramos","tc", E1069="Semana Santa","ss", E1069="Triduo Pascual","tp", E1069="Vigilia Pascual","tp", E1069="Pascual","tp")</f>
        <v>ta</v>
      </c>
      <c r="B1069" s="14" t="str">
        <f t="shared" si="153"/>
        <v>/* NOVIEMBRE        */</v>
      </c>
      <c r="C1069" s="15">
        <f t="shared" si="148"/>
        <v>46709</v>
      </c>
      <c r="D1069" s="9">
        <f t="shared" si="149"/>
        <v>46709</v>
      </c>
      <c r="E1069" t="s">
        <v>46</v>
      </c>
      <c r="F1069" t="s">
        <v>43</v>
      </c>
      <c r="G1069">
        <v>1</v>
      </c>
      <c r="I1069" s="11">
        <f t="shared" si="150"/>
        <v>46709</v>
      </c>
      <c r="J1069" t="s">
        <v>44</v>
      </c>
      <c r="K1069" t="str">
        <f t="shared" si="151"/>
        <v>/* NOVIEMBRE        */ { nombre: "Adviento, Semana I, JUEVES", archivo: "/ev/ta/1/jueves.mp3", fecha: `${year}-11-18` },</v>
      </c>
      <c r="L1069" s="10">
        <f t="shared" si="152"/>
        <v>46709</v>
      </c>
    </row>
    <row r="1070" spans="1:12" hidden="1" x14ac:dyDescent="0.25">
      <c r="A1070" t="str" cm="1">
        <f t="array" ref="A1070">_xlfn.IFS(E1070="Adviento","ta", E1070="Navidad","tn", E1070="Epifania","te", E1070="Ordinario","to", E1070="Cuaresma","tc", E1070="Domingo De Ramos","tc", E1070="Semana Santa","ss", E1070="Triduo Pascual","tp", E1070="Vigilia Pascual","tp", E1070="Pascual","tp")</f>
        <v>ta</v>
      </c>
      <c r="B1070" s="14" t="str">
        <f t="shared" si="153"/>
        <v>/* NOVIEMBRE        */</v>
      </c>
      <c r="C1070" s="15">
        <f t="shared" si="148"/>
        <v>46710</v>
      </c>
      <c r="D1070" s="9">
        <f t="shared" si="149"/>
        <v>46710</v>
      </c>
      <c r="E1070" t="s">
        <v>46</v>
      </c>
      <c r="F1070" t="s">
        <v>43</v>
      </c>
      <c r="G1070">
        <v>1</v>
      </c>
      <c r="I1070" s="11">
        <f t="shared" si="150"/>
        <v>46710</v>
      </c>
      <c r="J1070" t="s">
        <v>44</v>
      </c>
      <c r="K1070" t="str">
        <f t="shared" si="151"/>
        <v>/* NOVIEMBRE        */ { nombre: "Adviento, Semana I, VIERNES", archivo: "/ev/ta/1/viernes.mp3", fecha: `${year}-11-19` },</v>
      </c>
      <c r="L1070" s="10">
        <f t="shared" si="152"/>
        <v>46710</v>
      </c>
    </row>
    <row r="1071" spans="1:12" hidden="1" x14ac:dyDescent="0.25">
      <c r="A1071" t="str" cm="1">
        <f t="array" ref="A1071">_xlfn.IFS(E1071="Adviento","ta", E1071="Navidad","tn", E1071="Epifania","te", E1071="Ordinario","to", E1071="Cuaresma","tc", E1071="Domingo De Ramos","tc", E1071="Semana Santa","ss", E1071="Triduo Pascual","tp", E1071="Vigilia Pascual","tp", E1071="Pascual","tp")</f>
        <v>ta</v>
      </c>
      <c r="B1071" s="14" t="str">
        <f t="shared" si="153"/>
        <v>/* NOVIEMBRE        */</v>
      </c>
      <c r="C1071" s="15">
        <f t="shared" si="148"/>
        <v>46711</v>
      </c>
      <c r="D1071" s="9">
        <f t="shared" si="149"/>
        <v>46711</v>
      </c>
      <c r="E1071" t="s">
        <v>46</v>
      </c>
      <c r="F1071" t="s">
        <v>43</v>
      </c>
      <c r="G1071">
        <v>1</v>
      </c>
      <c r="I1071" s="11">
        <f t="shared" si="150"/>
        <v>46711</v>
      </c>
      <c r="J1071" t="s">
        <v>44</v>
      </c>
      <c r="K1071" t="str">
        <f t="shared" si="151"/>
        <v>/* NOVIEMBRE        */ { nombre: "Adviento, Semana I, SÁBADO", archivo: "/ev/ta/1/sábado.mp3", fecha: `${year}-11-20` },</v>
      </c>
      <c r="L1071" s="10">
        <f t="shared" si="152"/>
        <v>46711</v>
      </c>
    </row>
    <row r="1072" spans="1:12" hidden="1" x14ac:dyDescent="0.25">
      <c r="A1072" t="str" cm="1">
        <f t="array" ref="A1072">_xlfn.IFS(E1072="Adviento","ta", E1072="Navidad","tn", E1072="Epifania","te", E1072="Ordinario","to", E1072="Cuaresma","tc", E1072="Domingo De Ramos","tc", E1072="Semana Santa","ss", E1072="Triduo Pascual","tp", E1072="Vigilia Pascual","tp", E1072="Pascual","tp")</f>
        <v>ta</v>
      </c>
      <c r="B1072" s="14" t="str">
        <f t="shared" si="153"/>
        <v>/* NOVIEMBRE        */</v>
      </c>
      <c r="C1072" s="15">
        <f t="shared" si="148"/>
        <v>46712</v>
      </c>
      <c r="D1072" s="9">
        <f t="shared" si="149"/>
        <v>46712</v>
      </c>
      <c r="E1072" t="s">
        <v>46</v>
      </c>
      <c r="F1072" t="s">
        <v>43</v>
      </c>
      <c r="G1072">
        <v>1</v>
      </c>
      <c r="I1072" s="11">
        <f t="shared" si="150"/>
        <v>46712</v>
      </c>
      <c r="J1072" t="s">
        <v>44</v>
      </c>
      <c r="K1072" t="str">
        <f t="shared" si="151"/>
        <v>/* NOVIEMBRE        */ { nombre: "Adviento, Semana I, DOMINGO", archivo: "/ev/ta/1/domingo.mp3", fecha: `${year}-11-21` },</v>
      </c>
      <c r="L1072" s="10">
        <f t="shared" si="152"/>
        <v>46712</v>
      </c>
    </row>
    <row r="1073" spans="1:12" hidden="1" x14ac:dyDescent="0.25">
      <c r="A1073" t="str" cm="1">
        <f t="array" ref="A1073">_xlfn.IFS(E1073="Adviento","ta", E1073="Navidad","tn", E1073="Epifania","te", E1073="Ordinario","to", E1073="Cuaresma","tc", E1073="Domingo De Ramos","tc", E1073="Semana Santa","ss", E1073="Triduo Pascual","tp", E1073="Vigilia Pascual","tp", E1073="Pascual","tp")</f>
        <v>ta</v>
      </c>
      <c r="B1073" s="14" t="str">
        <f t="shared" si="153"/>
        <v>/* NOVIEMBRE        */</v>
      </c>
      <c r="C1073" s="15">
        <f t="shared" si="148"/>
        <v>46713</v>
      </c>
      <c r="D1073" s="9">
        <f t="shared" si="149"/>
        <v>46713</v>
      </c>
      <c r="E1073" t="s">
        <v>46</v>
      </c>
      <c r="F1073" t="s">
        <v>43</v>
      </c>
      <c r="G1073">
        <v>1</v>
      </c>
      <c r="I1073" s="11">
        <f t="shared" si="150"/>
        <v>46713</v>
      </c>
      <c r="J1073" t="s">
        <v>44</v>
      </c>
      <c r="K1073" t="str">
        <f t="shared" si="151"/>
        <v>/* NOVIEMBRE        */ { nombre: "Adviento, Semana I, LUNES", archivo: "/ev/ta/1/lunes.mp3", fecha: `${year}-11-22` },</v>
      </c>
      <c r="L1073" s="10">
        <f t="shared" si="152"/>
        <v>46713</v>
      </c>
    </row>
    <row r="1074" spans="1:12" hidden="1" x14ac:dyDescent="0.25">
      <c r="A1074" t="str" cm="1">
        <f t="array" ref="A1074">_xlfn.IFS(E1074="Adviento","ta", E1074="Navidad","tn", E1074="Epifania","te", E1074="Ordinario","to", E1074="Cuaresma","tc", E1074="Domingo De Ramos","tc", E1074="Semana Santa","ss", E1074="Triduo Pascual","tp", E1074="Vigilia Pascual","tp", E1074="Pascual","tp")</f>
        <v>ta</v>
      </c>
      <c r="B1074" s="14" t="str">
        <f t="shared" si="153"/>
        <v>/* NOVIEMBRE        */</v>
      </c>
      <c r="C1074" s="15">
        <f t="shared" si="148"/>
        <v>46714</v>
      </c>
      <c r="D1074" s="9">
        <f t="shared" si="149"/>
        <v>46714</v>
      </c>
      <c r="E1074" t="s">
        <v>46</v>
      </c>
      <c r="F1074" t="s">
        <v>43</v>
      </c>
      <c r="G1074">
        <v>1</v>
      </c>
      <c r="I1074" s="11">
        <f t="shared" si="150"/>
        <v>46714</v>
      </c>
      <c r="J1074" t="s">
        <v>44</v>
      </c>
      <c r="K1074" t="str">
        <f t="shared" si="151"/>
        <v>/* NOVIEMBRE        */ { nombre: "Adviento, Semana I, MARTES", archivo: "/ev/ta/1/martes.mp3", fecha: `${year}-11-23` },</v>
      </c>
      <c r="L1074" s="10">
        <f t="shared" si="152"/>
        <v>46714</v>
      </c>
    </row>
    <row r="1075" spans="1:12" hidden="1" x14ac:dyDescent="0.25">
      <c r="A1075" t="str" cm="1">
        <f t="array" ref="A1075">_xlfn.IFS(E1075="Adviento","ta", E1075="Navidad","tn", E1075="Epifania","te", E1075="Ordinario","to", E1075="Cuaresma","tc", E1075="Domingo De Ramos","tc", E1075="Semana Santa","ss", E1075="Triduo Pascual","tp", E1075="Vigilia Pascual","tp", E1075="Pascual","tp")</f>
        <v>ta</v>
      </c>
      <c r="B1075" s="14" t="str">
        <f t="shared" si="153"/>
        <v>/* NOVIEMBRE        */</v>
      </c>
      <c r="C1075" s="15">
        <f t="shared" si="148"/>
        <v>46715</v>
      </c>
      <c r="D1075" s="9">
        <f t="shared" si="149"/>
        <v>46715</v>
      </c>
      <c r="E1075" t="s">
        <v>46</v>
      </c>
      <c r="F1075" t="s">
        <v>43</v>
      </c>
      <c r="G1075">
        <v>1</v>
      </c>
      <c r="I1075" s="11">
        <f t="shared" si="150"/>
        <v>46715</v>
      </c>
      <c r="J1075" t="s">
        <v>44</v>
      </c>
      <c r="K1075" t="str">
        <f t="shared" si="151"/>
        <v>/* NOVIEMBRE        */ { nombre: "Adviento, Semana I, MIÉRCOLES", archivo: "/ev/ta/1/miércoles.mp3", fecha: `${year}-11-24` },</v>
      </c>
      <c r="L1075" s="10">
        <f t="shared" si="152"/>
        <v>46715</v>
      </c>
    </row>
    <row r="1076" spans="1:12" hidden="1" x14ac:dyDescent="0.25">
      <c r="A1076" t="str" cm="1">
        <f t="array" ref="A1076">_xlfn.IFS(E1076="Adviento","ta", E1076="Navidad","tn", E1076="Epifania","te", E1076="Ordinario","to", E1076="Cuaresma","tc", E1076="Domingo De Ramos","tc", E1076="Semana Santa","ss", E1076="Triduo Pascual","tp", E1076="Vigilia Pascual","tp", E1076="Pascual","tp")</f>
        <v>ta</v>
      </c>
      <c r="B1076" s="14" t="str">
        <f t="shared" si="153"/>
        <v>/* NOVIEMBRE        */</v>
      </c>
      <c r="C1076" s="15">
        <f t="shared" si="148"/>
        <v>46716</v>
      </c>
      <c r="D1076" s="9">
        <f t="shared" si="149"/>
        <v>46716</v>
      </c>
      <c r="E1076" t="s">
        <v>46</v>
      </c>
      <c r="F1076" t="s">
        <v>43</v>
      </c>
      <c r="G1076">
        <v>1</v>
      </c>
      <c r="I1076" s="11">
        <f t="shared" si="150"/>
        <v>46716</v>
      </c>
      <c r="J1076" t="s">
        <v>44</v>
      </c>
      <c r="K1076" t="str">
        <f t="shared" si="151"/>
        <v>/* NOVIEMBRE        */ { nombre: "Adviento, Semana I, JUEVES", archivo: "/ev/ta/1/jueves.mp3", fecha: `${year}-11-25` },</v>
      </c>
      <c r="L1076" s="10">
        <f t="shared" si="152"/>
        <v>46716</v>
      </c>
    </row>
    <row r="1077" spans="1:12" hidden="1" x14ac:dyDescent="0.25">
      <c r="A1077" t="str" cm="1">
        <f t="array" ref="A1077">_xlfn.IFS(E1077="Adviento","ta", E1077="Navidad","tn", E1077="Epifania","te", E1077="Ordinario","to", E1077="Cuaresma","tc", E1077="Domingo De Ramos","tc", E1077="Semana Santa","ss", E1077="Triduo Pascual","tp", E1077="Vigilia Pascual","tp", E1077="Pascual","tp")</f>
        <v>ta</v>
      </c>
      <c r="B1077" s="14" t="str">
        <f t="shared" si="153"/>
        <v>/* NOVIEMBRE        */</v>
      </c>
      <c r="C1077" s="15">
        <f t="shared" ref="C1077:C1130" si="154">+C1076+1</f>
        <v>46717</v>
      </c>
      <c r="D1077" s="9">
        <f t="shared" ref="D1077:D1130" si="155">+D1076+1</f>
        <v>46717</v>
      </c>
      <c r="E1077" t="s">
        <v>46</v>
      </c>
      <c r="F1077" t="s">
        <v>43</v>
      </c>
      <c r="G1077">
        <v>1</v>
      </c>
      <c r="I1077" s="11">
        <f t="shared" ref="I1077:I1130" si="156">D1077</f>
        <v>46717</v>
      </c>
      <c r="J1077" t="s">
        <v>44</v>
      </c>
      <c r="K1077" t="str">
        <f t="shared" ref="K1077:K1130" si="157">_xlfn.CONCAT(B1077, " ", "{ nombre: ", CHAR(34), E1077, ", ", F1077, " ", ROMAN(G1077),H1077, ", ", UPPER(TEXT(D1077, "[$-es-ES]dddd")), CHAR(34), ", archivo: ", CHAR(34), "/ev/", _xlfn.IFS(E1077="Adviento","ta", E1077="Navidad","tn", E1077="Epifania","te", E1077="Ordinario","to", E1077="Cuaresma","tc", E1077="Domingo De Ramos","tc", E1077="Semana Santa","ss", E1077="Triduo Pascual","tp", E1077="Vigilia Pascual","tp", E1077="Pascual","tp"), "/", G1077, "/", TEXT(D1077, "[$-es-ES]dddd"), ".mp3", CHAR(34), ", fecha: `${year}-", TEXT(D1077, "mm-dd"), "` },")</f>
        <v>/* NOVIEMBRE        */ { nombre: "Adviento, Semana I, VIERNES", archivo: "/ev/ta/1/viernes.mp3", fecha: `${year}-11-26` },</v>
      </c>
      <c r="L1077" s="10">
        <f t="shared" ref="L1077:L1130" si="158">D1077</f>
        <v>46717</v>
      </c>
    </row>
    <row r="1078" spans="1:12" hidden="1" x14ac:dyDescent="0.25">
      <c r="A1078" t="str" cm="1">
        <f t="array" ref="A1078">_xlfn.IFS(E1078="Adviento","ta", E1078="Navidad","tn", E1078="Epifania","te", E1078="Ordinario","to", E1078="Cuaresma","tc", E1078="Domingo De Ramos","tc", E1078="Semana Santa","ss", E1078="Triduo Pascual","tp", E1078="Vigilia Pascual","tp", E1078="Pascual","tp")</f>
        <v>ta</v>
      </c>
      <c r="B1078" s="14" t="str">
        <f t="shared" si="153"/>
        <v>/* NOVIEMBRE        */</v>
      </c>
      <c r="C1078" s="15">
        <f t="shared" si="154"/>
        <v>46718</v>
      </c>
      <c r="D1078" s="9">
        <f t="shared" si="155"/>
        <v>46718</v>
      </c>
      <c r="E1078" t="s">
        <v>46</v>
      </c>
      <c r="F1078" t="s">
        <v>43</v>
      </c>
      <c r="G1078">
        <v>1</v>
      </c>
      <c r="I1078" s="11">
        <f t="shared" si="156"/>
        <v>46718</v>
      </c>
      <c r="J1078" t="s">
        <v>44</v>
      </c>
      <c r="K1078" t="str">
        <f t="shared" si="157"/>
        <v>/* NOVIEMBRE        */ { nombre: "Adviento, Semana I, SÁBADO", archivo: "/ev/ta/1/sábado.mp3", fecha: `${year}-11-27` },</v>
      </c>
      <c r="L1078" s="10">
        <f t="shared" si="158"/>
        <v>46718</v>
      </c>
    </row>
    <row r="1079" spans="1:12" hidden="1" x14ac:dyDescent="0.25">
      <c r="A1079" t="str" cm="1">
        <f t="array" ref="A1079">_xlfn.IFS(E1079="Adviento","ta", E1079="Navidad","tn", E1079="Epifania","te", E1079="Ordinario","to", E1079="Cuaresma","tc", E1079="Domingo De Ramos","tc", E1079="Semana Santa","ss", E1079="Triduo Pascual","tp", E1079="Vigilia Pascual","tp", E1079="Pascual","tp")</f>
        <v>ta</v>
      </c>
      <c r="B1079" s="14" t="str">
        <f t="shared" si="153"/>
        <v>/* NOVIEMBRE        */</v>
      </c>
      <c r="C1079" s="15">
        <f t="shared" si="154"/>
        <v>46719</v>
      </c>
      <c r="D1079" s="9">
        <f t="shared" si="155"/>
        <v>46719</v>
      </c>
      <c r="E1079" t="s">
        <v>46</v>
      </c>
      <c r="F1079" t="s">
        <v>43</v>
      </c>
      <c r="G1079">
        <v>1</v>
      </c>
      <c r="I1079" s="11">
        <f t="shared" si="156"/>
        <v>46719</v>
      </c>
      <c r="J1079" t="s">
        <v>44</v>
      </c>
      <c r="K1079" t="str">
        <f t="shared" si="157"/>
        <v>/* NOVIEMBRE        */ { nombre: "Adviento, Semana I, DOMINGO", archivo: "/ev/ta/1/domingo.mp3", fecha: `${year}-11-28` },</v>
      </c>
      <c r="L1079" s="10">
        <f t="shared" si="158"/>
        <v>46719</v>
      </c>
    </row>
    <row r="1080" spans="1:12" hidden="1" x14ac:dyDescent="0.25">
      <c r="A1080" t="str" cm="1">
        <f t="array" ref="A1080">_xlfn.IFS(E1080="Adviento","ta", E1080="Navidad","tn", E1080="Epifania","te", E1080="Ordinario","to", E1080="Cuaresma","tc", E1080="Domingo De Ramos","tc", E1080="Semana Santa","ss", E1080="Triduo Pascual","tp", E1080="Vigilia Pascual","tp", E1080="Pascual","tp")</f>
        <v>ta</v>
      </c>
      <c r="B1080" s="14" t="str">
        <f t="shared" si="153"/>
        <v>/* NOVIEMBRE        */</v>
      </c>
      <c r="C1080" s="15">
        <f t="shared" si="154"/>
        <v>46720</v>
      </c>
      <c r="D1080" s="9">
        <f t="shared" si="155"/>
        <v>46720</v>
      </c>
      <c r="E1080" t="s">
        <v>46</v>
      </c>
      <c r="F1080" t="s">
        <v>43</v>
      </c>
      <c r="G1080">
        <v>1</v>
      </c>
      <c r="I1080" s="11">
        <f t="shared" si="156"/>
        <v>46720</v>
      </c>
      <c r="J1080" t="s">
        <v>44</v>
      </c>
      <c r="K1080" t="str">
        <f t="shared" si="157"/>
        <v>/* NOVIEMBRE        */ { nombre: "Adviento, Semana I, LUNES", archivo: "/ev/ta/1/lunes.mp3", fecha: `${year}-11-29` },</v>
      </c>
      <c r="L1080" s="10">
        <f t="shared" si="158"/>
        <v>46720</v>
      </c>
    </row>
    <row r="1081" spans="1:12" hidden="1" x14ac:dyDescent="0.25">
      <c r="A1081" t="str" cm="1">
        <f t="array" ref="A1081">_xlfn.IFS(E1081="Adviento","ta", E1081="Navidad","tn", E1081="Epifania","te", E1081="Ordinario","to", E1081="Cuaresma","tc", E1081="Domingo De Ramos","tc", E1081="Semana Santa","ss", E1081="Triduo Pascual","tp", E1081="Vigilia Pascual","tp", E1081="Pascual","tp")</f>
        <v>ta</v>
      </c>
      <c r="B1081" s="14" t="str">
        <f t="shared" si="153"/>
        <v>/* NOVIEMBRE        */</v>
      </c>
      <c r="C1081" s="15">
        <f t="shared" si="154"/>
        <v>46721</v>
      </c>
      <c r="D1081" s="9">
        <f t="shared" si="155"/>
        <v>46721</v>
      </c>
      <c r="E1081" t="s">
        <v>46</v>
      </c>
      <c r="F1081" t="s">
        <v>43</v>
      </c>
      <c r="G1081">
        <v>1</v>
      </c>
      <c r="I1081" s="11">
        <f t="shared" si="156"/>
        <v>46721</v>
      </c>
      <c r="J1081" t="s">
        <v>44</v>
      </c>
      <c r="K1081" t="str">
        <f t="shared" si="157"/>
        <v>/* NOVIEMBRE        */ { nombre: "Adviento, Semana I, MARTES", archivo: "/ev/ta/1/martes.mp3", fecha: `${year}-11-30` },</v>
      </c>
      <c r="L1081" s="10">
        <f t="shared" si="158"/>
        <v>46721</v>
      </c>
    </row>
    <row r="1082" spans="1:12" hidden="1" x14ac:dyDescent="0.25">
      <c r="A1082" t="str" cm="1">
        <f t="array" ref="A1082">_xlfn.IFS(E1082="Adviento","ta", E1082="Navidad","tn", E1082="Epifania","te", E1082="Ordinario","to", E1082="Cuaresma","tc", E1082="Domingo De Ramos","tc", E1082="Semana Santa","ss", E1082="Triduo Pascual","tp", E1082="Vigilia Pascual","tp", E1082="Pascual","tp")</f>
        <v>ta</v>
      </c>
      <c r="B1082" s="14" t="str">
        <f t="shared" si="153"/>
        <v>/* DICIEMBRE        */</v>
      </c>
      <c r="C1082" s="15">
        <f t="shared" si="154"/>
        <v>46722</v>
      </c>
      <c r="D1082" s="9">
        <f t="shared" si="155"/>
        <v>46722</v>
      </c>
      <c r="E1082" t="s">
        <v>46</v>
      </c>
      <c r="F1082" t="s">
        <v>43</v>
      </c>
      <c r="G1082">
        <v>1</v>
      </c>
      <c r="I1082" s="11">
        <f t="shared" si="156"/>
        <v>46722</v>
      </c>
      <c r="J1082" t="s">
        <v>44</v>
      </c>
      <c r="K1082" t="str">
        <f t="shared" si="157"/>
        <v>/* DICIEMBRE        */ { nombre: "Adviento, Semana I, MIÉRCOLES", archivo: "/ev/ta/1/miércoles.mp3", fecha: `${year}-12-01` },</v>
      </c>
      <c r="L1082" s="10">
        <f t="shared" si="158"/>
        <v>46722</v>
      </c>
    </row>
    <row r="1083" spans="1:12" hidden="1" x14ac:dyDescent="0.25">
      <c r="A1083" t="str" cm="1">
        <f t="array" ref="A1083">_xlfn.IFS(E1083="Adviento","ta", E1083="Navidad","tn", E1083="Epifania","te", E1083="Ordinario","to", E1083="Cuaresma","tc", E1083="Domingo De Ramos","tc", E1083="Semana Santa","ss", E1083="Triduo Pascual","tp", E1083="Vigilia Pascual","tp", E1083="Pascual","tp")</f>
        <v>ta</v>
      </c>
      <c r="B1083" s="14" t="str">
        <f t="shared" si="153"/>
        <v>/* DICIEMBRE        */</v>
      </c>
      <c r="C1083" s="15">
        <f t="shared" si="154"/>
        <v>46723</v>
      </c>
      <c r="D1083" s="9">
        <f t="shared" si="155"/>
        <v>46723</v>
      </c>
      <c r="E1083" t="s">
        <v>46</v>
      </c>
      <c r="F1083" t="s">
        <v>43</v>
      </c>
      <c r="G1083">
        <v>1</v>
      </c>
      <c r="I1083" s="11">
        <f t="shared" si="156"/>
        <v>46723</v>
      </c>
      <c r="J1083" t="s">
        <v>44</v>
      </c>
      <c r="K1083" t="str">
        <f t="shared" si="157"/>
        <v>/* DICIEMBRE        */ { nombre: "Adviento, Semana I, JUEVES", archivo: "/ev/ta/1/jueves.mp3", fecha: `${year}-12-02` },</v>
      </c>
      <c r="L1083" s="10">
        <f t="shared" si="158"/>
        <v>46723</v>
      </c>
    </row>
    <row r="1084" spans="1:12" hidden="1" x14ac:dyDescent="0.25">
      <c r="A1084" t="str" cm="1">
        <f t="array" ref="A1084">_xlfn.IFS(E1084="Adviento","ta", E1084="Navidad","tn", E1084="Epifania","te", E1084="Ordinario","to", E1084="Cuaresma","tc", E1084="Domingo De Ramos","tc", E1084="Semana Santa","ss", E1084="Triduo Pascual","tp", E1084="Vigilia Pascual","tp", E1084="Pascual","tp")</f>
        <v>ta</v>
      </c>
      <c r="B1084" s="14" t="str">
        <f t="shared" si="153"/>
        <v>/* DICIEMBRE        */</v>
      </c>
      <c r="C1084" s="15">
        <f t="shared" si="154"/>
        <v>46724</v>
      </c>
      <c r="D1084" s="9">
        <f t="shared" si="155"/>
        <v>46724</v>
      </c>
      <c r="E1084" t="s">
        <v>46</v>
      </c>
      <c r="F1084" t="s">
        <v>43</v>
      </c>
      <c r="G1084">
        <v>1</v>
      </c>
      <c r="I1084" s="11">
        <f t="shared" si="156"/>
        <v>46724</v>
      </c>
      <c r="J1084" t="s">
        <v>44</v>
      </c>
      <c r="K1084" t="str">
        <f t="shared" si="157"/>
        <v>/* DICIEMBRE        */ { nombre: "Adviento, Semana I, VIERNES", archivo: "/ev/ta/1/viernes.mp3", fecha: `${year}-12-03` },</v>
      </c>
      <c r="L1084" s="10">
        <f t="shared" si="158"/>
        <v>46724</v>
      </c>
    </row>
    <row r="1085" spans="1:12" hidden="1" x14ac:dyDescent="0.25">
      <c r="A1085" t="str" cm="1">
        <f t="array" ref="A1085">_xlfn.IFS(E1085="Adviento","ta", E1085="Navidad","tn", E1085="Epifania","te", E1085="Ordinario","to", E1085="Cuaresma","tc", E1085="Domingo De Ramos","tc", E1085="Semana Santa","ss", E1085="Triduo Pascual","tp", E1085="Vigilia Pascual","tp", E1085="Pascual","tp")</f>
        <v>ta</v>
      </c>
      <c r="B1085" s="14" t="str">
        <f t="shared" si="153"/>
        <v>/* DICIEMBRE        */</v>
      </c>
      <c r="C1085" s="15">
        <f t="shared" si="154"/>
        <v>46725</v>
      </c>
      <c r="D1085" s="9">
        <f t="shared" si="155"/>
        <v>46725</v>
      </c>
      <c r="E1085" t="s">
        <v>46</v>
      </c>
      <c r="F1085" t="s">
        <v>43</v>
      </c>
      <c r="G1085">
        <v>1</v>
      </c>
      <c r="I1085" s="11">
        <f t="shared" si="156"/>
        <v>46725</v>
      </c>
      <c r="J1085" t="s">
        <v>44</v>
      </c>
      <c r="K1085" t="str">
        <f t="shared" si="157"/>
        <v>/* DICIEMBRE        */ { nombre: "Adviento, Semana I, SÁBADO", archivo: "/ev/ta/1/sábado.mp3", fecha: `${year}-12-04` },</v>
      </c>
      <c r="L1085" s="10">
        <f t="shared" si="158"/>
        <v>46725</v>
      </c>
    </row>
    <row r="1086" spans="1:12" hidden="1" x14ac:dyDescent="0.25">
      <c r="A1086" t="str" cm="1">
        <f t="array" ref="A1086">_xlfn.IFS(E1086="Adviento","ta", E1086="Navidad","tn", E1086="Epifania","te", E1086="Ordinario","to", E1086="Cuaresma","tc", E1086="Domingo De Ramos","tc", E1086="Semana Santa","ss", E1086="Triduo Pascual","tp", E1086="Vigilia Pascual","tp", E1086="Pascual","tp")</f>
        <v>ta</v>
      </c>
      <c r="B1086" s="14" t="str">
        <f t="shared" si="153"/>
        <v>/* DICIEMBRE        */</v>
      </c>
      <c r="C1086" s="15">
        <f t="shared" si="154"/>
        <v>46726</v>
      </c>
      <c r="D1086" s="9">
        <f t="shared" si="155"/>
        <v>46726</v>
      </c>
      <c r="E1086" t="s">
        <v>46</v>
      </c>
      <c r="F1086" t="s">
        <v>43</v>
      </c>
      <c r="G1086">
        <v>1</v>
      </c>
      <c r="I1086" s="11">
        <f t="shared" si="156"/>
        <v>46726</v>
      </c>
      <c r="J1086" t="s">
        <v>44</v>
      </c>
      <c r="K1086" t="str">
        <f t="shared" si="157"/>
        <v>/* DICIEMBRE        */ { nombre: "Adviento, Semana I, DOMINGO", archivo: "/ev/ta/1/domingo.mp3", fecha: `${year}-12-05` },</v>
      </c>
      <c r="L1086" s="10">
        <f t="shared" si="158"/>
        <v>46726</v>
      </c>
    </row>
    <row r="1087" spans="1:12" hidden="1" x14ac:dyDescent="0.25">
      <c r="A1087" t="str" cm="1">
        <f t="array" ref="A1087">_xlfn.IFS(E1087="Adviento","ta", E1087="Navidad","tn", E1087="Epifania","te", E1087="Ordinario","to", E1087="Cuaresma","tc", E1087="Domingo De Ramos","tc", E1087="Semana Santa","ss", E1087="Triduo Pascual","tp", E1087="Vigilia Pascual","tp", E1087="Pascual","tp")</f>
        <v>ta</v>
      </c>
      <c r="B1087" s="14" t="str">
        <f t="shared" si="153"/>
        <v>/* DICIEMBRE        */</v>
      </c>
      <c r="C1087" s="15">
        <f t="shared" si="154"/>
        <v>46727</v>
      </c>
      <c r="D1087" s="9">
        <f t="shared" si="155"/>
        <v>46727</v>
      </c>
      <c r="E1087" t="s">
        <v>46</v>
      </c>
      <c r="F1087" t="s">
        <v>43</v>
      </c>
      <c r="G1087">
        <v>1</v>
      </c>
      <c r="I1087" s="11">
        <f t="shared" si="156"/>
        <v>46727</v>
      </c>
      <c r="J1087" t="s">
        <v>44</v>
      </c>
      <c r="K1087" t="str">
        <f t="shared" si="157"/>
        <v>/* DICIEMBRE        */ { nombre: "Adviento, Semana I, LUNES", archivo: "/ev/ta/1/lunes.mp3", fecha: `${year}-12-06` },</v>
      </c>
      <c r="L1087" s="10">
        <f t="shared" si="158"/>
        <v>46727</v>
      </c>
    </row>
    <row r="1088" spans="1:12" hidden="1" x14ac:dyDescent="0.25">
      <c r="A1088" t="str" cm="1">
        <f t="array" ref="A1088">_xlfn.IFS(E1088="Adviento","ta", E1088="Navidad","tn", E1088="Epifania","te", E1088="Ordinario","to", E1088="Cuaresma","tc", E1088="Domingo De Ramos","tc", E1088="Semana Santa","ss", E1088="Triduo Pascual","tp", E1088="Vigilia Pascual","tp", E1088="Pascual","tp")</f>
        <v>ta</v>
      </c>
      <c r="B1088" s="14" t="str">
        <f t="shared" si="153"/>
        <v>/* DICIEMBRE        */</v>
      </c>
      <c r="C1088" s="15">
        <f t="shared" si="154"/>
        <v>46728</v>
      </c>
      <c r="D1088" s="9">
        <f t="shared" si="155"/>
        <v>46728</v>
      </c>
      <c r="E1088" t="s">
        <v>46</v>
      </c>
      <c r="F1088" t="s">
        <v>43</v>
      </c>
      <c r="G1088">
        <v>1</v>
      </c>
      <c r="I1088" s="11">
        <f t="shared" si="156"/>
        <v>46728</v>
      </c>
      <c r="J1088" t="s">
        <v>44</v>
      </c>
      <c r="K1088" t="str">
        <f t="shared" si="157"/>
        <v>/* DICIEMBRE        */ { nombre: "Adviento, Semana I, MARTES", archivo: "/ev/ta/1/martes.mp3", fecha: `${year}-12-07` },</v>
      </c>
      <c r="L1088" s="10">
        <f t="shared" si="158"/>
        <v>46728</v>
      </c>
    </row>
    <row r="1089" spans="1:12" hidden="1" x14ac:dyDescent="0.25">
      <c r="A1089" t="str" cm="1">
        <f t="array" ref="A1089">_xlfn.IFS(E1089="Adviento","ta", E1089="Navidad","tn", E1089="Epifania","te", E1089="Ordinario","to", E1089="Cuaresma","tc", E1089="Domingo De Ramos","tc", E1089="Semana Santa","ss", E1089="Triduo Pascual","tp", E1089="Vigilia Pascual","tp", E1089="Pascual","tp")</f>
        <v>ta</v>
      </c>
      <c r="B1089" s="14" t="str">
        <f t="shared" si="153"/>
        <v>/* DICIEMBRE        */</v>
      </c>
      <c r="C1089" s="15">
        <f t="shared" si="154"/>
        <v>46729</v>
      </c>
      <c r="D1089" s="9">
        <f t="shared" si="155"/>
        <v>46729</v>
      </c>
      <c r="E1089" t="s">
        <v>46</v>
      </c>
      <c r="F1089" t="s">
        <v>43</v>
      </c>
      <c r="G1089">
        <v>1</v>
      </c>
      <c r="I1089" s="11">
        <f t="shared" si="156"/>
        <v>46729</v>
      </c>
      <c r="J1089" t="s">
        <v>44</v>
      </c>
      <c r="K1089" t="str">
        <f t="shared" si="157"/>
        <v>/* DICIEMBRE        */ { nombre: "Adviento, Semana I, MIÉRCOLES", archivo: "/ev/ta/1/miércoles.mp3", fecha: `${year}-12-08` },</v>
      </c>
      <c r="L1089" s="10">
        <f t="shared" si="158"/>
        <v>46729</v>
      </c>
    </row>
    <row r="1090" spans="1:12" hidden="1" x14ac:dyDescent="0.25">
      <c r="A1090" t="str" cm="1">
        <f t="array" ref="A1090">_xlfn.IFS(E1090="Adviento","ta", E1090="Navidad","tn", E1090="Epifania","te", E1090="Ordinario","to", E1090="Cuaresma","tc", E1090="Domingo De Ramos","tc", E1090="Semana Santa","ss", E1090="Triduo Pascual","tp", E1090="Vigilia Pascual","tp", E1090="Pascual","tp")</f>
        <v>ta</v>
      </c>
      <c r="B1090" s="14" t="str">
        <f t="shared" si="153"/>
        <v>/* DICIEMBRE        */</v>
      </c>
      <c r="C1090" s="15">
        <f t="shared" si="154"/>
        <v>46730</v>
      </c>
      <c r="D1090" s="9">
        <f t="shared" si="155"/>
        <v>46730</v>
      </c>
      <c r="E1090" t="s">
        <v>46</v>
      </c>
      <c r="F1090" t="s">
        <v>43</v>
      </c>
      <c r="G1090">
        <v>1</v>
      </c>
      <c r="I1090" s="11">
        <f t="shared" si="156"/>
        <v>46730</v>
      </c>
      <c r="J1090" t="s">
        <v>44</v>
      </c>
      <c r="K1090" t="str">
        <f t="shared" si="157"/>
        <v>/* DICIEMBRE        */ { nombre: "Adviento, Semana I, JUEVES", archivo: "/ev/ta/1/jueves.mp3", fecha: `${year}-12-09` },</v>
      </c>
      <c r="L1090" s="10">
        <f t="shared" si="158"/>
        <v>46730</v>
      </c>
    </row>
    <row r="1091" spans="1:12" hidden="1" x14ac:dyDescent="0.25">
      <c r="A1091" t="str" cm="1">
        <f t="array" ref="A1091">_xlfn.IFS(E1091="Adviento","ta", E1091="Navidad","tn", E1091="Epifania","te", E1091="Ordinario","to", E1091="Cuaresma","tc", E1091="Domingo De Ramos","tc", E1091="Semana Santa","ss", E1091="Triduo Pascual","tp", E1091="Vigilia Pascual","tp", E1091="Pascual","tp")</f>
        <v>ta</v>
      </c>
      <c r="B1091" s="14" t="str">
        <f t="shared" si="153"/>
        <v>/* DICIEMBRE        */</v>
      </c>
      <c r="C1091" s="15">
        <f t="shared" si="154"/>
        <v>46731</v>
      </c>
      <c r="D1091" s="9">
        <f t="shared" si="155"/>
        <v>46731</v>
      </c>
      <c r="E1091" t="s">
        <v>46</v>
      </c>
      <c r="F1091" t="s">
        <v>43</v>
      </c>
      <c r="G1091">
        <v>1</v>
      </c>
      <c r="I1091" s="11">
        <f t="shared" si="156"/>
        <v>46731</v>
      </c>
      <c r="J1091" t="s">
        <v>44</v>
      </c>
      <c r="K1091" t="str">
        <f t="shared" si="157"/>
        <v>/* DICIEMBRE        */ { nombre: "Adviento, Semana I, VIERNES", archivo: "/ev/ta/1/viernes.mp3", fecha: `${year}-12-10` },</v>
      </c>
      <c r="L1091" s="10">
        <f t="shared" si="158"/>
        <v>46731</v>
      </c>
    </row>
    <row r="1092" spans="1:12" hidden="1" x14ac:dyDescent="0.25">
      <c r="A1092" t="str" cm="1">
        <f t="array" ref="A1092">_xlfn.IFS(E1092="Adviento","ta", E1092="Navidad","tn", E1092="Epifania","te", E1092="Ordinario","to", E1092="Cuaresma","tc", E1092="Domingo De Ramos","tc", E1092="Semana Santa","ss", E1092="Triduo Pascual","tp", E1092="Vigilia Pascual","tp", E1092="Pascual","tp")</f>
        <v>ta</v>
      </c>
      <c r="B1092" s="14" t="str">
        <f t="shared" si="153"/>
        <v>/* DICIEMBRE        */</v>
      </c>
      <c r="C1092" s="15">
        <f t="shared" si="154"/>
        <v>46732</v>
      </c>
      <c r="D1092" s="9">
        <f t="shared" si="155"/>
        <v>46732</v>
      </c>
      <c r="E1092" t="s">
        <v>46</v>
      </c>
      <c r="F1092" t="s">
        <v>43</v>
      </c>
      <c r="G1092">
        <v>1</v>
      </c>
      <c r="I1092" s="11">
        <f t="shared" si="156"/>
        <v>46732</v>
      </c>
      <c r="J1092" t="s">
        <v>44</v>
      </c>
      <c r="K1092" t="str">
        <f t="shared" si="157"/>
        <v>/* DICIEMBRE        */ { nombre: "Adviento, Semana I, SÁBADO", archivo: "/ev/ta/1/sábado.mp3", fecha: `${year}-12-11` },</v>
      </c>
      <c r="L1092" s="10">
        <f t="shared" si="158"/>
        <v>46732</v>
      </c>
    </row>
    <row r="1093" spans="1:12" hidden="1" x14ac:dyDescent="0.25">
      <c r="A1093" t="str" cm="1">
        <f t="array" ref="A1093">_xlfn.IFS(E1093="Adviento","ta", E1093="Navidad","tn", E1093="Epifania","te", E1093="Ordinario","to", E1093="Cuaresma","tc", E1093="Domingo De Ramos","tc", E1093="Semana Santa","ss", E1093="Triduo Pascual","tp", E1093="Vigilia Pascual","tp", E1093="Pascual","tp")</f>
        <v>ta</v>
      </c>
      <c r="B1093" s="14" t="str">
        <f t="shared" si="153"/>
        <v>/* DICIEMBRE        */</v>
      </c>
      <c r="C1093" s="15">
        <f t="shared" si="154"/>
        <v>46733</v>
      </c>
      <c r="D1093" s="9">
        <f t="shared" si="155"/>
        <v>46733</v>
      </c>
      <c r="E1093" t="s">
        <v>46</v>
      </c>
      <c r="F1093" t="s">
        <v>43</v>
      </c>
      <c r="G1093">
        <v>1</v>
      </c>
      <c r="I1093" s="11">
        <f t="shared" si="156"/>
        <v>46733</v>
      </c>
      <c r="J1093" t="s">
        <v>44</v>
      </c>
      <c r="K1093" t="str">
        <f t="shared" si="157"/>
        <v>/* DICIEMBRE        */ { nombre: "Adviento, Semana I, DOMINGO", archivo: "/ev/ta/1/domingo.mp3", fecha: `${year}-12-12` },</v>
      </c>
      <c r="L1093" s="10">
        <f t="shared" si="158"/>
        <v>46733</v>
      </c>
    </row>
    <row r="1094" spans="1:12" hidden="1" x14ac:dyDescent="0.25">
      <c r="A1094" t="str" cm="1">
        <f t="array" ref="A1094">_xlfn.IFS(E1094="Adviento","ta", E1094="Navidad","tn", E1094="Epifania","te", E1094="Ordinario","to", E1094="Cuaresma","tc", E1094="Domingo De Ramos","tc", E1094="Semana Santa","ss", E1094="Triduo Pascual","tp", E1094="Vigilia Pascual","tp", E1094="Pascual","tp")</f>
        <v>ta</v>
      </c>
      <c r="B1094" s="14" t="str">
        <f t="shared" si="153"/>
        <v>/* DICIEMBRE        */</v>
      </c>
      <c r="C1094" s="15">
        <f t="shared" si="154"/>
        <v>46734</v>
      </c>
      <c r="D1094" s="9">
        <f t="shared" si="155"/>
        <v>46734</v>
      </c>
      <c r="E1094" t="s">
        <v>46</v>
      </c>
      <c r="F1094" t="s">
        <v>43</v>
      </c>
      <c r="G1094">
        <v>1</v>
      </c>
      <c r="I1094" s="11">
        <f t="shared" si="156"/>
        <v>46734</v>
      </c>
      <c r="J1094" t="s">
        <v>44</v>
      </c>
      <c r="K1094" t="str">
        <f t="shared" si="157"/>
        <v>/* DICIEMBRE        */ { nombre: "Adviento, Semana I, LUNES", archivo: "/ev/ta/1/lunes.mp3", fecha: `${year}-12-13` },</v>
      </c>
      <c r="L1094" s="10">
        <f t="shared" si="158"/>
        <v>46734</v>
      </c>
    </row>
    <row r="1095" spans="1:12" hidden="1" x14ac:dyDescent="0.25">
      <c r="A1095" t="str" cm="1">
        <f t="array" ref="A1095">_xlfn.IFS(E1095="Adviento","ta", E1095="Navidad","tn", E1095="Epifania","te", E1095="Ordinario","to", E1095="Cuaresma","tc", E1095="Domingo De Ramos","tc", E1095="Semana Santa","ss", E1095="Triduo Pascual","tp", E1095="Vigilia Pascual","tp", E1095="Pascual","tp")</f>
        <v>ta</v>
      </c>
      <c r="B1095" s="14" t="str">
        <f t="shared" si="153"/>
        <v>/* DICIEMBRE        */</v>
      </c>
      <c r="C1095" s="15">
        <f t="shared" si="154"/>
        <v>46735</v>
      </c>
      <c r="D1095" s="9">
        <f t="shared" si="155"/>
        <v>46735</v>
      </c>
      <c r="E1095" t="s">
        <v>46</v>
      </c>
      <c r="F1095" t="s">
        <v>43</v>
      </c>
      <c r="G1095">
        <v>1</v>
      </c>
      <c r="I1095" s="11">
        <f t="shared" si="156"/>
        <v>46735</v>
      </c>
      <c r="J1095" t="s">
        <v>44</v>
      </c>
      <c r="K1095" t="str">
        <f t="shared" si="157"/>
        <v>/* DICIEMBRE        */ { nombre: "Adviento, Semana I, MARTES", archivo: "/ev/ta/1/martes.mp3", fecha: `${year}-12-14` },</v>
      </c>
      <c r="L1095" s="10">
        <f t="shared" si="158"/>
        <v>46735</v>
      </c>
    </row>
    <row r="1096" spans="1:12" hidden="1" x14ac:dyDescent="0.25">
      <c r="A1096" t="str" cm="1">
        <f t="array" ref="A1096">_xlfn.IFS(E1096="Adviento","ta", E1096="Navidad","tn", E1096="Epifania","te", E1096="Ordinario","to", E1096="Cuaresma","tc", E1096="Domingo De Ramos","tc", E1096="Semana Santa","ss", E1096="Triduo Pascual","tp", E1096="Vigilia Pascual","tp", E1096="Pascual","tp")</f>
        <v>ta</v>
      </c>
      <c r="B1096" s="14" t="str">
        <f t="shared" si="153"/>
        <v>/* DICIEMBRE        */</v>
      </c>
      <c r="C1096" s="15">
        <f t="shared" si="154"/>
        <v>46736</v>
      </c>
      <c r="D1096" s="9">
        <f t="shared" si="155"/>
        <v>46736</v>
      </c>
      <c r="E1096" t="s">
        <v>46</v>
      </c>
      <c r="F1096" t="s">
        <v>43</v>
      </c>
      <c r="G1096">
        <v>1</v>
      </c>
      <c r="I1096" s="11">
        <f t="shared" si="156"/>
        <v>46736</v>
      </c>
      <c r="J1096" t="s">
        <v>44</v>
      </c>
      <c r="K1096" t="str">
        <f t="shared" si="157"/>
        <v>/* DICIEMBRE        */ { nombre: "Adviento, Semana I, MIÉRCOLES", archivo: "/ev/ta/1/miércoles.mp3", fecha: `${year}-12-15` },</v>
      </c>
      <c r="L1096" s="10">
        <f t="shared" si="158"/>
        <v>46736</v>
      </c>
    </row>
    <row r="1097" spans="1:12" hidden="1" x14ac:dyDescent="0.25">
      <c r="A1097" t="str" cm="1">
        <f t="array" ref="A1097">_xlfn.IFS(E1097="Adviento","ta", E1097="Navidad","tn", E1097="Epifania","te", E1097="Ordinario","to", E1097="Cuaresma","tc", E1097="Domingo De Ramos","tc", E1097="Semana Santa","ss", E1097="Triduo Pascual","tp", E1097="Vigilia Pascual","tp", E1097="Pascual","tp")</f>
        <v>ta</v>
      </c>
      <c r="B1097" s="14" t="str">
        <f t="shared" si="153"/>
        <v>/* DICIEMBRE        */</v>
      </c>
      <c r="C1097" s="15">
        <f t="shared" si="154"/>
        <v>46737</v>
      </c>
      <c r="D1097" s="9">
        <f t="shared" si="155"/>
        <v>46737</v>
      </c>
      <c r="E1097" t="s">
        <v>46</v>
      </c>
      <c r="F1097" t="s">
        <v>43</v>
      </c>
      <c r="G1097">
        <v>1</v>
      </c>
      <c r="I1097" s="11">
        <f t="shared" si="156"/>
        <v>46737</v>
      </c>
      <c r="J1097" t="s">
        <v>44</v>
      </c>
      <c r="K1097" t="str">
        <f t="shared" si="157"/>
        <v>/* DICIEMBRE        */ { nombre: "Adviento, Semana I, JUEVES", archivo: "/ev/ta/1/jueves.mp3", fecha: `${year}-12-16` },</v>
      </c>
      <c r="L1097" s="10">
        <f t="shared" si="158"/>
        <v>46737</v>
      </c>
    </row>
    <row r="1098" spans="1:12" hidden="1" x14ac:dyDescent="0.25">
      <c r="A1098" t="str" cm="1">
        <f t="array" ref="A1098">_xlfn.IFS(E1098="Adviento","ta", E1098="Navidad","tn", E1098="Epifania","te", E1098="Ordinario","to", E1098="Cuaresma","tc", E1098="Domingo De Ramos","tc", E1098="Semana Santa","ss", E1098="Triduo Pascual","tp", E1098="Vigilia Pascual","tp", E1098="Pascual","tp")</f>
        <v>ta</v>
      </c>
      <c r="B1098" s="14" t="str">
        <f t="shared" si="153"/>
        <v>/* DICIEMBRE        */</v>
      </c>
      <c r="C1098" s="15">
        <f t="shared" si="154"/>
        <v>46738</v>
      </c>
      <c r="D1098" s="9">
        <f t="shared" si="155"/>
        <v>46738</v>
      </c>
      <c r="E1098" t="s">
        <v>46</v>
      </c>
      <c r="F1098" t="s">
        <v>43</v>
      </c>
      <c r="G1098">
        <v>1</v>
      </c>
      <c r="I1098" s="11">
        <f t="shared" si="156"/>
        <v>46738</v>
      </c>
      <c r="J1098" t="s">
        <v>44</v>
      </c>
      <c r="K1098" t="str">
        <f t="shared" si="157"/>
        <v>/* DICIEMBRE        */ { nombre: "Adviento, Semana I, VIERNES", archivo: "/ev/ta/1/viernes.mp3", fecha: `${year}-12-17` },</v>
      </c>
      <c r="L1098" s="10">
        <f t="shared" si="158"/>
        <v>46738</v>
      </c>
    </row>
    <row r="1099" spans="1:12" hidden="1" x14ac:dyDescent="0.25">
      <c r="A1099" t="str" cm="1">
        <f t="array" ref="A1099">_xlfn.IFS(E1099="Adviento","ta", E1099="Navidad","tn", E1099="Epifania","te", E1099="Ordinario","to", E1099="Cuaresma","tc", E1099="Domingo De Ramos","tc", E1099="Semana Santa","ss", E1099="Triduo Pascual","tp", E1099="Vigilia Pascual","tp", E1099="Pascual","tp")</f>
        <v>ta</v>
      </c>
      <c r="B1099" s="14" t="str">
        <f t="shared" si="153"/>
        <v>/* DICIEMBRE        */</v>
      </c>
      <c r="C1099" s="15">
        <f t="shared" si="154"/>
        <v>46739</v>
      </c>
      <c r="D1099" s="9">
        <f t="shared" si="155"/>
        <v>46739</v>
      </c>
      <c r="E1099" t="s">
        <v>46</v>
      </c>
      <c r="F1099" t="s">
        <v>43</v>
      </c>
      <c r="G1099">
        <v>1</v>
      </c>
      <c r="I1099" s="11">
        <f t="shared" si="156"/>
        <v>46739</v>
      </c>
      <c r="J1099" t="s">
        <v>44</v>
      </c>
      <c r="K1099" t="str">
        <f t="shared" si="157"/>
        <v>/* DICIEMBRE        */ { nombre: "Adviento, Semana I, SÁBADO", archivo: "/ev/ta/1/sábado.mp3", fecha: `${year}-12-18` },</v>
      </c>
      <c r="L1099" s="10">
        <f t="shared" si="158"/>
        <v>46739</v>
      </c>
    </row>
    <row r="1100" spans="1:12" hidden="1" x14ac:dyDescent="0.25">
      <c r="A1100" t="str" cm="1">
        <f t="array" ref="A1100">_xlfn.IFS(E1100="Adviento","ta", E1100="Navidad","tn", E1100="Epifania","te", E1100="Ordinario","to", E1100="Cuaresma","tc", E1100="Domingo De Ramos","tc", E1100="Semana Santa","ss", E1100="Triduo Pascual","tp", E1100="Vigilia Pascual","tp", E1100="Pascual","tp")</f>
        <v>ta</v>
      </c>
      <c r="B1100" s="14" t="str">
        <f t="shared" si="153"/>
        <v>/* DICIEMBRE        */</v>
      </c>
      <c r="C1100" s="15">
        <f t="shared" si="154"/>
        <v>46740</v>
      </c>
      <c r="D1100" s="9">
        <f t="shared" si="155"/>
        <v>46740</v>
      </c>
      <c r="E1100" t="s">
        <v>46</v>
      </c>
      <c r="F1100" t="s">
        <v>43</v>
      </c>
      <c r="G1100">
        <v>1</v>
      </c>
      <c r="I1100" s="11">
        <f t="shared" si="156"/>
        <v>46740</v>
      </c>
      <c r="J1100" t="s">
        <v>44</v>
      </c>
      <c r="K1100" t="str">
        <f t="shared" si="157"/>
        <v>/* DICIEMBRE        */ { nombre: "Adviento, Semana I, DOMINGO", archivo: "/ev/ta/1/domingo.mp3", fecha: `${year}-12-19` },</v>
      </c>
      <c r="L1100" s="10">
        <f t="shared" si="158"/>
        <v>46740</v>
      </c>
    </row>
    <row r="1101" spans="1:12" hidden="1" x14ac:dyDescent="0.25">
      <c r="A1101" t="str" cm="1">
        <f t="array" ref="A1101">_xlfn.IFS(E1101="Adviento","ta", E1101="Navidad","tn", E1101="Epifania","te", E1101="Ordinario","to", E1101="Cuaresma","tc", E1101="Domingo De Ramos","tc", E1101="Semana Santa","ss", E1101="Triduo Pascual","tp", E1101="Vigilia Pascual","tp", E1101="Pascual","tp")</f>
        <v>ta</v>
      </c>
      <c r="B1101" s="14" t="str">
        <f t="shared" si="153"/>
        <v>/* DICIEMBRE        */</v>
      </c>
      <c r="C1101" s="15">
        <f t="shared" si="154"/>
        <v>46741</v>
      </c>
      <c r="D1101" s="9">
        <f t="shared" si="155"/>
        <v>46741</v>
      </c>
      <c r="E1101" t="s">
        <v>46</v>
      </c>
      <c r="F1101" t="s">
        <v>43</v>
      </c>
      <c r="G1101">
        <v>1</v>
      </c>
      <c r="I1101" s="11">
        <f t="shared" si="156"/>
        <v>46741</v>
      </c>
      <c r="J1101" t="s">
        <v>44</v>
      </c>
      <c r="K1101" t="str">
        <f t="shared" si="157"/>
        <v>/* DICIEMBRE        */ { nombre: "Adviento, Semana I, LUNES", archivo: "/ev/ta/1/lunes.mp3", fecha: `${year}-12-20` },</v>
      </c>
      <c r="L1101" s="10">
        <f t="shared" si="158"/>
        <v>46741</v>
      </c>
    </row>
    <row r="1102" spans="1:12" hidden="1" x14ac:dyDescent="0.25">
      <c r="A1102" t="str" cm="1">
        <f t="array" ref="A1102">_xlfn.IFS(E1102="Adviento","ta", E1102="Navidad","tn", E1102="Epifania","te", E1102="Ordinario","to", E1102="Cuaresma","tc", E1102="Domingo De Ramos","tc", E1102="Semana Santa","ss", E1102="Triduo Pascual","tp", E1102="Vigilia Pascual","tp", E1102="Pascual","tp")</f>
        <v>ta</v>
      </c>
      <c r="B1102" s="14" t="str">
        <f t="shared" si="153"/>
        <v>/* DICIEMBRE        */</v>
      </c>
      <c r="C1102" s="15">
        <f t="shared" si="154"/>
        <v>46742</v>
      </c>
      <c r="D1102" s="9">
        <f t="shared" si="155"/>
        <v>46742</v>
      </c>
      <c r="E1102" t="s">
        <v>46</v>
      </c>
      <c r="F1102" t="s">
        <v>43</v>
      </c>
      <c r="G1102">
        <v>1</v>
      </c>
      <c r="I1102" s="11">
        <f t="shared" si="156"/>
        <v>46742</v>
      </c>
      <c r="J1102" t="s">
        <v>44</v>
      </c>
      <c r="K1102" t="str">
        <f t="shared" si="157"/>
        <v>/* DICIEMBRE        */ { nombre: "Adviento, Semana I, MARTES", archivo: "/ev/ta/1/martes.mp3", fecha: `${year}-12-21` },</v>
      </c>
      <c r="L1102" s="10">
        <f t="shared" si="158"/>
        <v>46742</v>
      </c>
    </row>
    <row r="1103" spans="1:12" hidden="1" x14ac:dyDescent="0.25">
      <c r="A1103" t="str" cm="1">
        <f t="array" ref="A1103">_xlfn.IFS(E1103="Adviento","ta", E1103="Navidad","tn", E1103="Epifania","te", E1103="Ordinario","to", E1103="Cuaresma","tc", E1103="Domingo De Ramos","tc", E1103="Semana Santa","ss", E1103="Triduo Pascual","tp", E1103="Vigilia Pascual","tp", E1103="Pascual","tp")</f>
        <v>ta</v>
      </c>
      <c r="B1103" s="14" t="str">
        <f t="shared" si="153"/>
        <v>/* DICIEMBRE        */</v>
      </c>
      <c r="C1103" s="15">
        <f t="shared" si="154"/>
        <v>46743</v>
      </c>
      <c r="D1103" s="9">
        <f t="shared" si="155"/>
        <v>46743</v>
      </c>
      <c r="E1103" t="s">
        <v>46</v>
      </c>
      <c r="F1103" t="s">
        <v>43</v>
      </c>
      <c r="G1103">
        <v>1</v>
      </c>
      <c r="I1103" s="11">
        <f t="shared" si="156"/>
        <v>46743</v>
      </c>
      <c r="J1103" t="s">
        <v>44</v>
      </c>
      <c r="K1103" t="str">
        <f t="shared" si="157"/>
        <v>/* DICIEMBRE        */ { nombre: "Adviento, Semana I, MIÉRCOLES", archivo: "/ev/ta/1/miércoles.mp3", fecha: `${year}-12-22` },</v>
      </c>
      <c r="L1103" s="10">
        <f t="shared" si="158"/>
        <v>46743</v>
      </c>
    </row>
    <row r="1104" spans="1:12" hidden="1" x14ac:dyDescent="0.25">
      <c r="A1104" t="str" cm="1">
        <f t="array" ref="A1104">_xlfn.IFS(E1104="Adviento","ta", E1104="Navidad","tn", E1104="Epifania","te", E1104="Ordinario","to", E1104="Cuaresma","tc", E1104="Domingo De Ramos","tc", E1104="Semana Santa","ss", E1104="Triduo Pascual","tp", E1104="Vigilia Pascual","tp", E1104="Pascual","tp")</f>
        <v>ta</v>
      </c>
      <c r="B1104" s="14" t="str">
        <f t="shared" si="153"/>
        <v>/* DICIEMBRE        */</v>
      </c>
      <c r="C1104" s="15">
        <f t="shared" si="154"/>
        <v>46744</v>
      </c>
      <c r="D1104" s="9">
        <f t="shared" si="155"/>
        <v>46744</v>
      </c>
      <c r="E1104" t="s">
        <v>46</v>
      </c>
      <c r="F1104" t="s">
        <v>43</v>
      </c>
      <c r="G1104">
        <v>1</v>
      </c>
      <c r="I1104" s="11">
        <f t="shared" si="156"/>
        <v>46744</v>
      </c>
      <c r="J1104" t="s">
        <v>44</v>
      </c>
      <c r="K1104" t="str">
        <f t="shared" si="157"/>
        <v>/* DICIEMBRE        */ { nombre: "Adviento, Semana I, JUEVES", archivo: "/ev/ta/1/jueves.mp3", fecha: `${year}-12-23` },</v>
      </c>
      <c r="L1104" s="10">
        <f t="shared" si="158"/>
        <v>46744</v>
      </c>
    </row>
    <row r="1105" spans="1:12" hidden="1" x14ac:dyDescent="0.25">
      <c r="A1105" t="str" cm="1">
        <f t="array" ref="A1105">_xlfn.IFS(E1105="Adviento","ta", E1105="Navidad","tn", E1105="Epifania","te", E1105="Ordinario","to", E1105="Cuaresma","tc", E1105="Domingo De Ramos","tc", E1105="Semana Santa","ss", E1105="Triduo Pascual","tp", E1105="Vigilia Pascual","tp", E1105="Pascual","tp")</f>
        <v>ta</v>
      </c>
      <c r="B1105" s="14" t="str">
        <f t="shared" si="153"/>
        <v>/* DICIEMBRE        */</v>
      </c>
      <c r="C1105" s="15">
        <f t="shared" si="154"/>
        <v>46745</v>
      </c>
      <c r="D1105" s="9">
        <f t="shared" si="155"/>
        <v>46745</v>
      </c>
      <c r="E1105" t="s">
        <v>46</v>
      </c>
      <c r="F1105" t="s">
        <v>43</v>
      </c>
      <c r="G1105">
        <v>1</v>
      </c>
      <c r="I1105" s="11">
        <f t="shared" si="156"/>
        <v>46745</v>
      </c>
      <c r="J1105" t="s">
        <v>44</v>
      </c>
      <c r="K1105" t="str">
        <f t="shared" si="157"/>
        <v>/* DICIEMBRE        */ { nombre: "Adviento, Semana I, VIERNES", archivo: "/ev/ta/1/viernes.mp3", fecha: `${year}-12-24` },</v>
      </c>
      <c r="L1105" s="10">
        <f t="shared" si="158"/>
        <v>46745</v>
      </c>
    </row>
    <row r="1106" spans="1:12" hidden="1" x14ac:dyDescent="0.25">
      <c r="A1106" t="str" cm="1">
        <f t="array" ref="A1106">_xlfn.IFS(E1106="Adviento","ta", E1106="Navidad","tn", E1106="Epifania","te", E1106="Ordinario","to", E1106="Cuaresma","tc", E1106="Domingo De Ramos","tc", E1106="Semana Santa","ss", E1106="Triduo Pascual","tp", E1106="Vigilia Pascual","tp", E1106="Pascual","tp")</f>
        <v>ta</v>
      </c>
      <c r="B1106" s="14" t="str">
        <f t="shared" si="153"/>
        <v>/* DICIEMBRE        */</v>
      </c>
      <c r="C1106" s="15">
        <f t="shared" si="154"/>
        <v>46746</v>
      </c>
      <c r="D1106" s="9">
        <f t="shared" si="155"/>
        <v>46746</v>
      </c>
      <c r="E1106" t="s">
        <v>46</v>
      </c>
      <c r="F1106" t="s">
        <v>43</v>
      </c>
      <c r="G1106">
        <v>1</v>
      </c>
      <c r="I1106" s="11">
        <f t="shared" si="156"/>
        <v>46746</v>
      </c>
      <c r="J1106" t="s">
        <v>44</v>
      </c>
      <c r="K1106" t="str">
        <f t="shared" si="157"/>
        <v>/* DICIEMBRE        */ { nombre: "Adviento, Semana I, SÁBADO", archivo: "/ev/ta/1/sábado.mp3", fecha: `${year}-12-25` },</v>
      </c>
      <c r="L1106" s="10">
        <f t="shared" si="158"/>
        <v>46746</v>
      </c>
    </row>
    <row r="1107" spans="1:12" hidden="1" x14ac:dyDescent="0.25">
      <c r="A1107" t="str" cm="1">
        <f t="array" ref="A1107">_xlfn.IFS(E1107="Adviento","ta", E1107="Navidad","tn", E1107="Epifania","te", E1107="Ordinario","to", E1107="Cuaresma","tc", E1107="Domingo De Ramos","tc", E1107="Semana Santa","ss", E1107="Triduo Pascual","tp", E1107="Vigilia Pascual","tp", E1107="Pascual","tp")</f>
        <v>ta</v>
      </c>
      <c r="B1107" s="14" t="str">
        <f t="shared" si="153"/>
        <v>/* DICIEMBRE        */</v>
      </c>
      <c r="C1107" s="15">
        <f t="shared" si="154"/>
        <v>46747</v>
      </c>
      <c r="D1107" s="9">
        <f t="shared" si="155"/>
        <v>46747</v>
      </c>
      <c r="E1107" t="s">
        <v>46</v>
      </c>
      <c r="F1107" t="s">
        <v>43</v>
      </c>
      <c r="G1107">
        <v>1</v>
      </c>
      <c r="I1107" s="11">
        <f t="shared" si="156"/>
        <v>46747</v>
      </c>
      <c r="J1107" t="s">
        <v>44</v>
      </c>
      <c r="K1107" t="str">
        <f t="shared" si="157"/>
        <v>/* DICIEMBRE        */ { nombre: "Adviento, Semana I, DOMINGO", archivo: "/ev/ta/1/domingo.mp3", fecha: `${year}-12-26` },</v>
      </c>
      <c r="L1107" s="10">
        <f t="shared" si="158"/>
        <v>46747</v>
      </c>
    </row>
    <row r="1108" spans="1:12" hidden="1" x14ac:dyDescent="0.25">
      <c r="A1108" t="str" cm="1">
        <f t="array" ref="A1108">_xlfn.IFS(E1108="Adviento","ta", E1108="Navidad","tn", E1108="Epifania","te", E1108="Ordinario","to", E1108="Cuaresma","tc", E1108="Domingo De Ramos","tc", E1108="Semana Santa","ss", E1108="Triduo Pascual","tp", E1108="Vigilia Pascual","tp", E1108="Pascual","tp")</f>
        <v>ta</v>
      </c>
      <c r="B1108" s="14" t="str">
        <f t="shared" si="153"/>
        <v>/* DICIEMBRE        */</v>
      </c>
      <c r="C1108" s="15">
        <f t="shared" si="154"/>
        <v>46748</v>
      </c>
      <c r="D1108" s="9">
        <f t="shared" si="155"/>
        <v>46748</v>
      </c>
      <c r="E1108" t="s">
        <v>46</v>
      </c>
      <c r="F1108" t="s">
        <v>43</v>
      </c>
      <c r="G1108">
        <v>1</v>
      </c>
      <c r="I1108" s="11">
        <f t="shared" si="156"/>
        <v>46748</v>
      </c>
      <c r="J1108" t="s">
        <v>44</v>
      </c>
      <c r="K1108" t="str">
        <f t="shared" si="157"/>
        <v>/* DICIEMBRE        */ { nombre: "Adviento, Semana I, LUNES", archivo: "/ev/ta/1/lunes.mp3", fecha: `${year}-12-27` },</v>
      </c>
      <c r="L1108" s="10">
        <f t="shared" si="158"/>
        <v>46748</v>
      </c>
    </row>
    <row r="1109" spans="1:12" hidden="1" x14ac:dyDescent="0.25">
      <c r="A1109" t="str" cm="1">
        <f t="array" ref="A1109">_xlfn.IFS(E1109="Adviento","ta", E1109="Navidad","tn", E1109="Epifania","te", E1109="Ordinario","to", E1109="Cuaresma","tc", E1109="Domingo De Ramos","tc", E1109="Semana Santa","ss", E1109="Triduo Pascual","tp", E1109="Vigilia Pascual","tp", E1109="Pascual","tp")</f>
        <v>ta</v>
      </c>
      <c r="B1109" s="14" t="str">
        <f t="shared" si="153"/>
        <v>/* DICIEMBRE        */</v>
      </c>
      <c r="C1109" s="15">
        <f t="shared" si="154"/>
        <v>46749</v>
      </c>
      <c r="D1109" s="9">
        <f t="shared" si="155"/>
        <v>46749</v>
      </c>
      <c r="E1109" t="s">
        <v>46</v>
      </c>
      <c r="F1109" t="s">
        <v>43</v>
      </c>
      <c r="G1109">
        <v>1</v>
      </c>
      <c r="I1109" s="11">
        <f t="shared" si="156"/>
        <v>46749</v>
      </c>
      <c r="J1109" t="s">
        <v>44</v>
      </c>
      <c r="K1109" t="str">
        <f t="shared" si="157"/>
        <v>/* DICIEMBRE        */ { nombre: "Adviento, Semana I, MARTES", archivo: "/ev/ta/1/martes.mp3", fecha: `${year}-12-28` },</v>
      </c>
      <c r="L1109" s="10">
        <f t="shared" si="158"/>
        <v>46749</v>
      </c>
    </row>
    <row r="1110" spans="1:12" hidden="1" x14ac:dyDescent="0.25">
      <c r="A1110" t="str" cm="1">
        <f t="array" ref="A1110">_xlfn.IFS(E1110="Adviento","ta", E1110="Navidad","tn", E1110="Epifania","te", E1110="Ordinario","to", E1110="Cuaresma","tc", E1110="Domingo De Ramos","tc", E1110="Semana Santa","ss", E1110="Triduo Pascual","tp", E1110="Vigilia Pascual","tp", E1110="Pascual","tp")</f>
        <v>ta</v>
      </c>
      <c r="B1110" s="14" t="str">
        <f t="shared" ref="B1110:B1130" si="159">_xlfn.CONCAT("/* ",UPPER(TEXT(D1110,"[$-es-ES]mmmm")),"        */")</f>
        <v>/* DICIEMBRE        */</v>
      </c>
      <c r="C1110" s="15">
        <f t="shared" si="154"/>
        <v>46750</v>
      </c>
      <c r="D1110" s="9">
        <f t="shared" si="155"/>
        <v>46750</v>
      </c>
      <c r="E1110" t="s">
        <v>46</v>
      </c>
      <c r="F1110" t="s">
        <v>43</v>
      </c>
      <c r="G1110">
        <v>1</v>
      </c>
      <c r="I1110" s="11">
        <f t="shared" si="156"/>
        <v>46750</v>
      </c>
      <c r="J1110" t="s">
        <v>44</v>
      </c>
      <c r="K1110" t="str">
        <f t="shared" si="157"/>
        <v>/* DICIEMBRE        */ { nombre: "Adviento, Semana I, MIÉRCOLES", archivo: "/ev/ta/1/miércoles.mp3", fecha: `${year}-12-29` },</v>
      </c>
      <c r="L1110" s="10">
        <f t="shared" si="158"/>
        <v>46750</v>
      </c>
    </row>
    <row r="1111" spans="1:12" hidden="1" x14ac:dyDescent="0.25">
      <c r="A1111" t="str" cm="1">
        <f t="array" ref="A1111">_xlfn.IFS(E1111="Adviento","ta", E1111="Navidad","tn", E1111="Epifania","te", E1111="Ordinario","to", E1111="Cuaresma","tc", E1111="Domingo De Ramos","tc", E1111="Semana Santa","ss", E1111="Triduo Pascual","tp", E1111="Vigilia Pascual","tp", E1111="Pascual","tp")</f>
        <v>ta</v>
      </c>
      <c r="B1111" s="14" t="str">
        <f t="shared" si="159"/>
        <v>/* DICIEMBRE        */</v>
      </c>
      <c r="C1111" s="15">
        <f t="shared" si="154"/>
        <v>46751</v>
      </c>
      <c r="D1111" s="9">
        <f t="shared" si="155"/>
        <v>46751</v>
      </c>
      <c r="E1111" t="s">
        <v>46</v>
      </c>
      <c r="F1111" t="s">
        <v>43</v>
      </c>
      <c r="G1111">
        <v>1</v>
      </c>
      <c r="I1111" s="11">
        <f t="shared" si="156"/>
        <v>46751</v>
      </c>
      <c r="J1111" t="s">
        <v>44</v>
      </c>
      <c r="K1111" t="str">
        <f t="shared" si="157"/>
        <v>/* DICIEMBRE        */ { nombre: "Adviento, Semana I, JUEVES", archivo: "/ev/ta/1/jueves.mp3", fecha: `${year}-12-30` },</v>
      </c>
      <c r="L1111" s="10">
        <f t="shared" si="158"/>
        <v>46751</v>
      </c>
    </row>
    <row r="1112" spans="1:12" hidden="1" x14ac:dyDescent="0.25">
      <c r="A1112" t="str" cm="1">
        <f t="array" ref="A1112">_xlfn.IFS(E1112="Adviento","ta", E1112="Navidad","tn", E1112="Epifania","te", E1112="Ordinario","to", E1112="Cuaresma","tc", E1112="Domingo De Ramos","tc", E1112="Semana Santa","ss", E1112="Triduo Pascual","tp", E1112="Vigilia Pascual","tp", E1112="Pascual","tp")</f>
        <v>ta</v>
      </c>
      <c r="B1112" s="14" t="str">
        <f t="shared" si="159"/>
        <v>/* DICIEMBRE        */</v>
      </c>
      <c r="C1112" s="15">
        <f t="shared" si="154"/>
        <v>46752</v>
      </c>
      <c r="D1112" s="9">
        <f t="shared" si="155"/>
        <v>46752</v>
      </c>
      <c r="E1112" t="s">
        <v>46</v>
      </c>
      <c r="F1112" t="s">
        <v>43</v>
      </c>
      <c r="G1112">
        <v>1</v>
      </c>
      <c r="I1112" s="11">
        <f t="shared" si="156"/>
        <v>46752</v>
      </c>
      <c r="J1112" t="s">
        <v>44</v>
      </c>
      <c r="K1112" t="str">
        <f t="shared" si="157"/>
        <v>/* DICIEMBRE        */ { nombre: "Adviento, Semana I, VIERNES", archivo: "/ev/ta/1/viernes.mp3", fecha: `${year}-12-31` },</v>
      </c>
      <c r="L1112" s="10">
        <f t="shared" si="158"/>
        <v>46752</v>
      </c>
    </row>
    <row r="1113" spans="1:12" hidden="1" x14ac:dyDescent="0.25">
      <c r="A1113" t="str" cm="1">
        <f t="array" ref="A1113">_xlfn.IFS(E1113="Adviento","ta", E1113="Navidad","tn", E1113="Epifania","te", E1113="Ordinario","to", E1113="Cuaresma","tc", E1113="Domingo De Ramos","tc", E1113="Semana Santa","ss", E1113="Triduo Pascual","tp", E1113="Vigilia Pascual","tp", E1113="Pascual","tp")</f>
        <v>ta</v>
      </c>
      <c r="B1113" s="14" t="str">
        <f t="shared" si="159"/>
        <v>/* ENERO        */</v>
      </c>
      <c r="C1113" s="15">
        <f t="shared" si="154"/>
        <v>46753</v>
      </c>
      <c r="D1113" s="9">
        <f t="shared" si="155"/>
        <v>46753</v>
      </c>
      <c r="E1113" t="s">
        <v>46</v>
      </c>
      <c r="F1113" t="s">
        <v>43</v>
      </c>
      <c r="G1113">
        <v>1</v>
      </c>
      <c r="I1113" s="11">
        <f t="shared" si="156"/>
        <v>46753</v>
      </c>
      <c r="J1113" t="s">
        <v>44</v>
      </c>
      <c r="K1113" t="str">
        <f t="shared" si="157"/>
        <v>/* ENERO        */ { nombre: "Adviento, Semana I, SÁBADO", archivo: "/ev/ta/1/sábado.mp3", fecha: `${year}-01-01` },</v>
      </c>
      <c r="L1113" s="10">
        <f t="shared" si="158"/>
        <v>46753</v>
      </c>
    </row>
    <row r="1114" spans="1:12" hidden="1" x14ac:dyDescent="0.25">
      <c r="A1114" t="str" cm="1">
        <f t="array" ref="A1114">_xlfn.IFS(E1114="Adviento","ta", E1114="Navidad","tn", E1114="Epifania","te", E1114="Ordinario","to", E1114="Cuaresma","tc", E1114="Domingo De Ramos","tc", E1114="Semana Santa","ss", E1114="Triduo Pascual","tp", E1114="Vigilia Pascual","tp", E1114="Pascual","tp")</f>
        <v>ta</v>
      </c>
      <c r="B1114" s="14" t="str">
        <f t="shared" si="159"/>
        <v>/* ENERO        */</v>
      </c>
      <c r="C1114" s="15">
        <f t="shared" si="154"/>
        <v>46754</v>
      </c>
      <c r="D1114" s="9">
        <f t="shared" si="155"/>
        <v>46754</v>
      </c>
      <c r="E1114" t="s">
        <v>46</v>
      </c>
      <c r="F1114" t="s">
        <v>43</v>
      </c>
      <c r="G1114">
        <v>1</v>
      </c>
      <c r="I1114" s="11">
        <f t="shared" si="156"/>
        <v>46754</v>
      </c>
      <c r="J1114" t="s">
        <v>44</v>
      </c>
      <c r="K1114" t="str">
        <f t="shared" si="157"/>
        <v>/* ENERO        */ { nombre: "Adviento, Semana I, DOMINGO", archivo: "/ev/ta/1/domingo.mp3", fecha: `${year}-01-02` },</v>
      </c>
      <c r="L1114" s="10">
        <f t="shared" si="158"/>
        <v>46754</v>
      </c>
    </row>
    <row r="1115" spans="1:12" hidden="1" x14ac:dyDescent="0.25">
      <c r="A1115" t="str" cm="1">
        <f t="array" ref="A1115">_xlfn.IFS(E1115="Adviento","ta", E1115="Navidad","tn", E1115="Epifania","te", E1115="Ordinario","to", E1115="Cuaresma","tc", E1115="Domingo De Ramos","tc", E1115="Semana Santa","ss", E1115="Triduo Pascual","tp", E1115="Vigilia Pascual","tp", E1115="Pascual","tp")</f>
        <v>ta</v>
      </c>
      <c r="B1115" s="14" t="str">
        <f t="shared" si="159"/>
        <v>/* ENERO        */</v>
      </c>
      <c r="C1115" s="15">
        <f t="shared" si="154"/>
        <v>46755</v>
      </c>
      <c r="D1115" s="9">
        <f t="shared" si="155"/>
        <v>46755</v>
      </c>
      <c r="E1115" t="s">
        <v>46</v>
      </c>
      <c r="F1115" t="s">
        <v>43</v>
      </c>
      <c r="G1115">
        <v>1</v>
      </c>
      <c r="I1115" s="11">
        <f t="shared" si="156"/>
        <v>46755</v>
      </c>
      <c r="J1115" t="s">
        <v>44</v>
      </c>
      <c r="K1115" t="str">
        <f t="shared" si="157"/>
        <v>/* ENERO        */ { nombre: "Adviento, Semana I, LUNES", archivo: "/ev/ta/1/lunes.mp3", fecha: `${year}-01-03` },</v>
      </c>
      <c r="L1115" s="10">
        <f t="shared" si="158"/>
        <v>46755</v>
      </c>
    </row>
    <row r="1116" spans="1:12" hidden="1" x14ac:dyDescent="0.25">
      <c r="A1116" t="str" cm="1">
        <f t="array" ref="A1116">_xlfn.IFS(E1116="Adviento","ta", E1116="Navidad","tn", E1116="Epifania","te", E1116="Ordinario","to", E1116="Cuaresma","tc", E1116="Domingo De Ramos","tc", E1116="Semana Santa","ss", E1116="Triduo Pascual","tp", E1116="Vigilia Pascual","tp", E1116="Pascual","tp")</f>
        <v>ta</v>
      </c>
      <c r="B1116" s="14" t="str">
        <f t="shared" si="159"/>
        <v>/* ENERO        */</v>
      </c>
      <c r="C1116" s="15">
        <f t="shared" si="154"/>
        <v>46756</v>
      </c>
      <c r="D1116" s="9">
        <f t="shared" si="155"/>
        <v>46756</v>
      </c>
      <c r="E1116" t="s">
        <v>46</v>
      </c>
      <c r="F1116" t="s">
        <v>43</v>
      </c>
      <c r="G1116">
        <v>1</v>
      </c>
      <c r="I1116" s="11">
        <f t="shared" si="156"/>
        <v>46756</v>
      </c>
      <c r="J1116" t="s">
        <v>44</v>
      </c>
      <c r="K1116" t="str">
        <f t="shared" si="157"/>
        <v>/* ENERO        */ { nombre: "Adviento, Semana I, MARTES", archivo: "/ev/ta/1/martes.mp3", fecha: `${year}-01-04` },</v>
      </c>
      <c r="L1116" s="10">
        <f t="shared" si="158"/>
        <v>46756</v>
      </c>
    </row>
    <row r="1117" spans="1:12" hidden="1" x14ac:dyDescent="0.25">
      <c r="A1117" t="str" cm="1">
        <f t="array" ref="A1117">_xlfn.IFS(E1117="Adviento","ta", E1117="Navidad","tn", E1117="Epifania","te", E1117="Ordinario","to", E1117="Cuaresma","tc", E1117="Domingo De Ramos","tc", E1117="Semana Santa","ss", E1117="Triduo Pascual","tp", E1117="Vigilia Pascual","tp", E1117="Pascual","tp")</f>
        <v>ta</v>
      </c>
      <c r="B1117" s="14" t="str">
        <f t="shared" si="159"/>
        <v>/* ENERO        */</v>
      </c>
      <c r="C1117" s="15">
        <f t="shared" si="154"/>
        <v>46757</v>
      </c>
      <c r="D1117" s="9">
        <f t="shared" si="155"/>
        <v>46757</v>
      </c>
      <c r="E1117" t="s">
        <v>46</v>
      </c>
      <c r="F1117" t="s">
        <v>43</v>
      </c>
      <c r="G1117">
        <v>1</v>
      </c>
      <c r="I1117" s="11">
        <f t="shared" si="156"/>
        <v>46757</v>
      </c>
      <c r="J1117" t="s">
        <v>44</v>
      </c>
      <c r="K1117" t="str">
        <f t="shared" si="157"/>
        <v>/* ENERO        */ { nombre: "Adviento, Semana I, MIÉRCOLES", archivo: "/ev/ta/1/miércoles.mp3", fecha: `${year}-01-05` },</v>
      </c>
      <c r="L1117" s="10">
        <f t="shared" si="158"/>
        <v>46757</v>
      </c>
    </row>
    <row r="1118" spans="1:12" hidden="1" x14ac:dyDescent="0.25">
      <c r="A1118" t="str" cm="1">
        <f t="array" ref="A1118">_xlfn.IFS(E1118="Adviento","ta", E1118="Navidad","tn", E1118="Epifania","te", E1118="Ordinario","to", E1118="Cuaresma","tc", E1118="Domingo De Ramos","tc", E1118="Semana Santa","ss", E1118="Triduo Pascual","tp", E1118="Vigilia Pascual","tp", E1118="Pascual","tp")</f>
        <v>ta</v>
      </c>
      <c r="B1118" s="14" t="str">
        <f t="shared" si="159"/>
        <v>/* ENERO        */</v>
      </c>
      <c r="C1118" s="15">
        <f t="shared" si="154"/>
        <v>46758</v>
      </c>
      <c r="D1118" s="9">
        <f t="shared" si="155"/>
        <v>46758</v>
      </c>
      <c r="E1118" t="s">
        <v>46</v>
      </c>
      <c r="F1118" t="s">
        <v>43</v>
      </c>
      <c r="G1118">
        <v>1</v>
      </c>
      <c r="I1118" s="11">
        <f t="shared" si="156"/>
        <v>46758</v>
      </c>
      <c r="J1118" t="s">
        <v>44</v>
      </c>
      <c r="K1118" t="str">
        <f t="shared" si="157"/>
        <v>/* ENERO        */ { nombre: "Adviento, Semana I, JUEVES", archivo: "/ev/ta/1/jueves.mp3", fecha: `${year}-01-06` },</v>
      </c>
      <c r="L1118" s="10">
        <f t="shared" si="158"/>
        <v>46758</v>
      </c>
    </row>
    <row r="1119" spans="1:12" hidden="1" x14ac:dyDescent="0.25">
      <c r="A1119" t="str" cm="1">
        <f t="array" ref="A1119">_xlfn.IFS(E1119="Adviento","ta", E1119="Navidad","tn", E1119="Epifania","te", E1119="Ordinario","to", E1119="Cuaresma","tc", E1119="Domingo De Ramos","tc", E1119="Semana Santa","ss", E1119="Triduo Pascual","tp", E1119="Vigilia Pascual","tp", E1119="Pascual","tp")</f>
        <v>ta</v>
      </c>
      <c r="B1119" s="14" t="str">
        <f t="shared" si="159"/>
        <v>/* ENERO        */</v>
      </c>
      <c r="C1119" s="15">
        <f t="shared" si="154"/>
        <v>46759</v>
      </c>
      <c r="D1119" s="9">
        <f t="shared" si="155"/>
        <v>46759</v>
      </c>
      <c r="E1119" t="s">
        <v>46</v>
      </c>
      <c r="F1119" t="s">
        <v>43</v>
      </c>
      <c r="G1119">
        <v>1</v>
      </c>
      <c r="I1119" s="11">
        <f t="shared" si="156"/>
        <v>46759</v>
      </c>
      <c r="J1119" t="s">
        <v>44</v>
      </c>
      <c r="K1119" t="str">
        <f t="shared" si="157"/>
        <v>/* ENERO        */ { nombre: "Adviento, Semana I, VIERNES", archivo: "/ev/ta/1/viernes.mp3", fecha: `${year}-01-07` },</v>
      </c>
      <c r="L1119" s="10">
        <f t="shared" si="158"/>
        <v>46759</v>
      </c>
    </row>
    <row r="1120" spans="1:12" hidden="1" x14ac:dyDescent="0.25">
      <c r="A1120" t="str" cm="1">
        <f t="array" ref="A1120">_xlfn.IFS(E1120="Adviento","ta", E1120="Navidad","tn", E1120="Epifania","te", E1120="Ordinario","to", E1120="Cuaresma","tc", E1120="Domingo De Ramos","tc", E1120="Semana Santa","ss", E1120="Triduo Pascual","tp", E1120="Vigilia Pascual","tp", E1120="Pascual","tp")</f>
        <v>ta</v>
      </c>
      <c r="B1120" s="14" t="str">
        <f t="shared" si="159"/>
        <v>/* ENERO        */</v>
      </c>
      <c r="C1120" s="15">
        <f t="shared" si="154"/>
        <v>46760</v>
      </c>
      <c r="D1120" s="9">
        <f t="shared" si="155"/>
        <v>46760</v>
      </c>
      <c r="E1120" t="s">
        <v>46</v>
      </c>
      <c r="F1120" t="s">
        <v>43</v>
      </c>
      <c r="G1120">
        <v>1</v>
      </c>
      <c r="I1120" s="11">
        <f t="shared" si="156"/>
        <v>46760</v>
      </c>
      <c r="J1120" t="s">
        <v>44</v>
      </c>
      <c r="K1120" t="str">
        <f t="shared" si="157"/>
        <v>/* ENERO        */ { nombre: "Adviento, Semana I, SÁBADO", archivo: "/ev/ta/1/sábado.mp3", fecha: `${year}-01-08` },</v>
      </c>
      <c r="L1120" s="10">
        <f t="shared" si="158"/>
        <v>46760</v>
      </c>
    </row>
    <row r="1121" spans="1:12" hidden="1" x14ac:dyDescent="0.25">
      <c r="A1121" t="str" cm="1">
        <f t="array" ref="A1121">_xlfn.IFS(E1121="Adviento","ta", E1121="Navidad","tn", E1121="Epifania","te", E1121="Ordinario","to", E1121="Cuaresma","tc", E1121="Domingo De Ramos","tc", E1121="Semana Santa","ss", E1121="Triduo Pascual","tp", E1121="Vigilia Pascual","tp", E1121="Pascual","tp")</f>
        <v>ta</v>
      </c>
      <c r="B1121" s="14" t="str">
        <f t="shared" si="159"/>
        <v>/* ENERO        */</v>
      </c>
      <c r="C1121" s="15">
        <f t="shared" si="154"/>
        <v>46761</v>
      </c>
      <c r="D1121" s="9">
        <f t="shared" si="155"/>
        <v>46761</v>
      </c>
      <c r="E1121" t="s">
        <v>46</v>
      </c>
      <c r="F1121" t="s">
        <v>43</v>
      </c>
      <c r="G1121">
        <v>1</v>
      </c>
      <c r="I1121" s="11">
        <f t="shared" si="156"/>
        <v>46761</v>
      </c>
      <c r="J1121" t="s">
        <v>44</v>
      </c>
      <c r="K1121" t="str">
        <f t="shared" si="157"/>
        <v>/* ENERO        */ { nombre: "Adviento, Semana I, DOMINGO", archivo: "/ev/ta/1/domingo.mp3", fecha: `${year}-01-09` },</v>
      </c>
      <c r="L1121" s="10">
        <f t="shared" si="158"/>
        <v>46761</v>
      </c>
    </row>
    <row r="1122" spans="1:12" hidden="1" x14ac:dyDescent="0.25">
      <c r="A1122" t="str" cm="1">
        <f t="array" ref="A1122">_xlfn.IFS(E1122="Adviento","ta", E1122="Navidad","tn", E1122="Epifania","te", E1122="Ordinario","to", E1122="Cuaresma","tc", E1122="Domingo De Ramos","tc", E1122="Semana Santa","ss", E1122="Triduo Pascual","tp", E1122="Vigilia Pascual","tp", E1122="Pascual","tp")</f>
        <v>ta</v>
      </c>
      <c r="B1122" s="14" t="str">
        <f t="shared" si="159"/>
        <v>/* ENERO        */</v>
      </c>
      <c r="C1122" s="15">
        <f t="shared" si="154"/>
        <v>46762</v>
      </c>
      <c r="D1122" s="9">
        <f t="shared" si="155"/>
        <v>46762</v>
      </c>
      <c r="E1122" t="s">
        <v>46</v>
      </c>
      <c r="F1122" t="s">
        <v>43</v>
      </c>
      <c r="G1122">
        <v>1</v>
      </c>
      <c r="I1122" s="11">
        <f t="shared" si="156"/>
        <v>46762</v>
      </c>
      <c r="J1122" t="s">
        <v>44</v>
      </c>
      <c r="K1122" t="str">
        <f t="shared" si="157"/>
        <v>/* ENERO        */ { nombre: "Adviento, Semana I, LUNES", archivo: "/ev/ta/1/lunes.mp3", fecha: `${year}-01-10` },</v>
      </c>
      <c r="L1122" s="10">
        <f t="shared" si="158"/>
        <v>46762</v>
      </c>
    </row>
    <row r="1123" spans="1:12" hidden="1" x14ac:dyDescent="0.25">
      <c r="A1123" t="str" cm="1">
        <f t="array" ref="A1123">_xlfn.IFS(E1123="Adviento","ta", E1123="Navidad","tn", E1123="Epifania","te", E1123="Ordinario","to", E1123="Cuaresma","tc", E1123="Domingo De Ramos","tc", E1123="Semana Santa","ss", E1123="Triduo Pascual","tp", E1123="Vigilia Pascual","tp", E1123="Pascual","tp")</f>
        <v>ta</v>
      </c>
      <c r="B1123" s="14" t="str">
        <f t="shared" si="159"/>
        <v>/* ENERO        */</v>
      </c>
      <c r="C1123" s="15">
        <f t="shared" si="154"/>
        <v>46763</v>
      </c>
      <c r="D1123" s="9">
        <f t="shared" si="155"/>
        <v>46763</v>
      </c>
      <c r="E1123" t="s">
        <v>46</v>
      </c>
      <c r="F1123" t="s">
        <v>43</v>
      </c>
      <c r="G1123">
        <v>1</v>
      </c>
      <c r="I1123" s="11">
        <f t="shared" si="156"/>
        <v>46763</v>
      </c>
      <c r="J1123" t="s">
        <v>44</v>
      </c>
      <c r="K1123" t="str">
        <f t="shared" si="157"/>
        <v>/* ENERO        */ { nombre: "Adviento, Semana I, MARTES", archivo: "/ev/ta/1/martes.mp3", fecha: `${year}-01-11` },</v>
      </c>
      <c r="L1123" s="10">
        <f t="shared" si="158"/>
        <v>46763</v>
      </c>
    </row>
    <row r="1124" spans="1:12" hidden="1" x14ac:dyDescent="0.25">
      <c r="A1124" t="str" cm="1">
        <f t="array" ref="A1124">_xlfn.IFS(E1124="Adviento","ta", E1124="Navidad","tn", E1124="Epifania","te", E1124="Ordinario","to", E1124="Cuaresma","tc", E1124="Domingo De Ramos","tc", E1124="Semana Santa","ss", E1124="Triduo Pascual","tp", E1124="Vigilia Pascual","tp", E1124="Pascual","tp")</f>
        <v>ta</v>
      </c>
      <c r="B1124" s="14" t="str">
        <f t="shared" si="159"/>
        <v>/* ENERO        */</v>
      </c>
      <c r="C1124" s="15">
        <f t="shared" si="154"/>
        <v>46764</v>
      </c>
      <c r="D1124" s="9">
        <f t="shared" si="155"/>
        <v>46764</v>
      </c>
      <c r="E1124" t="s">
        <v>46</v>
      </c>
      <c r="F1124" t="s">
        <v>43</v>
      </c>
      <c r="G1124">
        <v>1</v>
      </c>
      <c r="I1124" s="11">
        <f t="shared" si="156"/>
        <v>46764</v>
      </c>
      <c r="J1124" t="s">
        <v>44</v>
      </c>
      <c r="K1124" t="str">
        <f t="shared" si="157"/>
        <v>/* ENERO        */ { nombre: "Adviento, Semana I, MIÉRCOLES", archivo: "/ev/ta/1/miércoles.mp3", fecha: `${year}-01-12` },</v>
      </c>
      <c r="L1124" s="10">
        <f t="shared" si="158"/>
        <v>46764</v>
      </c>
    </row>
    <row r="1125" spans="1:12" hidden="1" x14ac:dyDescent="0.25">
      <c r="A1125" t="str" cm="1">
        <f t="array" ref="A1125">_xlfn.IFS(E1125="Adviento","ta", E1125="Navidad","tn", E1125="Epifania","te", E1125="Ordinario","to", E1125="Cuaresma","tc", E1125="Domingo De Ramos","tc", E1125="Semana Santa","ss", E1125="Triduo Pascual","tp", E1125="Vigilia Pascual","tp", E1125="Pascual","tp")</f>
        <v>ta</v>
      </c>
      <c r="B1125" s="14" t="str">
        <f t="shared" si="159"/>
        <v>/* ENERO        */</v>
      </c>
      <c r="C1125" s="15">
        <f t="shared" si="154"/>
        <v>46765</v>
      </c>
      <c r="D1125" s="9">
        <f t="shared" si="155"/>
        <v>46765</v>
      </c>
      <c r="E1125" t="s">
        <v>46</v>
      </c>
      <c r="F1125" t="s">
        <v>43</v>
      </c>
      <c r="G1125">
        <v>1</v>
      </c>
      <c r="I1125" s="11">
        <f t="shared" si="156"/>
        <v>46765</v>
      </c>
      <c r="J1125" t="s">
        <v>44</v>
      </c>
      <c r="K1125" t="str">
        <f t="shared" si="157"/>
        <v>/* ENERO        */ { nombre: "Adviento, Semana I, JUEVES", archivo: "/ev/ta/1/jueves.mp3", fecha: `${year}-01-13` },</v>
      </c>
      <c r="L1125" s="10">
        <f t="shared" si="158"/>
        <v>46765</v>
      </c>
    </row>
    <row r="1126" spans="1:12" hidden="1" x14ac:dyDescent="0.25">
      <c r="A1126" t="str" cm="1">
        <f t="array" ref="A1126">_xlfn.IFS(E1126="Adviento","ta", E1126="Navidad","tn", E1126="Epifania","te", E1126="Ordinario","to", E1126="Cuaresma","tc", E1126="Domingo De Ramos","tc", E1126="Semana Santa","ss", E1126="Triduo Pascual","tp", E1126="Vigilia Pascual","tp", E1126="Pascual","tp")</f>
        <v>ta</v>
      </c>
      <c r="B1126" s="14" t="str">
        <f t="shared" si="159"/>
        <v>/* ENERO        */</v>
      </c>
      <c r="C1126" s="15">
        <f t="shared" si="154"/>
        <v>46766</v>
      </c>
      <c r="D1126" s="9">
        <f t="shared" si="155"/>
        <v>46766</v>
      </c>
      <c r="E1126" t="s">
        <v>46</v>
      </c>
      <c r="F1126" t="s">
        <v>43</v>
      </c>
      <c r="G1126">
        <v>1</v>
      </c>
      <c r="I1126" s="11">
        <f t="shared" si="156"/>
        <v>46766</v>
      </c>
      <c r="J1126" t="s">
        <v>44</v>
      </c>
      <c r="K1126" t="str">
        <f t="shared" si="157"/>
        <v>/* ENERO        */ { nombre: "Adviento, Semana I, VIERNES", archivo: "/ev/ta/1/viernes.mp3", fecha: `${year}-01-14` },</v>
      </c>
      <c r="L1126" s="10">
        <f t="shared" si="158"/>
        <v>46766</v>
      </c>
    </row>
    <row r="1127" spans="1:12" hidden="1" x14ac:dyDescent="0.25">
      <c r="A1127" t="str" cm="1">
        <f t="array" ref="A1127">_xlfn.IFS(E1127="Adviento","ta", E1127="Navidad","tn", E1127="Epifania","te", E1127="Ordinario","to", E1127="Cuaresma","tc", E1127="Domingo De Ramos","tc", E1127="Semana Santa","ss", E1127="Triduo Pascual","tp", E1127="Vigilia Pascual","tp", E1127="Pascual","tp")</f>
        <v>ta</v>
      </c>
      <c r="B1127" s="14" t="str">
        <f t="shared" si="159"/>
        <v>/* ENERO        */</v>
      </c>
      <c r="C1127" s="15">
        <f t="shared" si="154"/>
        <v>46767</v>
      </c>
      <c r="D1127" s="9">
        <f t="shared" si="155"/>
        <v>46767</v>
      </c>
      <c r="E1127" t="s">
        <v>46</v>
      </c>
      <c r="F1127" t="s">
        <v>43</v>
      </c>
      <c r="G1127">
        <v>1</v>
      </c>
      <c r="I1127" s="11">
        <f t="shared" si="156"/>
        <v>46767</v>
      </c>
      <c r="J1127" t="s">
        <v>44</v>
      </c>
      <c r="K1127" t="str">
        <f t="shared" si="157"/>
        <v>/* ENERO        */ { nombre: "Adviento, Semana I, SÁBADO", archivo: "/ev/ta/1/sábado.mp3", fecha: `${year}-01-15` },</v>
      </c>
      <c r="L1127" s="10">
        <f t="shared" si="158"/>
        <v>46767</v>
      </c>
    </row>
    <row r="1128" spans="1:12" hidden="1" x14ac:dyDescent="0.25">
      <c r="A1128" t="str" cm="1">
        <f t="array" ref="A1128">_xlfn.IFS(E1128="Adviento","ta", E1128="Navidad","tn", E1128="Epifania","te", E1128="Ordinario","to", E1128="Cuaresma","tc", E1128="Domingo De Ramos","tc", E1128="Semana Santa","ss", E1128="Triduo Pascual","tp", E1128="Vigilia Pascual","tp", E1128="Pascual","tp")</f>
        <v>ta</v>
      </c>
      <c r="B1128" s="14" t="str">
        <f t="shared" si="159"/>
        <v>/* ENERO        */</v>
      </c>
      <c r="C1128" s="15">
        <f t="shared" si="154"/>
        <v>46768</v>
      </c>
      <c r="D1128" s="9">
        <f t="shared" si="155"/>
        <v>46768</v>
      </c>
      <c r="E1128" t="s">
        <v>46</v>
      </c>
      <c r="F1128" t="s">
        <v>43</v>
      </c>
      <c r="G1128">
        <v>1</v>
      </c>
      <c r="I1128" s="11">
        <f t="shared" si="156"/>
        <v>46768</v>
      </c>
      <c r="J1128" t="s">
        <v>44</v>
      </c>
      <c r="K1128" t="str">
        <f t="shared" si="157"/>
        <v>/* ENERO        */ { nombre: "Adviento, Semana I, DOMINGO", archivo: "/ev/ta/1/domingo.mp3", fecha: `${year}-01-16` },</v>
      </c>
      <c r="L1128" s="10">
        <f t="shared" si="158"/>
        <v>46768</v>
      </c>
    </row>
    <row r="1129" spans="1:12" hidden="1" x14ac:dyDescent="0.25">
      <c r="A1129" t="str" cm="1">
        <f t="array" ref="A1129">_xlfn.IFS(E1129="Adviento","ta", E1129="Navidad","tn", E1129="Epifania","te", E1129="Ordinario","to", E1129="Cuaresma","tc", E1129="Domingo De Ramos","tc", E1129="Semana Santa","ss", E1129="Triduo Pascual","tp", E1129="Vigilia Pascual","tp", E1129="Pascual","tp")</f>
        <v>ta</v>
      </c>
      <c r="B1129" s="14" t="str">
        <f t="shared" si="159"/>
        <v>/* ENERO        */</v>
      </c>
      <c r="C1129" s="15">
        <f t="shared" si="154"/>
        <v>46769</v>
      </c>
      <c r="D1129" s="9">
        <f t="shared" si="155"/>
        <v>46769</v>
      </c>
      <c r="E1129" t="s">
        <v>46</v>
      </c>
      <c r="F1129" t="s">
        <v>43</v>
      </c>
      <c r="G1129">
        <v>1</v>
      </c>
      <c r="I1129" s="11">
        <f t="shared" si="156"/>
        <v>46769</v>
      </c>
      <c r="J1129" t="s">
        <v>44</v>
      </c>
      <c r="K1129" t="str">
        <f t="shared" si="157"/>
        <v>/* ENERO        */ { nombre: "Adviento, Semana I, LUNES", archivo: "/ev/ta/1/lunes.mp3", fecha: `${year}-01-17` },</v>
      </c>
      <c r="L1129" s="10">
        <f t="shared" si="158"/>
        <v>46769</v>
      </c>
    </row>
    <row r="1130" spans="1:12" hidden="1" x14ac:dyDescent="0.25">
      <c r="A1130" t="str" cm="1">
        <f t="array" ref="A1130">_xlfn.IFS(E1130="Adviento","ta", E1130="Navidad","tn", E1130="Epifania","te", E1130="Ordinario","to", E1130="Cuaresma","tc", E1130="Domingo De Ramos","tc", E1130="Semana Santa","ss", E1130="Triduo Pascual","tp", E1130="Vigilia Pascual","tp", E1130="Pascual","tp")</f>
        <v>ta</v>
      </c>
      <c r="B1130" s="14" t="str">
        <f t="shared" si="159"/>
        <v>/* ENERO        */</v>
      </c>
      <c r="C1130" s="15">
        <f t="shared" si="154"/>
        <v>46770</v>
      </c>
      <c r="D1130" s="9">
        <f t="shared" si="155"/>
        <v>46770</v>
      </c>
      <c r="E1130" t="s">
        <v>46</v>
      </c>
      <c r="F1130" t="s">
        <v>43</v>
      </c>
      <c r="G1130">
        <v>1</v>
      </c>
      <c r="I1130" s="11">
        <f t="shared" si="156"/>
        <v>46770</v>
      </c>
      <c r="J1130" t="s">
        <v>44</v>
      </c>
      <c r="K1130" t="str">
        <f t="shared" si="157"/>
        <v>/* ENERO        */ { nombre: "Adviento, Semana I, MARTES", archivo: "/ev/ta/1/martes.mp3", fecha: `${year}-01-18` },</v>
      </c>
      <c r="L1130" s="10">
        <f t="shared" si="158"/>
        <v>46770</v>
      </c>
    </row>
  </sheetData>
  <conditionalFormatting sqref="E467">
    <cfRule type="cellIs" dxfId="11" priority="12" operator="equal">
      <formula>"Cuaresma"</formula>
    </cfRule>
    <cfRule type="cellIs" dxfId="10" priority="11" operator="equal">
      <formula>"Ordinario"</formula>
    </cfRule>
    <cfRule type="cellIs" dxfId="9" priority="10" operator="equal">
      <formula>"Pascual"</formula>
    </cfRule>
    <cfRule type="cellIs" dxfId="8" priority="9" operator="equal">
      <formula>"Navidad"</formula>
    </cfRule>
    <cfRule type="cellIs" dxfId="7" priority="8" operator="equal">
      <formula>"Adviento"</formula>
    </cfRule>
    <cfRule type="cellIs" dxfId="6" priority="7" operator="equal">
      <formula>"Epifania"</formula>
    </cfRule>
  </conditionalFormatting>
  <conditionalFormatting sqref="E383:E747">
    <cfRule type="cellIs" dxfId="0" priority="1" operator="equal">
      <formula>"Epifania"</formula>
    </cfRule>
    <cfRule type="cellIs" dxfId="1" priority="2" operator="equal">
      <formula>"Adviento"</formula>
    </cfRule>
    <cfRule type="cellIs" dxfId="2" priority="3" operator="equal">
      <formula>"Navidad"</formula>
    </cfRule>
    <cfRule type="cellIs" dxfId="3" priority="4" operator="equal">
      <formula>"Pascual"</formula>
    </cfRule>
    <cfRule type="cellIs" dxfId="4" priority="5" operator="equal">
      <formula>"Ordinario"</formula>
    </cfRule>
    <cfRule type="cellIs" dxfId="5" priority="6" operator="equal">
      <formula>"Cuaresma"</formula>
    </cfRule>
  </conditionalFormatting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C92FAB-D3DD-4267-BFA3-55B67C9C8F59}">
          <x14:formula1>
            <xm:f>Data!$B:$B</xm:f>
          </x14:formula1>
          <xm:sqref>E18:E1130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2024F-9D70-4759-98D1-05D4008A8740}">
  <dimension ref="B2:G239"/>
  <sheetViews>
    <sheetView zoomScale="175" zoomScaleNormal="175" workbookViewId="0"/>
  </sheetViews>
  <sheetFormatPr defaultColWidth="9" defaultRowHeight="15" x14ac:dyDescent="0.25"/>
  <cols>
    <col min="2" max="2" width="7.140625" bestFit="1" customWidth="1"/>
    <col min="3" max="3" width="9.28515625" bestFit="1" customWidth="1"/>
    <col min="4" max="4" width="8.140625" bestFit="1" customWidth="1"/>
    <col min="5" max="5" width="3.140625" bestFit="1" customWidth="1"/>
    <col min="6" max="6" width="9.7109375" bestFit="1" customWidth="1"/>
    <col min="7" max="7" width="14.5703125" bestFit="1" customWidth="1"/>
  </cols>
  <sheetData>
    <row r="2" spans="2:7" x14ac:dyDescent="0.25">
      <c r="B2" t="s">
        <v>0</v>
      </c>
      <c r="C2" t="s">
        <v>10</v>
      </c>
      <c r="D2" t="s">
        <v>2</v>
      </c>
      <c r="E2" s="2">
        <v>1</v>
      </c>
      <c r="F2" t="s">
        <v>9</v>
      </c>
      <c r="G2" s="1" t="str">
        <f>_xlfn.CONCAT(LEFT(B2,1),LEFT(C2,1),LEFT(D2,1),"0",E2,F2)</f>
        <v>tas01domingo</v>
      </c>
    </row>
    <row r="3" spans="2:7" x14ac:dyDescent="0.25">
      <c r="B3" t="s">
        <v>0</v>
      </c>
      <c r="C3" t="str">
        <f t="shared" ref="C3:C23" si="0">C2</f>
        <v>adviento</v>
      </c>
      <c r="D3" t="s">
        <v>2</v>
      </c>
      <c r="E3" s="2">
        <f>E2</f>
        <v>1</v>
      </c>
      <c r="F3" t="s">
        <v>3</v>
      </c>
      <c r="G3" s="1" t="str">
        <f t="shared" ref="G3:G8" si="1">_xlfn.CONCAT(LEFT(B3,1),LEFT(C3,1),LEFT(D3,1),"0",E3,F3)</f>
        <v>tas01lunes</v>
      </c>
    </row>
    <row r="4" spans="2:7" x14ac:dyDescent="0.25">
      <c r="B4" t="s">
        <v>0</v>
      </c>
      <c r="C4" t="str">
        <f t="shared" si="0"/>
        <v>adviento</v>
      </c>
      <c r="D4" t="s">
        <v>2</v>
      </c>
      <c r="E4" s="2">
        <f t="shared" ref="E4:E8" si="2">E3</f>
        <v>1</v>
      </c>
      <c r="F4" t="s">
        <v>4</v>
      </c>
      <c r="G4" s="1" t="str">
        <f t="shared" si="1"/>
        <v>tas01martes</v>
      </c>
    </row>
    <row r="5" spans="2:7" x14ac:dyDescent="0.25">
      <c r="B5" t="s">
        <v>0</v>
      </c>
      <c r="C5" t="str">
        <f t="shared" si="0"/>
        <v>adviento</v>
      </c>
      <c r="D5" t="s">
        <v>2</v>
      </c>
      <c r="E5" s="2">
        <f t="shared" si="2"/>
        <v>1</v>
      </c>
      <c r="F5" t="s">
        <v>5</v>
      </c>
      <c r="G5" s="1" t="str">
        <f t="shared" si="1"/>
        <v>tas01miercoles</v>
      </c>
    </row>
    <row r="6" spans="2:7" x14ac:dyDescent="0.25">
      <c r="B6" t="s">
        <v>0</v>
      </c>
      <c r="C6" t="str">
        <f t="shared" si="0"/>
        <v>adviento</v>
      </c>
      <c r="D6" t="s">
        <v>2</v>
      </c>
      <c r="E6" s="2">
        <f t="shared" si="2"/>
        <v>1</v>
      </c>
      <c r="F6" t="s">
        <v>6</v>
      </c>
      <c r="G6" s="1" t="str">
        <f t="shared" si="1"/>
        <v>tas01jueves</v>
      </c>
    </row>
    <row r="7" spans="2:7" x14ac:dyDescent="0.25">
      <c r="B7" t="s">
        <v>0</v>
      </c>
      <c r="C7" t="str">
        <f t="shared" si="0"/>
        <v>adviento</v>
      </c>
      <c r="D7" t="s">
        <v>2</v>
      </c>
      <c r="E7" s="2">
        <f t="shared" si="2"/>
        <v>1</v>
      </c>
      <c r="F7" t="s">
        <v>7</v>
      </c>
      <c r="G7" s="1" t="str">
        <f t="shared" si="1"/>
        <v>tas01viernes</v>
      </c>
    </row>
    <row r="8" spans="2:7" x14ac:dyDescent="0.25">
      <c r="B8" t="s">
        <v>0</v>
      </c>
      <c r="C8" t="str">
        <f t="shared" si="0"/>
        <v>adviento</v>
      </c>
      <c r="D8" t="s">
        <v>2</v>
      </c>
      <c r="E8" s="2">
        <f t="shared" si="2"/>
        <v>1</v>
      </c>
      <c r="F8" t="s">
        <v>8</v>
      </c>
      <c r="G8" s="1" t="str">
        <f t="shared" si="1"/>
        <v>tas01sabado</v>
      </c>
    </row>
    <row r="9" spans="2:7" x14ac:dyDescent="0.25">
      <c r="B9" t="s">
        <v>0</v>
      </c>
      <c r="C9" t="str">
        <f t="shared" si="0"/>
        <v>adviento</v>
      </c>
      <c r="D9" t="s">
        <v>2</v>
      </c>
      <c r="E9" s="2">
        <f>+E8+1</f>
        <v>2</v>
      </c>
      <c r="F9" t="s">
        <v>9</v>
      </c>
      <c r="G9" s="1" t="str">
        <f>_xlfn.CONCAT(LEFT(B9,1),LEFT(C9,1),LEFT(D9,1),"0",E9,F9)</f>
        <v>tas02domingo</v>
      </c>
    </row>
    <row r="10" spans="2:7" x14ac:dyDescent="0.25">
      <c r="B10" t="s">
        <v>0</v>
      </c>
      <c r="C10" t="str">
        <f t="shared" si="0"/>
        <v>adviento</v>
      </c>
      <c r="D10" t="s">
        <v>2</v>
      </c>
      <c r="E10" s="2">
        <f>E9</f>
        <v>2</v>
      </c>
      <c r="F10" t="s">
        <v>3</v>
      </c>
      <c r="G10" s="1" t="str">
        <f t="shared" ref="G10:G15" si="3">_xlfn.CONCAT(LEFT(B10,1),LEFT(C10,1),LEFT(D10,1),"0",E10,F10)</f>
        <v>tas02lunes</v>
      </c>
    </row>
    <row r="11" spans="2:7" x14ac:dyDescent="0.25">
      <c r="B11" t="s">
        <v>0</v>
      </c>
      <c r="C11" t="str">
        <f t="shared" si="0"/>
        <v>adviento</v>
      </c>
      <c r="D11" t="s">
        <v>2</v>
      </c>
      <c r="E11" s="2">
        <f t="shared" ref="E11:E15" si="4">E10</f>
        <v>2</v>
      </c>
      <c r="F11" t="s">
        <v>4</v>
      </c>
      <c r="G11" s="1" t="str">
        <f t="shared" si="3"/>
        <v>tas02martes</v>
      </c>
    </row>
    <row r="12" spans="2:7" x14ac:dyDescent="0.25">
      <c r="B12" t="s">
        <v>0</v>
      </c>
      <c r="C12" t="str">
        <f t="shared" si="0"/>
        <v>adviento</v>
      </c>
      <c r="D12" t="s">
        <v>2</v>
      </c>
      <c r="E12" s="2">
        <f t="shared" si="4"/>
        <v>2</v>
      </c>
      <c r="F12" t="s">
        <v>5</v>
      </c>
      <c r="G12" s="1" t="str">
        <f t="shared" si="3"/>
        <v>tas02miercoles</v>
      </c>
    </row>
    <row r="13" spans="2:7" x14ac:dyDescent="0.25">
      <c r="B13" t="s">
        <v>0</v>
      </c>
      <c r="C13" t="str">
        <f t="shared" si="0"/>
        <v>adviento</v>
      </c>
      <c r="D13" t="s">
        <v>2</v>
      </c>
      <c r="E13" s="2">
        <f t="shared" si="4"/>
        <v>2</v>
      </c>
      <c r="F13" t="s">
        <v>6</v>
      </c>
      <c r="G13" s="1" t="str">
        <f t="shared" si="3"/>
        <v>tas02jueves</v>
      </c>
    </row>
    <row r="14" spans="2:7" x14ac:dyDescent="0.25">
      <c r="B14" t="s">
        <v>0</v>
      </c>
      <c r="C14" t="str">
        <f t="shared" si="0"/>
        <v>adviento</v>
      </c>
      <c r="D14" t="s">
        <v>2</v>
      </c>
      <c r="E14" s="2">
        <f t="shared" si="4"/>
        <v>2</v>
      </c>
      <c r="F14" t="s">
        <v>7</v>
      </c>
      <c r="G14" s="1" t="str">
        <f t="shared" si="3"/>
        <v>tas02viernes</v>
      </c>
    </row>
    <row r="15" spans="2:7" x14ac:dyDescent="0.25">
      <c r="B15" t="s">
        <v>0</v>
      </c>
      <c r="C15" t="str">
        <f t="shared" si="0"/>
        <v>adviento</v>
      </c>
      <c r="D15" t="s">
        <v>2</v>
      </c>
      <c r="E15" s="2">
        <f t="shared" si="4"/>
        <v>2</v>
      </c>
      <c r="F15" t="s">
        <v>8</v>
      </c>
      <c r="G15" s="1" t="str">
        <f t="shared" si="3"/>
        <v>tas02sabado</v>
      </c>
    </row>
    <row r="16" spans="2:7" x14ac:dyDescent="0.25">
      <c r="B16" t="s">
        <v>0</v>
      </c>
      <c r="C16" t="str">
        <f t="shared" si="0"/>
        <v>adviento</v>
      </c>
      <c r="D16" t="s">
        <v>2</v>
      </c>
      <c r="E16" s="2">
        <f>+E15+1</f>
        <v>3</v>
      </c>
      <c r="F16" t="s">
        <v>9</v>
      </c>
      <c r="G16" s="1" t="str">
        <f>_xlfn.CONCAT(LEFT(B16,1),LEFT(C16,1),LEFT(D16,1),"0",E16,F16)</f>
        <v>tas03domingo</v>
      </c>
    </row>
    <row r="17" spans="2:7" x14ac:dyDescent="0.25">
      <c r="B17" t="s">
        <v>0</v>
      </c>
      <c r="C17" t="str">
        <f t="shared" si="0"/>
        <v>adviento</v>
      </c>
      <c r="D17" t="s">
        <v>2</v>
      </c>
      <c r="E17" s="2">
        <f>E16</f>
        <v>3</v>
      </c>
      <c r="F17" t="s">
        <v>3</v>
      </c>
      <c r="G17" s="1" t="str">
        <f t="shared" ref="G17:G22" si="5">_xlfn.CONCAT(LEFT(B17,1),LEFT(C17,1),LEFT(D17,1),"0",E17,F17)</f>
        <v>tas03lunes</v>
      </c>
    </row>
    <row r="18" spans="2:7" x14ac:dyDescent="0.25">
      <c r="B18" t="s">
        <v>0</v>
      </c>
      <c r="C18" t="str">
        <f t="shared" si="0"/>
        <v>adviento</v>
      </c>
      <c r="D18" t="s">
        <v>2</v>
      </c>
      <c r="E18" s="2">
        <f t="shared" ref="E18:E22" si="6">E17</f>
        <v>3</v>
      </c>
      <c r="F18" t="s">
        <v>4</v>
      </c>
      <c r="G18" s="1" t="str">
        <f t="shared" si="5"/>
        <v>tas03martes</v>
      </c>
    </row>
    <row r="19" spans="2:7" x14ac:dyDescent="0.25">
      <c r="B19" t="s">
        <v>0</v>
      </c>
      <c r="C19" t="str">
        <f t="shared" si="0"/>
        <v>adviento</v>
      </c>
      <c r="D19" t="s">
        <v>2</v>
      </c>
      <c r="E19" s="2">
        <f t="shared" si="6"/>
        <v>3</v>
      </c>
      <c r="F19" t="s">
        <v>5</v>
      </c>
      <c r="G19" s="1" t="str">
        <f t="shared" si="5"/>
        <v>tas03miercoles</v>
      </c>
    </row>
    <row r="20" spans="2:7" x14ac:dyDescent="0.25">
      <c r="B20" t="s">
        <v>0</v>
      </c>
      <c r="C20" t="str">
        <f t="shared" si="0"/>
        <v>adviento</v>
      </c>
      <c r="D20" t="s">
        <v>2</v>
      </c>
      <c r="E20" s="2">
        <f t="shared" si="6"/>
        <v>3</v>
      </c>
      <c r="F20" t="s">
        <v>6</v>
      </c>
      <c r="G20" s="1" t="str">
        <f t="shared" si="5"/>
        <v>tas03jueves</v>
      </c>
    </row>
    <row r="21" spans="2:7" x14ac:dyDescent="0.25">
      <c r="B21" t="s">
        <v>0</v>
      </c>
      <c r="C21" t="str">
        <f t="shared" si="0"/>
        <v>adviento</v>
      </c>
      <c r="D21" t="s">
        <v>2</v>
      </c>
      <c r="E21" s="2">
        <f t="shared" si="6"/>
        <v>3</v>
      </c>
      <c r="F21" t="s">
        <v>7</v>
      </c>
      <c r="G21" s="1" t="str">
        <f t="shared" si="5"/>
        <v>tas03viernes</v>
      </c>
    </row>
    <row r="22" spans="2:7" x14ac:dyDescent="0.25">
      <c r="B22" t="s">
        <v>0</v>
      </c>
      <c r="C22" t="str">
        <f t="shared" si="0"/>
        <v>adviento</v>
      </c>
      <c r="D22" t="s">
        <v>2</v>
      </c>
      <c r="E22" s="2">
        <f t="shared" si="6"/>
        <v>3</v>
      </c>
      <c r="F22" t="s">
        <v>8</v>
      </c>
      <c r="G22" s="1" t="str">
        <f t="shared" si="5"/>
        <v>tas03sabado</v>
      </c>
    </row>
    <row r="23" spans="2:7" x14ac:dyDescent="0.25">
      <c r="B23" t="s">
        <v>0</v>
      </c>
      <c r="C23" t="str">
        <f t="shared" si="0"/>
        <v>adviento</v>
      </c>
      <c r="D23" t="s">
        <v>2</v>
      </c>
      <c r="E23" s="2">
        <f>+E22+1</f>
        <v>4</v>
      </c>
      <c r="F23" t="s">
        <v>9</v>
      </c>
      <c r="G23" s="1" t="str">
        <f>_xlfn.CONCAT(LEFT(B23,1),LEFT(C23,1),LEFT(D23,1),"0",E23,F23)</f>
        <v>tas04domingo</v>
      </c>
    </row>
    <row r="24" spans="2:7" x14ac:dyDescent="0.25">
      <c r="B24" t="s">
        <v>0</v>
      </c>
      <c r="C24" t="str">
        <f>C23</f>
        <v>adviento</v>
      </c>
      <c r="D24" t="s">
        <v>2</v>
      </c>
      <c r="E24" s="2">
        <f>E23</f>
        <v>4</v>
      </c>
      <c r="F24" t="s">
        <v>3</v>
      </c>
      <c r="G24" s="1" t="str">
        <f t="shared" ref="G24:G29" si="7">_xlfn.CONCAT(LEFT(B24,1),LEFT(C24,1),LEFT(D24,1),"0",E24,F24)</f>
        <v>tas04lunes</v>
      </c>
    </row>
    <row r="25" spans="2:7" x14ac:dyDescent="0.25">
      <c r="B25" t="s">
        <v>0</v>
      </c>
      <c r="C25" t="str">
        <f t="shared" ref="C25:C29" si="8">C24</f>
        <v>adviento</v>
      </c>
      <c r="D25" t="s">
        <v>2</v>
      </c>
      <c r="E25" s="2">
        <f t="shared" ref="E25:E29" si="9">E24</f>
        <v>4</v>
      </c>
      <c r="F25" t="s">
        <v>4</v>
      </c>
      <c r="G25" s="1" t="str">
        <f t="shared" si="7"/>
        <v>tas04martes</v>
      </c>
    </row>
    <row r="26" spans="2:7" x14ac:dyDescent="0.25">
      <c r="B26" t="s">
        <v>0</v>
      </c>
      <c r="C26" t="str">
        <f t="shared" si="8"/>
        <v>adviento</v>
      </c>
      <c r="D26" t="s">
        <v>2</v>
      </c>
      <c r="E26" s="2">
        <f t="shared" si="9"/>
        <v>4</v>
      </c>
      <c r="F26" t="s">
        <v>5</v>
      </c>
      <c r="G26" s="1" t="str">
        <f t="shared" si="7"/>
        <v>tas04miercoles</v>
      </c>
    </row>
    <row r="27" spans="2:7" x14ac:dyDescent="0.25">
      <c r="B27" t="s">
        <v>0</v>
      </c>
      <c r="C27" t="str">
        <f t="shared" si="8"/>
        <v>adviento</v>
      </c>
      <c r="D27" t="s">
        <v>2</v>
      </c>
      <c r="E27" s="2">
        <f t="shared" si="9"/>
        <v>4</v>
      </c>
      <c r="F27" t="s">
        <v>6</v>
      </c>
      <c r="G27" s="1" t="str">
        <f t="shared" si="7"/>
        <v>tas04jueves</v>
      </c>
    </row>
    <row r="28" spans="2:7" x14ac:dyDescent="0.25">
      <c r="B28" t="s">
        <v>0</v>
      </c>
      <c r="C28" t="str">
        <f t="shared" si="8"/>
        <v>adviento</v>
      </c>
      <c r="D28" t="s">
        <v>2</v>
      </c>
      <c r="E28" s="2">
        <f t="shared" si="9"/>
        <v>4</v>
      </c>
      <c r="F28" t="s">
        <v>7</v>
      </c>
      <c r="G28" s="1" t="str">
        <f t="shared" si="7"/>
        <v>tas04viernes</v>
      </c>
    </row>
    <row r="29" spans="2:7" x14ac:dyDescent="0.25">
      <c r="B29" t="s">
        <v>0</v>
      </c>
      <c r="C29" t="str">
        <f t="shared" si="8"/>
        <v>adviento</v>
      </c>
      <c r="D29" t="s">
        <v>2</v>
      </c>
      <c r="E29" s="2">
        <f t="shared" si="9"/>
        <v>4</v>
      </c>
      <c r="F29" t="s">
        <v>8</v>
      </c>
      <c r="G29" s="1" t="str">
        <f t="shared" si="7"/>
        <v>tas04sabado</v>
      </c>
    </row>
    <row r="30" spans="2:7" x14ac:dyDescent="0.25">
      <c r="E30" s="2"/>
      <c r="G30" s="1"/>
    </row>
    <row r="31" spans="2:7" x14ac:dyDescent="0.25">
      <c r="E31" s="2"/>
      <c r="G31" s="1"/>
    </row>
    <row r="32" spans="2:7" x14ac:dyDescent="0.25">
      <c r="E32" s="2"/>
      <c r="G32" s="1"/>
    </row>
    <row r="33" spans="5:7" x14ac:dyDescent="0.25">
      <c r="E33" s="2"/>
      <c r="G33" s="1"/>
    </row>
    <row r="34" spans="5:7" x14ac:dyDescent="0.25">
      <c r="E34" s="2"/>
      <c r="G34" s="1"/>
    </row>
    <row r="35" spans="5:7" x14ac:dyDescent="0.25">
      <c r="E35" s="2"/>
      <c r="G35" s="1"/>
    </row>
    <row r="36" spans="5:7" x14ac:dyDescent="0.25">
      <c r="E36" s="2"/>
      <c r="G36" s="1"/>
    </row>
    <row r="37" spans="5:7" x14ac:dyDescent="0.25">
      <c r="E37" s="2"/>
      <c r="G37" s="1"/>
    </row>
    <row r="38" spans="5:7" x14ac:dyDescent="0.25">
      <c r="E38" s="2"/>
      <c r="G38" s="1"/>
    </row>
    <row r="39" spans="5:7" x14ac:dyDescent="0.25">
      <c r="E39" s="2"/>
      <c r="G39" s="1"/>
    </row>
    <row r="40" spans="5:7" x14ac:dyDescent="0.25">
      <c r="E40" s="2"/>
      <c r="G40" s="1"/>
    </row>
    <row r="41" spans="5:7" x14ac:dyDescent="0.25">
      <c r="E41" s="2"/>
      <c r="G41" s="1"/>
    </row>
    <row r="42" spans="5:7" x14ac:dyDescent="0.25">
      <c r="E42" s="2"/>
      <c r="G42" s="1"/>
    </row>
    <row r="43" spans="5:7" x14ac:dyDescent="0.25">
      <c r="E43" s="2"/>
      <c r="G43" s="1"/>
    </row>
    <row r="44" spans="5:7" x14ac:dyDescent="0.25">
      <c r="E44" s="2"/>
      <c r="G44" s="1"/>
    </row>
    <row r="45" spans="5:7" x14ac:dyDescent="0.25">
      <c r="E45" s="2"/>
      <c r="G45" s="1"/>
    </row>
    <row r="46" spans="5:7" x14ac:dyDescent="0.25">
      <c r="E46" s="2"/>
      <c r="G46" s="1"/>
    </row>
    <row r="47" spans="5:7" x14ac:dyDescent="0.25">
      <c r="E47" s="2"/>
      <c r="G47" s="1"/>
    </row>
    <row r="48" spans="5:7" x14ac:dyDescent="0.25">
      <c r="E48" s="2"/>
      <c r="G48" s="1"/>
    </row>
    <row r="49" spans="5:7" x14ac:dyDescent="0.25">
      <c r="E49" s="2"/>
      <c r="G49" s="1"/>
    </row>
    <row r="50" spans="5:7" x14ac:dyDescent="0.25">
      <c r="E50" s="2"/>
      <c r="G50" s="1"/>
    </row>
    <row r="51" spans="5:7" x14ac:dyDescent="0.25">
      <c r="E51" s="2"/>
      <c r="G51" s="1"/>
    </row>
    <row r="52" spans="5:7" x14ac:dyDescent="0.25">
      <c r="E52" s="2"/>
      <c r="G52" s="1"/>
    </row>
    <row r="53" spans="5:7" x14ac:dyDescent="0.25">
      <c r="E53" s="2"/>
      <c r="G53" s="1"/>
    </row>
    <row r="54" spans="5:7" x14ac:dyDescent="0.25">
      <c r="E54" s="2"/>
      <c r="G54" s="1"/>
    </row>
    <row r="55" spans="5:7" x14ac:dyDescent="0.25">
      <c r="E55" s="2"/>
      <c r="G55" s="1"/>
    </row>
    <row r="56" spans="5:7" x14ac:dyDescent="0.25">
      <c r="E56" s="2"/>
      <c r="G56" s="1"/>
    </row>
    <row r="57" spans="5:7" x14ac:dyDescent="0.25">
      <c r="E57" s="2"/>
      <c r="G57" s="1"/>
    </row>
    <row r="58" spans="5:7" x14ac:dyDescent="0.25">
      <c r="E58" s="2"/>
      <c r="G58" s="1"/>
    </row>
    <row r="59" spans="5:7" x14ac:dyDescent="0.25">
      <c r="E59" s="2"/>
      <c r="G59" s="1"/>
    </row>
    <row r="60" spans="5:7" x14ac:dyDescent="0.25">
      <c r="E60" s="2"/>
      <c r="G60" s="1"/>
    </row>
    <row r="61" spans="5:7" x14ac:dyDescent="0.25">
      <c r="E61" s="2"/>
      <c r="G61" s="1"/>
    </row>
    <row r="62" spans="5:7" x14ac:dyDescent="0.25">
      <c r="E62" s="2"/>
      <c r="G62" s="1"/>
    </row>
    <row r="63" spans="5:7" x14ac:dyDescent="0.25">
      <c r="E63" s="2"/>
      <c r="G63" s="1"/>
    </row>
    <row r="64" spans="5:7" x14ac:dyDescent="0.25">
      <c r="E64" s="2"/>
      <c r="G64" s="1"/>
    </row>
    <row r="65" spans="5:7" x14ac:dyDescent="0.25">
      <c r="E65" s="2"/>
      <c r="G65" s="1"/>
    </row>
    <row r="66" spans="5:7" x14ac:dyDescent="0.25">
      <c r="E66" s="2"/>
      <c r="G66" s="1"/>
    </row>
    <row r="67" spans="5:7" x14ac:dyDescent="0.25">
      <c r="E67" s="2"/>
      <c r="G67" s="1"/>
    </row>
    <row r="68" spans="5:7" x14ac:dyDescent="0.25">
      <c r="E68" s="2"/>
      <c r="G68" s="1"/>
    </row>
    <row r="69" spans="5:7" x14ac:dyDescent="0.25">
      <c r="E69" s="2"/>
      <c r="G69" s="1"/>
    </row>
    <row r="70" spans="5:7" x14ac:dyDescent="0.25">
      <c r="E70" s="2"/>
      <c r="G70" s="1"/>
    </row>
    <row r="71" spans="5:7" x14ac:dyDescent="0.25">
      <c r="E71" s="2"/>
      <c r="G71" s="1"/>
    </row>
    <row r="72" spans="5:7" x14ac:dyDescent="0.25">
      <c r="E72" s="2"/>
      <c r="G72" s="1"/>
    </row>
    <row r="73" spans="5:7" x14ac:dyDescent="0.25">
      <c r="E73" s="2"/>
      <c r="G73" s="1"/>
    </row>
    <row r="74" spans="5:7" x14ac:dyDescent="0.25">
      <c r="E74" s="2"/>
      <c r="G74" s="1"/>
    </row>
    <row r="75" spans="5:7" x14ac:dyDescent="0.25">
      <c r="E75" s="2"/>
      <c r="G75" s="1"/>
    </row>
    <row r="76" spans="5:7" x14ac:dyDescent="0.25">
      <c r="E76" s="2"/>
      <c r="G76" s="1"/>
    </row>
    <row r="77" spans="5:7" x14ac:dyDescent="0.25">
      <c r="E77" s="2"/>
      <c r="G77" s="1"/>
    </row>
    <row r="78" spans="5:7" x14ac:dyDescent="0.25">
      <c r="E78" s="2"/>
      <c r="G78" s="1"/>
    </row>
    <row r="79" spans="5:7" x14ac:dyDescent="0.25">
      <c r="E79" s="2"/>
      <c r="G79" s="1"/>
    </row>
    <row r="80" spans="5:7" x14ac:dyDescent="0.25">
      <c r="E80" s="2"/>
      <c r="G80" s="1"/>
    </row>
    <row r="81" spans="5:7" x14ac:dyDescent="0.25">
      <c r="E81" s="2"/>
      <c r="G81" s="1"/>
    </row>
    <row r="82" spans="5:7" x14ac:dyDescent="0.25">
      <c r="E82" s="2"/>
      <c r="G82" s="1"/>
    </row>
    <row r="83" spans="5:7" x14ac:dyDescent="0.25">
      <c r="E83" s="2"/>
      <c r="G83" s="1"/>
    </row>
    <row r="84" spans="5:7" x14ac:dyDescent="0.25">
      <c r="E84" s="2"/>
      <c r="G84" s="1"/>
    </row>
    <row r="85" spans="5:7" x14ac:dyDescent="0.25">
      <c r="E85" s="2"/>
      <c r="G85" s="1"/>
    </row>
    <row r="86" spans="5:7" x14ac:dyDescent="0.25">
      <c r="E86" s="2"/>
      <c r="G86" s="1"/>
    </row>
    <row r="87" spans="5:7" x14ac:dyDescent="0.25">
      <c r="E87" s="2"/>
      <c r="G87" s="1"/>
    </row>
    <row r="88" spans="5:7" x14ac:dyDescent="0.25">
      <c r="E88" s="2"/>
      <c r="G88" s="1"/>
    </row>
    <row r="89" spans="5:7" x14ac:dyDescent="0.25">
      <c r="E89" s="2"/>
      <c r="G89" s="1"/>
    </row>
    <row r="90" spans="5:7" x14ac:dyDescent="0.25">
      <c r="E90" s="2"/>
      <c r="G90" s="1"/>
    </row>
    <row r="91" spans="5:7" x14ac:dyDescent="0.25">
      <c r="E91" s="2"/>
      <c r="G91" s="1"/>
    </row>
    <row r="92" spans="5:7" x14ac:dyDescent="0.25">
      <c r="E92" s="2"/>
      <c r="G92" s="1"/>
    </row>
    <row r="93" spans="5:7" x14ac:dyDescent="0.25">
      <c r="E93" s="2"/>
      <c r="G93" s="1"/>
    </row>
    <row r="94" spans="5:7" x14ac:dyDescent="0.25">
      <c r="E94" s="2"/>
      <c r="G94" s="1"/>
    </row>
    <row r="95" spans="5:7" x14ac:dyDescent="0.25">
      <c r="E95" s="2"/>
      <c r="G95" s="1"/>
    </row>
    <row r="96" spans="5:7" x14ac:dyDescent="0.25">
      <c r="E96" s="2"/>
      <c r="G96" s="1"/>
    </row>
    <row r="97" spans="5:7" x14ac:dyDescent="0.25">
      <c r="E97" s="2"/>
      <c r="G97" s="1"/>
    </row>
    <row r="98" spans="5:7" x14ac:dyDescent="0.25">
      <c r="E98" s="2"/>
      <c r="G98" s="1"/>
    </row>
    <row r="99" spans="5:7" x14ac:dyDescent="0.25">
      <c r="E99" s="2"/>
      <c r="G99" s="1"/>
    </row>
    <row r="100" spans="5:7" x14ac:dyDescent="0.25">
      <c r="E100" s="2"/>
      <c r="G100" s="1"/>
    </row>
    <row r="101" spans="5:7" x14ac:dyDescent="0.25">
      <c r="E101" s="2"/>
      <c r="G101" s="1"/>
    </row>
    <row r="102" spans="5:7" x14ac:dyDescent="0.25">
      <c r="E102" s="2"/>
      <c r="G102" s="1"/>
    </row>
    <row r="103" spans="5:7" x14ac:dyDescent="0.25">
      <c r="E103" s="2"/>
      <c r="G103" s="1"/>
    </row>
    <row r="104" spans="5:7" x14ac:dyDescent="0.25">
      <c r="E104" s="2"/>
      <c r="G104" s="1"/>
    </row>
    <row r="105" spans="5:7" x14ac:dyDescent="0.25">
      <c r="E105" s="2"/>
      <c r="G105" s="1"/>
    </row>
    <row r="106" spans="5:7" x14ac:dyDescent="0.25">
      <c r="E106" s="2"/>
      <c r="G106" s="1"/>
    </row>
    <row r="107" spans="5:7" x14ac:dyDescent="0.25">
      <c r="E107" s="2"/>
      <c r="G107" s="1"/>
    </row>
    <row r="108" spans="5:7" x14ac:dyDescent="0.25">
      <c r="E108" s="2"/>
      <c r="G108" s="1"/>
    </row>
    <row r="109" spans="5:7" x14ac:dyDescent="0.25">
      <c r="E109" s="2"/>
      <c r="G109" s="1"/>
    </row>
    <row r="110" spans="5:7" x14ac:dyDescent="0.25">
      <c r="E110" s="2"/>
      <c r="G110" s="1"/>
    </row>
    <row r="111" spans="5:7" x14ac:dyDescent="0.25">
      <c r="E111" s="2"/>
      <c r="G111" s="1"/>
    </row>
    <row r="112" spans="5:7" x14ac:dyDescent="0.25">
      <c r="E112" s="2"/>
      <c r="G112" s="1"/>
    </row>
    <row r="113" spans="5:7" x14ac:dyDescent="0.25">
      <c r="E113" s="2"/>
      <c r="G113" s="1"/>
    </row>
    <row r="114" spans="5:7" x14ac:dyDescent="0.25">
      <c r="E114" s="2"/>
      <c r="G114" s="1"/>
    </row>
    <row r="115" spans="5:7" x14ac:dyDescent="0.25">
      <c r="E115" s="2"/>
      <c r="G115" s="1"/>
    </row>
    <row r="116" spans="5:7" x14ac:dyDescent="0.25">
      <c r="E116" s="2"/>
      <c r="G116" s="1"/>
    </row>
    <row r="117" spans="5:7" x14ac:dyDescent="0.25">
      <c r="E117" s="2"/>
      <c r="G117" s="1"/>
    </row>
    <row r="118" spans="5:7" x14ac:dyDescent="0.25">
      <c r="E118" s="2"/>
      <c r="G118" s="1"/>
    </row>
    <row r="119" spans="5:7" x14ac:dyDescent="0.25">
      <c r="E119" s="2"/>
      <c r="G119" s="1"/>
    </row>
    <row r="120" spans="5:7" x14ac:dyDescent="0.25">
      <c r="E120" s="2"/>
      <c r="G120" s="1"/>
    </row>
    <row r="121" spans="5:7" x14ac:dyDescent="0.25">
      <c r="E121" s="2"/>
      <c r="G121" s="1"/>
    </row>
    <row r="122" spans="5:7" x14ac:dyDescent="0.25">
      <c r="E122" s="2"/>
      <c r="G122" s="1"/>
    </row>
    <row r="123" spans="5:7" x14ac:dyDescent="0.25">
      <c r="E123" s="2"/>
      <c r="G123" s="1"/>
    </row>
    <row r="124" spans="5:7" x14ac:dyDescent="0.25">
      <c r="E124" s="2"/>
      <c r="G124" s="1"/>
    </row>
    <row r="125" spans="5:7" x14ac:dyDescent="0.25">
      <c r="E125" s="2"/>
      <c r="G125" s="1"/>
    </row>
    <row r="126" spans="5:7" x14ac:dyDescent="0.25">
      <c r="E126" s="2"/>
      <c r="G126" s="1"/>
    </row>
    <row r="127" spans="5:7" x14ac:dyDescent="0.25">
      <c r="E127" s="2"/>
      <c r="G127" s="1"/>
    </row>
    <row r="128" spans="5:7" x14ac:dyDescent="0.25">
      <c r="E128" s="2"/>
      <c r="G128" s="1"/>
    </row>
    <row r="129" spans="5:7" x14ac:dyDescent="0.25">
      <c r="E129" s="2"/>
      <c r="G129" s="1"/>
    </row>
    <row r="130" spans="5:7" x14ac:dyDescent="0.25">
      <c r="E130" s="2"/>
      <c r="G130" s="1"/>
    </row>
    <row r="131" spans="5:7" x14ac:dyDescent="0.25">
      <c r="E131" s="2"/>
      <c r="G131" s="1"/>
    </row>
    <row r="132" spans="5:7" x14ac:dyDescent="0.25">
      <c r="E132" s="2"/>
      <c r="G132" s="1"/>
    </row>
    <row r="133" spans="5:7" x14ac:dyDescent="0.25">
      <c r="E133" s="2"/>
      <c r="G133" s="1"/>
    </row>
    <row r="134" spans="5:7" x14ac:dyDescent="0.25">
      <c r="E134" s="2"/>
      <c r="G134" s="1"/>
    </row>
    <row r="135" spans="5:7" x14ac:dyDescent="0.25">
      <c r="E135" s="2"/>
      <c r="G135" s="1"/>
    </row>
    <row r="136" spans="5:7" x14ac:dyDescent="0.25">
      <c r="E136" s="2"/>
      <c r="G136" s="1"/>
    </row>
    <row r="137" spans="5:7" x14ac:dyDescent="0.25">
      <c r="E137" s="2"/>
      <c r="G137" s="1"/>
    </row>
    <row r="138" spans="5:7" x14ac:dyDescent="0.25">
      <c r="E138" s="2"/>
      <c r="G138" s="1"/>
    </row>
    <row r="139" spans="5:7" x14ac:dyDescent="0.25">
      <c r="E139" s="2"/>
      <c r="G139" s="1"/>
    </row>
    <row r="140" spans="5:7" x14ac:dyDescent="0.25">
      <c r="E140" s="2"/>
      <c r="G140" s="1"/>
    </row>
    <row r="141" spans="5:7" x14ac:dyDescent="0.25">
      <c r="E141" s="2"/>
      <c r="G141" s="1"/>
    </row>
    <row r="142" spans="5:7" x14ac:dyDescent="0.25">
      <c r="E142" s="2"/>
      <c r="G142" s="1"/>
    </row>
    <row r="143" spans="5:7" x14ac:dyDescent="0.25">
      <c r="E143" s="2"/>
      <c r="G143" s="1"/>
    </row>
    <row r="144" spans="5:7" x14ac:dyDescent="0.25">
      <c r="E144" s="2"/>
      <c r="G144" s="1"/>
    </row>
    <row r="145" spans="5:7" x14ac:dyDescent="0.25">
      <c r="E145" s="2"/>
      <c r="G145" s="1"/>
    </row>
    <row r="146" spans="5:7" x14ac:dyDescent="0.25">
      <c r="E146" s="2"/>
      <c r="G146" s="1"/>
    </row>
    <row r="147" spans="5:7" x14ac:dyDescent="0.25">
      <c r="E147" s="2"/>
      <c r="G147" s="1"/>
    </row>
    <row r="148" spans="5:7" x14ac:dyDescent="0.25">
      <c r="E148" s="2"/>
      <c r="G148" s="1"/>
    </row>
    <row r="149" spans="5:7" x14ac:dyDescent="0.25">
      <c r="E149" s="2"/>
      <c r="G149" s="1"/>
    </row>
    <row r="150" spans="5:7" x14ac:dyDescent="0.25">
      <c r="E150" s="2"/>
      <c r="G150" s="1"/>
    </row>
    <row r="151" spans="5:7" x14ac:dyDescent="0.25">
      <c r="E151" s="2"/>
      <c r="G151" s="1"/>
    </row>
    <row r="152" spans="5:7" x14ac:dyDescent="0.25">
      <c r="E152" s="2"/>
      <c r="G152" s="1"/>
    </row>
    <row r="153" spans="5:7" x14ac:dyDescent="0.25">
      <c r="E153" s="2"/>
      <c r="G153" s="1"/>
    </row>
    <row r="154" spans="5:7" x14ac:dyDescent="0.25">
      <c r="E154" s="2"/>
      <c r="G154" s="1"/>
    </row>
    <row r="155" spans="5:7" x14ac:dyDescent="0.25">
      <c r="E155" s="2"/>
      <c r="G155" s="1"/>
    </row>
    <row r="156" spans="5:7" x14ac:dyDescent="0.25">
      <c r="E156" s="2"/>
      <c r="G156" s="1"/>
    </row>
    <row r="157" spans="5:7" x14ac:dyDescent="0.25">
      <c r="E157" s="2"/>
      <c r="G157" s="1"/>
    </row>
    <row r="158" spans="5:7" x14ac:dyDescent="0.25">
      <c r="E158" s="2"/>
      <c r="G158" s="1"/>
    </row>
    <row r="159" spans="5:7" x14ac:dyDescent="0.25">
      <c r="E159" s="2"/>
      <c r="G159" s="1"/>
    </row>
    <row r="160" spans="5:7" x14ac:dyDescent="0.25">
      <c r="E160" s="2"/>
      <c r="G160" s="1"/>
    </row>
    <row r="161" spans="5:7" x14ac:dyDescent="0.25">
      <c r="E161" s="2"/>
      <c r="G161" s="1"/>
    </row>
    <row r="162" spans="5:7" x14ac:dyDescent="0.25">
      <c r="E162" s="2"/>
      <c r="G162" s="1"/>
    </row>
    <row r="163" spans="5:7" x14ac:dyDescent="0.25">
      <c r="E163" s="2"/>
      <c r="G163" s="1"/>
    </row>
    <row r="164" spans="5:7" x14ac:dyDescent="0.25">
      <c r="E164" s="2"/>
      <c r="G164" s="1"/>
    </row>
    <row r="165" spans="5:7" x14ac:dyDescent="0.25">
      <c r="E165" s="2"/>
      <c r="G165" s="1"/>
    </row>
    <row r="166" spans="5:7" x14ac:dyDescent="0.25">
      <c r="E166" s="2"/>
      <c r="G166" s="1"/>
    </row>
    <row r="167" spans="5:7" x14ac:dyDescent="0.25">
      <c r="E167" s="2"/>
      <c r="G167" s="1"/>
    </row>
    <row r="168" spans="5:7" x14ac:dyDescent="0.25">
      <c r="E168" s="2"/>
      <c r="G168" s="1"/>
    </row>
    <row r="169" spans="5:7" x14ac:dyDescent="0.25">
      <c r="E169" s="2"/>
      <c r="G169" s="1"/>
    </row>
    <row r="170" spans="5:7" x14ac:dyDescent="0.25">
      <c r="E170" s="2"/>
      <c r="G170" s="1"/>
    </row>
    <row r="171" spans="5:7" x14ac:dyDescent="0.25">
      <c r="E171" s="2"/>
      <c r="G171" s="1"/>
    </row>
    <row r="172" spans="5:7" x14ac:dyDescent="0.25">
      <c r="E172" s="2"/>
      <c r="G172" s="1"/>
    </row>
    <row r="173" spans="5:7" x14ac:dyDescent="0.25">
      <c r="E173" s="2"/>
      <c r="G173" s="1"/>
    </row>
    <row r="174" spans="5:7" x14ac:dyDescent="0.25">
      <c r="E174" s="2"/>
      <c r="G174" s="1"/>
    </row>
    <row r="175" spans="5:7" x14ac:dyDescent="0.25">
      <c r="E175" s="2"/>
      <c r="G175" s="1"/>
    </row>
    <row r="176" spans="5:7" x14ac:dyDescent="0.25">
      <c r="E176" s="2"/>
      <c r="G176" s="1"/>
    </row>
    <row r="177" spans="5:7" x14ac:dyDescent="0.25">
      <c r="E177" s="2"/>
      <c r="G177" s="1"/>
    </row>
    <row r="178" spans="5:7" x14ac:dyDescent="0.25">
      <c r="E178" s="2"/>
      <c r="G178" s="1"/>
    </row>
    <row r="179" spans="5:7" x14ac:dyDescent="0.25">
      <c r="E179" s="2"/>
      <c r="G179" s="1"/>
    </row>
    <row r="180" spans="5:7" x14ac:dyDescent="0.25">
      <c r="E180" s="2"/>
      <c r="G180" s="1"/>
    </row>
    <row r="181" spans="5:7" x14ac:dyDescent="0.25">
      <c r="E181" s="2"/>
      <c r="G181" s="1"/>
    </row>
    <row r="182" spans="5:7" x14ac:dyDescent="0.25">
      <c r="E182" s="2"/>
      <c r="G182" s="1"/>
    </row>
    <row r="183" spans="5:7" x14ac:dyDescent="0.25">
      <c r="E183" s="2"/>
      <c r="G183" s="1"/>
    </row>
    <row r="184" spans="5:7" x14ac:dyDescent="0.25">
      <c r="E184" s="2"/>
      <c r="G184" s="1"/>
    </row>
    <row r="185" spans="5:7" x14ac:dyDescent="0.25">
      <c r="E185" s="2"/>
      <c r="G185" s="1"/>
    </row>
    <row r="186" spans="5:7" x14ac:dyDescent="0.25">
      <c r="E186" s="2"/>
      <c r="G186" s="1"/>
    </row>
    <row r="187" spans="5:7" x14ac:dyDescent="0.25">
      <c r="E187" s="2"/>
      <c r="G187" s="1"/>
    </row>
    <row r="188" spans="5:7" x14ac:dyDescent="0.25">
      <c r="E188" s="2"/>
      <c r="G188" s="1"/>
    </row>
    <row r="189" spans="5:7" x14ac:dyDescent="0.25">
      <c r="E189" s="2"/>
      <c r="G189" s="1"/>
    </row>
    <row r="190" spans="5:7" x14ac:dyDescent="0.25">
      <c r="E190" s="2"/>
      <c r="G190" s="1"/>
    </row>
    <row r="191" spans="5:7" x14ac:dyDescent="0.25">
      <c r="E191" s="2"/>
      <c r="G191" s="1"/>
    </row>
    <row r="192" spans="5:7" x14ac:dyDescent="0.25">
      <c r="E192" s="2"/>
      <c r="G192" s="1"/>
    </row>
    <row r="193" spans="5:7" x14ac:dyDescent="0.25">
      <c r="E193" s="2"/>
      <c r="G193" s="1"/>
    </row>
    <row r="194" spans="5:7" x14ac:dyDescent="0.25">
      <c r="E194" s="2"/>
      <c r="G194" s="1"/>
    </row>
    <row r="195" spans="5:7" x14ac:dyDescent="0.25">
      <c r="E195" s="2"/>
      <c r="G195" s="1"/>
    </row>
    <row r="196" spans="5:7" x14ac:dyDescent="0.25">
      <c r="E196" s="2"/>
      <c r="G196" s="1"/>
    </row>
    <row r="197" spans="5:7" x14ac:dyDescent="0.25">
      <c r="E197" s="2"/>
      <c r="G197" s="1"/>
    </row>
    <row r="198" spans="5:7" x14ac:dyDescent="0.25">
      <c r="E198" s="2"/>
      <c r="G198" s="1"/>
    </row>
    <row r="199" spans="5:7" x14ac:dyDescent="0.25">
      <c r="E199" s="2"/>
      <c r="G199" s="1"/>
    </row>
    <row r="200" spans="5:7" x14ac:dyDescent="0.25">
      <c r="E200" s="2"/>
      <c r="G200" s="1"/>
    </row>
    <row r="201" spans="5:7" x14ac:dyDescent="0.25">
      <c r="E201" s="2"/>
      <c r="G201" s="1"/>
    </row>
    <row r="202" spans="5:7" x14ac:dyDescent="0.25">
      <c r="E202" s="2"/>
      <c r="G202" s="1"/>
    </row>
    <row r="203" spans="5:7" x14ac:dyDescent="0.25">
      <c r="E203" s="2"/>
      <c r="G203" s="1"/>
    </row>
    <row r="204" spans="5:7" x14ac:dyDescent="0.25">
      <c r="E204" s="2"/>
      <c r="G204" s="1"/>
    </row>
    <row r="205" spans="5:7" x14ac:dyDescent="0.25">
      <c r="E205" s="2"/>
      <c r="G205" s="1"/>
    </row>
    <row r="206" spans="5:7" x14ac:dyDescent="0.25">
      <c r="E206" s="2"/>
      <c r="G206" s="1"/>
    </row>
    <row r="207" spans="5:7" x14ac:dyDescent="0.25">
      <c r="E207" s="2"/>
      <c r="G207" s="1"/>
    </row>
    <row r="208" spans="5:7" x14ac:dyDescent="0.25">
      <c r="E208" s="2"/>
      <c r="G208" s="1"/>
    </row>
    <row r="209" spans="5:7" x14ac:dyDescent="0.25">
      <c r="E209" s="2"/>
      <c r="G209" s="1"/>
    </row>
    <row r="210" spans="5:7" x14ac:dyDescent="0.25">
      <c r="E210" s="2"/>
      <c r="G210" s="1"/>
    </row>
    <row r="211" spans="5:7" x14ac:dyDescent="0.25">
      <c r="E211" s="2"/>
      <c r="G211" s="1"/>
    </row>
    <row r="212" spans="5:7" x14ac:dyDescent="0.25">
      <c r="E212" s="2"/>
      <c r="G212" s="1"/>
    </row>
    <row r="213" spans="5:7" x14ac:dyDescent="0.25">
      <c r="E213" s="2"/>
      <c r="G213" s="1"/>
    </row>
    <row r="214" spans="5:7" x14ac:dyDescent="0.25">
      <c r="E214" s="2"/>
      <c r="G214" s="1"/>
    </row>
    <row r="215" spans="5:7" x14ac:dyDescent="0.25">
      <c r="E215" s="2"/>
      <c r="G215" s="1"/>
    </row>
    <row r="216" spans="5:7" x14ac:dyDescent="0.25">
      <c r="E216" s="2"/>
      <c r="G216" s="1"/>
    </row>
    <row r="217" spans="5:7" x14ac:dyDescent="0.25">
      <c r="E217" s="2"/>
      <c r="G217" s="1"/>
    </row>
    <row r="218" spans="5:7" x14ac:dyDescent="0.25">
      <c r="E218" s="2"/>
      <c r="G218" s="1"/>
    </row>
    <row r="219" spans="5:7" x14ac:dyDescent="0.25">
      <c r="E219" s="2"/>
      <c r="G219" s="1"/>
    </row>
    <row r="220" spans="5:7" x14ac:dyDescent="0.25">
      <c r="E220" s="2"/>
      <c r="G220" s="1"/>
    </row>
    <row r="221" spans="5:7" x14ac:dyDescent="0.25">
      <c r="E221" s="2"/>
      <c r="G221" s="1"/>
    </row>
    <row r="222" spans="5:7" x14ac:dyDescent="0.25">
      <c r="E222" s="2"/>
      <c r="G222" s="1"/>
    </row>
    <row r="223" spans="5:7" x14ac:dyDescent="0.25">
      <c r="E223" s="2"/>
      <c r="G223" s="1"/>
    </row>
    <row r="224" spans="5:7" x14ac:dyDescent="0.25">
      <c r="E224" s="2"/>
      <c r="G224" s="1"/>
    </row>
    <row r="225" spans="5:7" x14ac:dyDescent="0.25">
      <c r="E225" s="2"/>
      <c r="G225" s="1"/>
    </row>
    <row r="226" spans="5:7" x14ac:dyDescent="0.25">
      <c r="E226" s="2"/>
      <c r="G226" s="1"/>
    </row>
    <row r="227" spans="5:7" x14ac:dyDescent="0.25">
      <c r="E227" s="2"/>
      <c r="G227" s="1"/>
    </row>
    <row r="228" spans="5:7" x14ac:dyDescent="0.25">
      <c r="E228" s="2"/>
      <c r="G228" s="1"/>
    </row>
    <row r="229" spans="5:7" x14ac:dyDescent="0.25">
      <c r="E229" s="2"/>
      <c r="G229" s="1"/>
    </row>
    <row r="230" spans="5:7" x14ac:dyDescent="0.25">
      <c r="E230" s="2"/>
      <c r="G230" s="1"/>
    </row>
    <row r="231" spans="5:7" x14ac:dyDescent="0.25">
      <c r="E231" s="2"/>
      <c r="G231" s="1"/>
    </row>
    <row r="232" spans="5:7" x14ac:dyDescent="0.25">
      <c r="E232" s="2"/>
      <c r="G232" s="1"/>
    </row>
    <row r="233" spans="5:7" x14ac:dyDescent="0.25">
      <c r="E233" s="2"/>
      <c r="G233" s="1"/>
    </row>
    <row r="234" spans="5:7" x14ac:dyDescent="0.25">
      <c r="E234" s="2"/>
      <c r="G234" s="1"/>
    </row>
    <row r="235" spans="5:7" x14ac:dyDescent="0.25">
      <c r="E235" s="2"/>
      <c r="G235" s="1"/>
    </row>
    <row r="236" spans="5:7" x14ac:dyDescent="0.25">
      <c r="E236" s="2"/>
      <c r="G236" s="1"/>
    </row>
    <row r="237" spans="5:7" x14ac:dyDescent="0.25">
      <c r="E237" s="2"/>
      <c r="G237" s="1"/>
    </row>
    <row r="238" spans="5:7" x14ac:dyDescent="0.25">
      <c r="E238" s="2"/>
      <c r="G238" s="1"/>
    </row>
    <row r="239" spans="5:7" x14ac:dyDescent="0.25">
      <c r="E239" s="2"/>
      <c r="G239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A91A0-706C-4D02-8A84-4C38BB265434}">
  <dimension ref="B2:G239"/>
  <sheetViews>
    <sheetView zoomScale="190" zoomScaleNormal="190" workbookViewId="0"/>
  </sheetViews>
  <sheetFormatPr defaultRowHeight="15" x14ac:dyDescent="0.25"/>
  <sheetData>
    <row r="2" spans="2:7" x14ac:dyDescent="0.25">
      <c r="B2" t="s">
        <v>0</v>
      </c>
      <c r="C2" t="s">
        <v>11</v>
      </c>
      <c r="D2" t="s">
        <v>2</v>
      </c>
      <c r="E2" s="2">
        <v>1</v>
      </c>
      <c r="F2" t="s">
        <v>9</v>
      </c>
      <c r="G2" s="1" t="str">
        <f>_xlfn.CONCAT(LEFT(B2,1),LEFT(C2,1),LEFT(D2,1),"0",E2,F2)</f>
        <v>tns01domingo</v>
      </c>
    </row>
    <row r="3" spans="2:7" x14ac:dyDescent="0.25">
      <c r="B3" t="s">
        <v>0</v>
      </c>
      <c r="C3" t="str">
        <f t="shared" ref="C3:C15" si="0">C2</f>
        <v>navidad</v>
      </c>
      <c r="D3" t="s">
        <v>2</v>
      </c>
      <c r="E3" s="2">
        <f>E2</f>
        <v>1</v>
      </c>
      <c r="F3" t="s">
        <v>3</v>
      </c>
      <c r="G3" s="1" t="str">
        <f t="shared" ref="G3:G8" si="1">_xlfn.CONCAT(LEFT(B3,1),LEFT(C3,1),LEFT(D3,1),"0",E3,F3)</f>
        <v>tns01lunes</v>
      </c>
    </row>
    <row r="4" spans="2:7" x14ac:dyDescent="0.25">
      <c r="B4" t="s">
        <v>0</v>
      </c>
      <c r="C4" t="str">
        <f t="shared" si="0"/>
        <v>navidad</v>
      </c>
      <c r="D4" t="s">
        <v>2</v>
      </c>
      <c r="E4" s="2">
        <f t="shared" ref="E4:E8" si="2">E3</f>
        <v>1</v>
      </c>
      <c r="F4" t="s">
        <v>4</v>
      </c>
      <c r="G4" s="1" t="str">
        <f t="shared" si="1"/>
        <v>tns01martes</v>
      </c>
    </row>
    <row r="5" spans="2:7" x14ac:dyDescent="0.25">
      <c r="B5" t="s">
        <v>0</v>
      </c>
      <c r="C5" t="str">
        <f t="shared" si="0"/>
        <v>navidad</v>
      </c>
      <c r="D5" t="s">
        <v>2</v>
      </c>
      <c r="E5" s="2">
        <f t="shared" si="2"/>
        <v>1</v>
      </c>
      <c r="F5" t="s">
        <v>5</v>
      </c>
      <c r="G5" s="1" t="str">
        <f t="shared" si="1"/>
        <v>tns01miercoles</v>
      </c>
    </row>
    <row r="6" spans="2:7" x14ac:dyDescent="0.25">
      <c r="B6" t="s">
        <v>0</v>
      </c>
      <c r="C6" t="str">
        <f t="shared" si="0"/>
        <v>navidad</v>
      </c>
      <c r="D6" t="s">
        <v>2</v>
      </c>
      <c r="E6" s="2">
        <f t="shared" si="2"/>
        <v>1</v>
      </c>
      <c r="F6" t="s">
        <v>6</v>
      </c>
      <c r="G6" s="1" t="str">
        <f t="shared" si="1"/>
        <v>tns01jueves</v>
      </c>
    </row>
    <row r="7" spans="2:7" x14ac:dyDescent="0.25">
      <c r="B7" t="s">
        <v>0</v>
      </c>
      <c r="C7" t="str">
        <f t="shared" si="0"/>
        <v>navidad</v>
      </c>
      <c r="D7" t="s">
        <v>2</v>
      </c>
      <c r="E7" s="2">
        <f t="shared" si="2"/>
        <v>1</v>
      </c>
      <c r="F7" t="s">
        <v>7</v>
      </c>
      <c r="G7" s="1" t="str">
        <f t="shared" si="1"/>
        <v>tns01viernes</v>
      </c>
    </row>
    <row r="8" spans="2:7" x14ac:dyDescent="0.25">
      <c r="B8" t="s">
        <v>0</v>
      </c>
      <c r="C8" t="str">
        <f t="shared" si="0"/>
        <v>navidad</v>
      </c>
      <c r="D8" t="s">
        <v>2</v>
      </c>
      <c r="E8" s="2">
        <f t="shared" si="2"/>
        <v>1</v>
      </c>
      <c r="F8" t="s">
        <v>8</v>
      </c>
      <c r="G8" s="1" t="str">
        <f t="shared" si="1"/>
        <v>tns01sabado</v>
      </c>
    </row>
    <row r="9" spans="2:7" x14ac:dyDescent="0.25">
      <c r="B9" t="s">
        <v>0</v>
      </c>
      <c r="C9" t="str">
        <f t="shared" si="0"/>
        <v>navidad</v>
      </c>
      <c r="D9" t="s">
        <v>2</v>
      </c>
      <c r="E9" s="2">
        <f>+E8+1</f>
        <v>2</v>
      </c>
      <c r="F9" t="s">
        <v>9</v>
      </c>
      <c r="G9" s="1" t="str">
        <f>_xlfn.CONCAT(LEFT(B9,1),LEFT(C9,1),LEFT(D9,1),"0",E9,F9)</f>
        <v>tns02domingo</v>
      </c>
    </row>
    <row r="10" spans="2:7" x14ac:dyDescent="0.25">
      <c r="B10" t="s">
        <v>0</v>
      </c>
      <c r="C10" t="str">
        <f t="shared" si="0"/>
        <v>navidad</v>
      </c>
      <c r="D10" t="s">
        <v>2</v>
      </c>
      <c r="E10" s="2">
        <f>E9</f>
        <v>2</v>
      </c>
      <c r="F10" t="s">
        <v>3</v>
      </c>
      <c r="G10" s="1" t="str">
        <f t="shared" ref="G10:G15" si="3">_xlfn.CONCAT(LEFT(B10,1),LEFT(C10,1),LEFT(D10,1),"0",E10,F10)</f>
        <v>tns02lunes</v>
      </c>
    </row>
    <row r="11" spans="2:7" x14ac:dyDescent="0.25">
      <c r="B11" t="s">
        <v>0</v>
      </c>
      <c r="C11" t="str">
        <f t="shared" si="0"/>
        <v>navidad</v>
      </c>
      <c r="D11" t="s">
        <v>2</v>
      </c>
      <c r="E11" s="2">
        <f t="shared" ref="E11:E15" si="4">E10</f>
        <v>2</v>
      </c>
      <c r="F11" t="s">
        <v>4</v>
      </c>
      <c r="G11" s="1" t="str">
        <f t="shared" si="3"/>
        <v>tns02martes</v>
      </c>
    </row>
    <row r="12" spans="2:7" x14ac:dyDescent="0.25">
      <c r="B12" t="s">
        <v>0</v>
      </c>
      <c r="C12" t="str">
        <f t="shared" si="0"/>
        <v>navidad</v>
      </c>
      <c r="D12" t="s">
        <v>2</v>
      </c>
      <c r="E12" s="2">
        <f t="shared" si="4"/>
        <v>2</v>
      </c>
      <c r="F12" t="s">
        <v>5</v>
      </c>
      <c r="G12" s="1" t="str">
        <f t="shared" si="3"/>
        <v>tns02miercoles</v>
      </c>
    </row>
    <row r="13" spans="2:7" x14ac:dyDescent="0.25">
      <c r="B13" t="s">
        <v>0</v>
      </c>
      <c r="C13" t="str">
        <f t="shared" si="0"/>
        <v>navidad</v>
      </c>
      <c r="D13" t="s">
        <v>2</v>
      </c>
      <c r="E13" s="2">
        <f t="shared" si="4"/>
        <v>2</v>
      </c>
      <c r="F13" t="s">
        <v>6</v>
      </c>
      <c r="G13" s="1" t="str">
        <f t="shared" si="3"/>
        <v>tns02jueves</v>
      </c>
    </row>
    <row r="14" spans="2:7" x14ac:dyDescent="0.25">
      <c r="B14" t="s">
        <v>0</v>
      </c>
      <c r="C14" t="str">
        <f t="shared" si="0"/>
        <v>navidad</v>
      </c>
      <c r="D14" t="s">
        <v>2</v>
      </c>
      <c r="E14" s="2">
        <f t="shared" si="4"/>
        <v>2</v>
      </c>
      <c r="F14" t="s">
        <v>7</v>
      </c>
      <c r="G14" s="1" t="str">
        <f t="shared" si="3"/>
        <v>tns02viernes</v>
      </c>
    </row>
    <row r="15" spans="2:7" x14ac:dyDescent="0.25">
      <c r="B15" t="s">
        <v>0</v>
      </c>
      <c r="C15" t="str">
        <f t="shared" si="0"/>
        <v>navidad</v>
      </c>
      <c r="D15" t="s">
        <v>2</v>
      </c>
      <c r="E15" s="2">
        <f t="shared" si="4"/>
        <v>2</v>
      </c>
      <c r="F15" t="s">
        <v>8</v>
      </c>
      <c r="G15" s="1" t="str">
        <f t="shared" si="3"/>
        <v>tns02sabado</v>
      </c>
    </row>
    <row r="16" spans="2:7" x14ac:dyDescent="0.25">
      <c r="E16" s="2"/>
      <c r="G16" s="1"/>
    </row>
    <row r="17" spans="5:7" x14ac:dyDescent="0.25">
      <c r="E17" s="2"/>
      <c r="G17" s="1"/>
    </row>
    <row r="18" spans="5:7" x14ac:dyDescent="0.25">
      <c r="E18" s="2"/>
      <c r="G18" s="1"/>
    </row>
    <row r="19" spans="5:7" x14ac:dyDescent="0.25">
      <c r="E19" s="2"/>
      <c r="G19" s="1"/>
    </row>
    <row r="20" spans="5:7" x14ac:dyDescent="0.25">
      <c r="E20" s="2"/>
      <c r="G20" s="1"/>
    </row>
    <row r="21" spans="5:7" x14ac:dyDescent="0.25">
      <c r="E21" s="2"/>
      <c r="G21" s="1"/>
    </row>
    <row r="22" spans="5:7" x14ac:dyDescent="0.25">
      <c r="E22" s="2"/>
      <c r="G22" s="1"/>
    </row>
    <row r="23" spans="5:7" x14ac:dyDescent="0.25">
      <c r="E23" s="2"/>
      <c r="G23" s="1"/>
    </row>
    <row r="24" spans="5:7" x14ac:dyDescent="0.25">
      <c r="E24" s="2"/>
      <c r="G24" s="1"/>
    </row>
    <row r="25" spans="5:7" x14ac:dyDescent="0.25">
      <c r="E25" s="2"/>
      <c r="G25" s="1"/>
    </row>
    <row r="26" spans="5:7" x14ac:dyDescent="0.25">
      <c r="E26" s="2"/>
      <c r="G26" s="1"/>
    </row>
    <row r="27" spans="5:7" x14ac:dyDescent="0.25">
      <c r="E27" s="2"/>
      <c r="G27" s="1"/>
    </row>
    <row r="28" spans="5:7" x14ac:dyDescent="0.25">
      <c r="E28" s="2"/>
      <c r="G28" s="1"/>
    </row>
    <row r="29" spans="5:7" x14ac:dyDescent="0.25">
      <c r="E29" s="2"/>
      <c r="G29" s="1"/>
    </row>
    <row r="30" spans="5:7" x14ac:dyDescent="0.25">
      <c r="E30" s="2"/>
      <c r="G30" s="1"/>
    </row>
    <row r="31" spans="5:7" x14ac:dyDescent="0.25">
      <c r="E31" s="2"/>
      <c r="G31" s="1"/>
    </row>
    <row r="32" spans="5:7" x14ac:dyDescent="0.25">
      <c r="E32" s="2"/>
      <c r="G32" s="1"/>
    </row>
    <row r="33" spans="5:7" x14ac:dyDescent="0.25">
      <c r="E33" s="2"/>
      <c r="G33" s="1"/>
    </row>
    <row r="34" spans="5:7" x14ac:dyDescent="0.25">
      <c r="E34" s="2"/>
      <c r="G34" s="1"/>
    </row>
    <row r="35" spans="5:7" x14ac:dyDescent="0.25">
      <c r="E35" s="2"/>
      <c r="G35" s="1"/>
    </row>
    <row r="36" spans="5:7" x14ac:dyDescent="0.25">
      <c r="E36" s="2"/>
      <c r="G36" s="1"/>
    </row>
    <row r="37" spans="5:7" x14ac:dyDescent="0.25">
      <c r="E37" s="2"/>
      <c r="G37" s="1"/>
    </row>
    <row r="38" spans="5:7" x14ac:dyDescent="0.25">
      <c r="E38" s="2"/>
      <c r="G38" s="1"/>
    </row>
    <row r="39" spans="5:7" x14ac:dyDescent="0.25">
      <c r="E39" s="2"/>
      <c r="G39" s="1"/>
    </row>
    <row r="40" spans="5:7" x14ac:dyDescent="0.25">
      <c r="E40" s="2"/>
      <c r="G40" s="1"/>
    </row>
    <row r="41" spans="5:7" x14ac:dyDescent="0.25">
      <c r="E41" s="2"/>
      <c r="G41" s="1"/>
    </row>
    <row r="42" spans="5:7" x14ac:dyDescent="0.25">
      <c r="E42" s="2"/>
      <c r="G42" s="1"/>
    </row>
    <row r="43" spans="5:7" x14ac:dyDescent="0.25">
      <c r="E43" s="2"/>
      <c r="G43" s="1"/>
    </row>
    <row r="44" spans="5:7" x14ac:dyDescent="0.25">
      <c r="E44" s="2"/>
      <c r="G44" s="1"/>
    </row>
    <row r="45" spans="5:7" x14ac:dyDescent="0.25">
      <c r="E45" s="2"/>
      <c r="G45" s="1"/>
    </row>
    <row r="46" spans="5:7" x14ac:dyDescent="0.25">
      <c r="E46" s="2"/>
      <c r="G46" s="1"/>
    </row>
    <row r="47" spans="5:7" x14ac:dyDescent="0.25">
      <c r="E47" s="2"/>
      <c r="G47" s="1"/>
    </row>
    <row r="48" spans="5:7" x14ac:dyDescent="0.25">
      <c r="E48" s="2"/>
      <c r="G48" s="1"/>
    </row>
    <row r="49" spans="5:7" x14ac:dyDescent="0.25">
      <c r="E49" s="2"/>
      <c r="G49" s="1"/>
    </row>
    <row r="50" spans="5:7" x14ac:dyDescent="0.25">
      <c r="E50" s="2"/>
      <c r="G50" s="1"/>
    </row>
    <row r="51" spans="5:7" x14ac:dyDescent="0.25">
      <c r="E51" s="2"/>
      <c r="G51" s="1"/>
    </row>
    <row r="52" spans="5:7" x14ac:dyDescent="0.25">
      <c r="E52" s="2"/>
      <c r="G52" s="1"/>
    </row>
    <row r="53" spans="5:7" x14ac:dyDescent="0.25">
      <c r="E53" s="2"/>
      <c r="G53" s="1"/>
    </row>
    <row r="54" spans="5:7" x14ac:dyDescent="0.25">
      <c r="E54" s="2"/>
      <c r="G54" s="1"/>
    </row>
    <row r="55" spans="5:7" x14ac:dyDescent="0.25">
      <c r="E55" s="2"/>
      <c r="G55" s="1"/>
    </row>
    <row r="56" spans="5:7" x14ac:dyDescent="0.25">
      <c r="E56" s="2"/>
      <c r="G56" s="1"/>
    </row>
    <row r="57" spans="5:7" x14ac:dyDescent="0.25">
      <c r="E57" s="2"/>
      <c r="G57" s="1"/>
    </row>
    <row r="58" spans="5:7" x14ac:dyDescent="0.25">
      <c r="E58" s="2"/>
      <c r="G58" s="1"/>
    </row>
    <row r="59" spans="5:7" x14ac:dyDescent="0.25">
      <c r="E59" s="2"/>
      <c r="G59" s="1"/>
    </row>
    <row r="60" spans="5:7" x14ac:dyDescent="0.25">
      <c r="E60" s="2"/>
      <c r="G60" s="1"/>
    </row>
    <row r="61" spans="5:7" x14ac:dyDescent="0.25">
      <c r="E61" s="2"/>
      <c r="G61" s="1"/>
    </row>
    <row r="62" spans="5:7" x14ac:dyDescent="0.25">
      <c r="E62" s="2"/>
      <c r="G62" s="1"/>
    </row>
    <row r="63" spans="5:7" x14ac:dyDescent="0.25">
      <c r="E63" s="2"/>
      <c r="G63" s="1"/>
    </row>
    <row r="64" spans="5:7" x14ac:dyDescent="0.25">
      <c r="E64" s="2"/>
      <c r="G64" s="1"/>
    </row>
    <row r="65" spans="5:7" x14ac:dyDescent="0.25">
      <c r="E65" s="2"/>
      <c r="G65" s="1"/>
    </row>
    <row r="66" spans="5:7" x14ac:dyDescent="0.25">
      <c r="E66" s="2"/>
      <c r="G66" s="1"/>
    </row>
    <row r="67" spans="5:7" x14ac:dyDescent="0.25">
      <c r="E67" s="2"/>
      <c r="G67" s="1"/>
    </row>
    <row r="68" spans="5:7" x14ac:dyDescent="0.25">
      <c r="E68" s="2"/>
      <c r="G68" s="1"/>
    </row>
    <row r="69" spans="5:7" x14ac:dyDescent="0.25">
      <c r="E69" s="2"/>
      <c r="G69" s="1"/>
    </row>
    <row r="70" spans="5:7" x14ac:dyDescent="0.25">
      <c r="E70" s="2"/>
      <c r="G70" s="1"/>
    </row>
    <row r="71" spans="5:7" x14ac:dyDescent="0.25">
      <c r="E71" s="2"/>
      <c r="G71" s="1"/>
    </row>
    <row r="72" spans="5:7" x14ac:dyDescent="0.25">
      <c r="E72" s="2"/>
      <c r="G72" s="1"/>
    </row>
    <row r="73" spans="5:7" x14ac:dyDescent="0.25">
      <c r="E73" s="2"/>
      <c r="G73" s="1"/>
    </row>
    <row r="74" spans="5:7" x14ac:dyDescent="0.25">
      <c r="E74" s="2"/>
      <c r="G74" s="1"/>
    </row>
    <row r="75" spans="5:7" x14ac:dyDescent="0.25">
      <c r="E75" s="2"/>
      <c r="G75" s="1"/>
    </row>
    <row r="76" spans="5:7" x14ac:dyDescent="0.25">
      <c r="E76" s="2"/>
      <c r="G76" s="1"/>
    </row>
    <row r="77" spans="5:7" x14ac:dyDescent="0.25">
      <c r="E77" s="2"/>
      <c r="G77" s="1"/>
    </row>
    <row r="78" spans="5:7" x14ac:dyDescent="0.25">
      <c r="E78" s="2"/>
      <c r="G78" s="1"/>
    </row>
    <row r="79" spans="5:7" x14ac:dyDescent="0.25">
      <c r="E79" s="2"/>
      <c r="G79" s="1"/>
    </row>
    <row r="80" spans="5:7" x14ac:dyDescent="0.25">
      <c r="E80" s="2"/>
      <c r="G80" s="1"/>
    </row>
    <row r="81" spans="5:7" x14ac:dyDescent="0.25">
      <c r="E81" s="2"/>
      <c r="G81" s="1"/>
    </row>
    <row r="82" spans="5:7" x14ac:dyDescent="0.25">
      <c r="E82" s="2"/>
      <c r="G82" s="1"/>
    </row>
    <row r="83" spans="5:7" x14ac:dyDescent="0.25">
      <c r="E83" s="2"/>
      <c r="G83" s="1"/>
    </row>
    <row r="84" spans="5:7" x14ac:dyDescent="0.25">
      <c r="E84" s="2"/>
      <c r="G84" s="1"/>
    </row>
    <row r="85" spans="5:7" x14ac:dyDescent="0.25">
      <c r="E85" s="2"/>
      <c r="G85" s="1"/>
    </row>
    <row r="86" spans="5:7" x14ac:dyDescent="0.25">
      <c r="E86" s="2"/>
      <c r="G86" s="1"/>
    </row>
    <row r="87" spans="5:7" x14ac:dyDescent="0.25">
      <c r="E87" s="2"/>
      <c r="G87" s="1"/>
    </row>
    <row r="88" spans="5:7" x14ac:dyDescent="0.25">
      <c r="E88" s="2"/>
      <c r="G88" s="1"/>
    </row>
    <row r="89" spans="5:7" x14ac:dyDescent="0.25">
      <c r="E89" s="2"/>
      <c r="G89" s="1"/>
    </row>
    <row r="90" spans="5:7" x14ac:dyDescent="0.25">
      <c r="E90" s="2"/>
      <c r="G90" s="1"/>
    </row>
    <row r="91" spans="5:7" x14ac:dyDescent="0.25">
      <c r="E91" s="2"/>
      <c r="G91" s="1"/>
    </row>
    <row r="92" spans="5:7" x14ac:dyDescent="0.25">
      <c r="E92" s="2"/>
      <c r="G92" s="1"/>
    </row>
    <row r="93" spans="5:7" x14ac:dyDescent="0.25">
      <c r="E93" s="2"/>
      <c r="G93" s="1"/>
    </row>
    <row r="94" spans="5:7" x14ac:dyDescent="0.25">
      <c r="E94" s="2"/>
      <c r="G94" s="1"/>
    </row>
    <row r="95" spans="5:7" x14ac:dyDescent="0.25">
      <c r="E95" s="2"/>
      <c r="G95" s="1"/>
    </row>
    <row r="96" spans="5:7" x14ac:dyDescent="0.25">
      <c r="E96" s="2"/>
      <c r="G96" s="1"/>
    </row>
    <row r="97" spans="5:7" x14ac:dyDescent="0.25">
      <c r="E97" s="2"/>
      <c r="G97" s="1"/>
    </row>
    <row r="98" spans="5:7" x14ac:dyDescent="0.25">
      <c r="E98" s="2"/>
      <c r="G98" s="1"/>
    </row>
    <row r="99" spans="5:7" x14ac:dyDescent="0.25">
      <c r="E99" s="2"/>
      <c r="G99" s="1"/>
    </row>
    <row r="100" spans="5:7" x14ac:dyDescent="0.25">
      <c r="E100" s="2"/>
      <c r="G100" s="1"/>
    </row>
    <row r="101" spans="5:7" x14ac:dyDescent="0.25">
      <c r="E101" s="2"/>
      <c r="G101" s="1"/>
    </row>
    <row r="102" spans="5:7" x14ac:dyDescent="0.25">
      <c r="E102" s="2"/>
      <c r="G102" s="1"/>
    </row>
    <row r="103" spans="5:7" x14ac:dyDescent="0.25">
      <c r="E103" s="2"/>
      <c r="G103" s="1"/>
    </row>
    <row r="104" spans="5:7" x14ac:dyDescent="0.25">
      <c r="E104" s="2"/>
      <c r="G104" s="1"/>
    </row>
    <row r="105" spans="5:7" x14ac:dyDescent="0.25">
      <c r="E105" s="2"/>
      <c r="G105" s="1"/>
    </row>
    <row r="106" spans="5:7" x14ac:dyDescent="0.25">
      <c r="E106" s="2"/>
      <c r="G106" s="1"/>
    </row>
    <row r="107" spans="5:7" x14ac:dyDescent="0.25">
      <c r="E107" s="2"/>
      <c r="G107" s="1"/>
    </row>
    <row r="108" spans="5:7" x14ac:dyDescent="0.25">
      <c r="E108" s="2"/>
      <c r="G108" s="1"/>
    </row>
    <row r="109" spans="5:7" x14ac:dyDescent="0.25">
      <c r="E109" s="2"/>
      <c r="G109" s="1"/>
    </row>
    <row r="110" spans="5:7" x14ac:dyDescent="0.25">
      <c r="E110" s="2"/>
      <c r="G110" s="1"/>
    </row>
    <row r="111" spans="5:7" x14ac:dyDescent="0.25">
      <c r="E111" s="2"/>
      <c r="G111" s="1"/>
    </row>
    <row r="112" spans="5:7" x14ac:dyDescent="0.25">
      <c r="E112" s="2"/>
      <c r="G112" s="1"/>
    </row>
    <row r="113" spans="5:7" x14ac:dyDescent="0.25">
      <c r="E113" s="2"/>
      <c r="G113" s="1"/>
    </row>
    <row r="114" spans="5:7" x14ac:dyDescent="0.25">
      <c r="E114" s="2"/>
      <c r="G114" s="1"/>
    </row>
    <row r="115" spans="5:7" x14ac:dyDescent="0.25">
      <c r="E115" s="2"/>
      <c r="G115" s="1"/>
    </row>
    <row r="116" spans="5:7" x14ac:dyDescent="0.25">
      <c r="E116" s="2"/>
      <c r="G116" s="1"/>
    </row>
    <row r="117" spans="5:7" x14ac:dyDescent="0.25">
      <c r="E117" s="2"/>
      <c r="G117" s="1"/>
    </row>
    <row r="118" spans="5:7" x14ac:dyDescent="0.25">
      <c r="E118" s="2"/>
      <c r="G118" s="1"/>
    </row>
    <row r="119" spans="5:7" x14ac:dyDescent="0.25">
      <c r="E119" s="2"/>
      <c r="G119" s="1"/>
    </row>
    <row r="120" spans="5:7" x14ac:dyDescent="0.25">
      <c r="E120" s="2"/>
      <c r="G120" s="1"/>
    </row>
    <row r="121" spans="5:7" x14ac:dyDescent="0.25">
      <c r="E121" s="2"/>
      <c r="G121" s="1"/>
    </row>
    <row r="122" spans="5:7" x14ac:dyDescent="0.25">
      <c r="E122" s="2"/>
      <c r="G122" s="1"/>
    </row>
    <row r="123" spans="5:7" x14ac:dyDescent="0.25">
      <c r="E123" s="2"/>
      <c r="G123" s="1"/>
    </row>
    <row r="124" spans="5:7" x14ac:dyDescent="0.25">
      <c r="E124" s="2"/>
      <c r="G124" s="1"/>
    </row>
    <row r="125" spans="5:7" x14ac:dyDescent="0.25">
      <c r="E125" s="2"/>
      <c r="G125" s="1"/>
    </row>
    <row r="126" spans="5:7" x14ac:dyDescent="0.25">
      <c r="E126" s="2"/>
      <c r="G126" s="1"/>
    </row>
    <row r="127" spans="5:7" x14ac:dyDescent="0.25">
      <c r="E127" s="2"/>
      <c r="G127" s="1"/>
    </row>
    <row r="128" spans="5:7" x14ac:dyDescent="0.25">
      <c r="E128" s="2"/>
      <c r="G128" s="1"/>
    </row>
    <row r="129" spans="5:7" x14ac:dyDescent="0.25">
      <c r="E129" s="2"/>
      <c r="G129" s="1"/>
    </row>
    <row r="130" spans="5:7" x14ac:dyDescent="0.25">
      <c r="E130" s="2"/>
      <c r="G130" s="1"/>
    </row>
    <row r="131" spans="5:7" x14ac:dyDescent="0.25">
      <c r="E131" s="2"/>
      <c r="G131" s="1"/>
    </row>
    <row r="132" spans="5:7" x14ac:dyDescent="0.25">
      <c r="E132" s="2"/>
      <c r="G132" s="1"/>
    </row>
    <row r="133" spans="5:7" x14ac:dyDescent="0.25">
      <c r="E133" s="2"/>
      <c r="G133" s="1"/>
    </row>
    <row r="134" spans="5:7" x14ac:dyDescent="0.25">
      <c r="E134" s="2"/>
      <c r="G134" s="1"/>
    </row>
    <row r="135" spans="5:7" x14ac:dyDescent="0.25">
      <c r="E135" s="2"/>
      <c r="G135" s="1"/>
    </row>
    <row r="136" spans="5:7" x14ac:dyDescent="0.25">
      <c r="E136" s="2"/>
      <c r="G136" s="1"/>
    </row>
    <row r="137" spans="5:7" x14ac:dyDescent="0.25">
      <c r="E137" s="2"/>
      <c r="G137" s="1"/>
    </row>
    <row r="138" spans="5:7" x14ac:dyDescent="0.25">
      <c r="E138" s="2"/>
      <c r="G138" s="1"/>
    </row>
    <row r="139" spans="5:7" x14ac:dyDescent="0.25">
      <c r="E139" s="2"/>
      <c r="G139" s="1"/>
    </row>
    <row r="140" spans="5:7" x14ac:dyDescent="0.25">
      <c r="E140" s="2"/>
      <c r="G140" s="1"/>
    </row>
    <row r="141" spans="5:7" x14ac:dyDescent="0.25">
      <c r="E141" s="2"/>
      <c r="G141" s="1"/>
    </row>
    <row r="142" spans="5:7" x14ac:dyDescent="0.25">
      <c r="E142" s="2"/>
      <c r="G142" s="1"/>
    </row>
    <row r="143" spans="5:7" x14ac:dyDescent="0.25">
      <c r="E143" s="2"/>
      <c r="G143" s="1"/>
    </row>
    <row r="144" spans="5:7" x14ac:dyDescent="0.25">
      <c r="E144" s="2"/>
      <c r="G144" s="1"/>
    </row>
    <row r="145" spans="5:7" x14ac:dyDescent="0.25">
      <c r="E145" s="2"/>
      <c r="G145" s="1"/>
    </row>
    <row r="146" spans="5:7" x14ac:dyDescent="0.25">
      <c r="E146" s="2"/>
      <c r="G146" s="1"/>
    </row>
    <row r="147" spans="5:7" x14ac:dyDescent="0.25">
      <c r="E147" s="2"/>
      <c r="G147" s="1"/>
    </row>
    <row r="148" spans="5:7" x14ac:dyDescent="0.25">
      <c r="E148" s="2"/>
      <c r="G148" s="1"/>
    </row>
    <row r="149" spans="5:7" x14ac:dyDescent="0.25">
      <c r="E149" s="2"/>
      <c r="G149" s="1"/>
    </row>
    <row r="150" spans="5:7" x14ac:dyDescent="0.25">
      <c r="E150" s="2"/>
      <c r="G150" s="1"/>
    </row>
    <row r="151" spans="5:7" x14ac:dyDescent="0.25">
      <c r="E151" s="2"/>
      <c r="G151" s="1"/>
    </row>
    <row r="152" spans="5:7" x14ac:dyDescent="0.25">
      <c r="E152" s="2"/>
      <c r="G152" s="1"/>
    </row>
    <row r="153" spans="5:7" x14ac:dyDescent="0.25">
      <c r="E153" s="2"/>
      <c r="G153" s="1"/>
    </row>
    <row r="154" spans="5:7" x14ac:dyDescent="0.25">
      <c r="E154" s="2"/>
      <c r="G154" s="1"/>
    </row>
    <row r="155" spans="5:7" x14ac:dyDescent="0.25">
      <c r="E155" s="2"/>
      <c r="G155" s="1"/>
    </row>
    <row r="156" spans="5:7" x14ac:dyDescent="0.25">
      <c r="E156" s="2"/>
      <c r="G156" s="1"/>
    </row>
    <row r="157" spans="5:7" x14ac:dyDescent="0.25">
      <c r="E157" s="2"/>
      <c r="G157" s="1"/>
    </row>
    <row r="158" spans="5:7" x14ac:dyDescent="0.25">
      <c r="E158" s="2"/>
      <c r="G158" s="1"/>
    </row>
    <row r="159" spans="5:7" x14ac:dyDescent="0.25">
      <c r="E159" s="2"/>
      <c r="G159" s="1"/>
    </row>
    <row r="160" spans="5:7" x14ac:dyDescent="0.25">
      <c r="E160" s="2"/>
      <c r="G160" s="1"/>
    </row>
    <row r="161" spans="5:7" x14ac:dyDescent="0.25">
      <c r="E161" s="2"/>
      <c r="G161" s="1"/>
    </row>
    <row r="162" spans="5:7" x14ac:dyDescent="0.25">
      <c r="E162" s="2"/>
      <c r="G162" s="1"/>
    </row>
    <row r="163" spans="5:7" x14ac:dyDescent="0.25">
      <c r="E163" s="2"/>
      <c r="G163" s="1"/>
    </row>
    <row r="164" spans="5:7" x14ac:dyDescent="0.25">
      <c r="E164" s="2"/>
      <c r="G164" s="1"/>
    </row>
    <row r="165" spans="5:7" x14ac:dyDescent="0.25">
      <c r="E165" s="2"/>
      <c r="G165" s="1"/>
    </row>
    <row r="166" spans="5:7" x14ac:dyDescent="0.25">
      <c r="E166" s="2"/>
      <c r="G166" s="1"/>
    </row>
    <row r="167" spans="5:7" x14ac:dyDescent="0.25">
      <c r="E167" s="2"/>
      <c r="G167" s="1"/>
    </row>
    <row r="168" spans="5:7" x14ac:dyDescent="0.25">
      <c r="E168" s="2"/>
      <c r="G168" s="1"/>
    </row>
    <row r="169" spans="5:7" x14ac:dyDescent="0.25">
      <c r="E169" s="2"/>
      <c r="G169" s="1"/>
    </row>
    <row r="170" spans="5:7" x14ac:dyDescent="0.25">
      <c r="E170" s="2"/>
      <c r="G170" s="1"/>
    </row>
    <row r="171" spans="5:7" x14ac:dyDescent="0.25">
      <c r="E171" s="2"/>
      <c r="G171" s="1"/>
    </row>
    <row r="172" spans="5:7" x14ac:dyDescent="0.25">
      <c r="E172" s="2"/>
      <c r="G172" s="1"/>
    </row>
    <row r="173" spans="5:7" x14ac:dyDescent="0.25">
      <c r="E173" s="2"/>
      <c r="G173" s="1"/>
    </row>
    <row r="174" spans="5:7" x14ac:dyDescent="0.25">
      <c r="E174" s="2"/>
      <c r="G174" s="1"/>
    </row>
    <row r="175" spans="5:7" x14ac:dyDescent="0.25">
      <c r="E175" s="2"/>
      <c r="G175" s="1"/>
    </row>
    <row r="176" spans="5:7" x14ac:dyDescent="0.25">
      <c r="E176" s="2"/>
      <c r="G176" s="1"/>
    </row>
    <row r="177" spans="5:7" x14ac:dyDescent="0.25">
      <c r="E177" s="2"/>
      <c r="G177" s="1"/>
    </row>
    <row r="178" spans="5:7" x14ac:dyDescent="0.25">
      <c r="E178" s="2"/>
      <c r="G178" s="1"/>
    </row>
    <row r="179" spans="5:7" x14ac:dyDescent="0.25">
      <c r="E179" s="2"/>
      <c r="G179" s="1"/>
    </row>
    <row r="180" spans="5:7" x14ac:dyDescent="0.25">
      <c r="E180" s="2"/>
      <c r="G180" s="1"/>
    </row>
    <row r="181" spans="5:7" x14ac:dyDescent="0.25">
      <c r="E181" s="2"/>
      <c r="G181" s="1"/>
    </row>
    <row r="182" spans="5:7" x14ac:dyDescent="0.25">
      <c r="E182" s="2"/>
      <c r="G182" s="1"/>
    </row>
    <row r="183" spans="5:7" x14ac:dyDescent="0.25">
      <c r="E183" s="2"/>
      <c r="G183" s="1"/>
    </row>
    <row r="184" spans="5:7" x14ac:dyDescent="0.25">
      <c r="E184" s="2"/>
      <c r="G184" s="1"/>
    </row>
    <row r="185" spans="5:7" x14ac:dyDescent="0.25">
      <c r="E185" s="2"/>
      <c r="G185" s="1"/>
    </row>
    <row r="186" spans="5:7" x14ac:dyDescent="0.25">
      <c r="E186" s="2"/>
      <c r="G186" s="1"/>
    </row>
    <row r="187" spans="5:7" x14ac:dyDescent="0.25">
      <c r="E187" s="2"/>
      <c r="G187" s="1"/>
    </row>
    <row r="188" spans="5:7" x14ac:dyDescent="0.25">
      <c r="E188" s="2"/>
      <c r="G188" s="1"/>
    </row>
    <row r="189" spans="5:7" x14ac:dyDescent="0.25">
      <c r="E189" s="2"/>
      <c r="G189" s="1"/>
    </row>
    <row r="190" spans="5:7" x14ac:dyDescent="0.25">
      <c r="E190" s="2"/>
      <c r="G190" s="1"/>
    </row>
    <row r="191" spans="5:7" x14ac:dyDescent="0.25">
      <c r="E191" s="2"/>
      <c r="G191" s="1"/>
    </row>
    <row r="192" spans="5:7" x14ac:dyDescent="0.25">
      <c r="E192" s="2"/>
      <c r="G192" s="1"/>
    </row>
    <row r="193" spans="5:7" x14ac:dyDescent="0.25">
      <c r="E193" s="2"/>
      <c r="G193" s="1"/>
    </row>
    <row r="194" spans="5:7" x14ac:dyDescent="0.25">
      <c r="E194" s="2"/>
      <c r="G194" s="1"/>
    </row>
    <row r="195" spans="5:7" x14ac:dyDescent="0.25">
      <c r="E195" s="2"/>
      <c r="G195" s="1"/>
    </row>
    <row r="196" spans="5:7" x14ac:dyDescent="0.25">
      <c r="E196" s="2"/>
      <c r="G196" s="1"/>
    </row>
    <row r="197" spans="5:7" x14ac:dyDescent="0.25">
      <c r="E197" s="2"/>
      <c r="G197" s="1"/>
    </row>
    <row r="198" spans="5:7" x14ac:dyDescent="0.25">
      <c r="E198" s="2"/>
      <c r="G198" s="1"/>
    </row>
    <row r="199" spans="5:7" x14ac:dyDescent="0.25">
      <c r="E199" s="2"/>
      <c r="G199" s="1"/>
    </row>
    <row r="200" spans="5:7" x14ac:dyDescent="0.25">
      <c r="E200" s="2"/>
      <c r="G200" s="1"/>
    </row>
    <row r="201" spans="5:7" x14ac:dyDescent="0.25">
      <c r="E201" s="2"/>
      <c r="G201" s="1"/>
    </row>
    <row r="202" spans="5:7" x14ac:dyDescent="0.25">
      <c r="E202" s="2"/>
      <c r="G202" s="1"/>
    </row>
    <row r="203" spans="5:7" x14ac:dyDescent="0.25">
      <c r="E203" s="2"/>
      <c r="G203" s="1"/>
    </row>
    <row r="204" spans="5:7" x14ac:dyDescent="0.25">
      <c r="E204" s="2"/>
      <c r="G204" s="1"/>
    </row>
    <row r="205" spans="5:7" x14ac:dyDescent="0.25">
      <c r="E205" s="2"/>
      <c r="G205" s="1"/>
    </row>
    <row r="206" spans="5:7" x14ac:dyDescent="0.25">
      <c r="E206" s="2"/>
      <c r="G206" s="1"/>
    </row>
    <row r="207" spans="5:7" x14ac:dyDescent="0.25">
      <c r="E207" s="2"/>
      <c r="G207" s="1"/>
    </row>
    <row r="208" spans="5:7" x14ac:dyDescent="0.25">
      <c r="E208" s="2"/>
      <c r="G208" s="1"/>
    </row>
    <row r="209" spans="5:7" x14ac:dyDescent="0.25">
      <c r="E209" s="2"/>
      <c r="G209" s="1"/>
    </row>
    <row r="210" spans="5:7" x14ac:dyDescent="0.25">
      <c r="E210" s="2"/>
      <c r="G210" s="1"/>
    </row>
    <row r="211" spans="5:7" x14ac:dyDescent="0.25">
      <c r="E211" s="2"/>
      <c r="G211" s="1"/>
    </row>
    <row r="212" spans="5:7" x14ac:dyDescent="0.25">
      <c r="E212" s="2"/>
      <c r="G212" s="1"/>
    </row>
    <row r="213" spans="5:7" x14ac:dyDescent="0.25">
      <c r="E213" s="2"/>
      <c r="G213" s="1"/>
    </row>
    <row r="214" spans="5:7" x14ac:dyDescent="0.25">
      <c r="E214" s="2"/>
      <c r="G214" s="1"/>
    </row>
    <row r="215" spans="5:7" x14ac:dyDescent="0.25">
      <c r="E215" s="2"/>
      <c r="G215" s="1"/>
    </row>
    <row r="216" spans="5:7" x14ac:dyDescent="0.25">
      <c r="E216" s="2"/>
      <c r="G216" s="1"/>
    </row>
    <row r="217" spans="5:7" x14ac:dyDescent="0.25">
      <c r="E217" s="2"/>
      <c r="G217" s="1"/>
    </row>
    <row r="218" spans="5:7" x14ac:dyDescent="0.25">
      <c r="E218" s="2"/>
      <c r="G218" s="1"/>
    </row>
    <row r="219" spans="5:7" x14ac:dyDescent="0.25">
      <c r="E219" s="2"/>
      <c r="G219" s="1"/>
    </row>
    <row r="220" spans="5:7" x14ac:dyDescent="0.25">
      <c r="E220" s="2"/>
      <c r="G220" s="1"/>
    </row>
    <row r="221" spans="5:7" x14ac:dyDescent="0.25">
      <c r="E221" s="2"/>
      <c r="G221" s="1"/>
    </row>
    <row r="222" spans="5:7" x14ac:dyDescent="0.25">
      <c r="E222" s="2"/>
      <c r="G222" s="1"/>
    </row>
    <row r="223" spans="5:7" x14ac:dyDescent="0.25">
      <c r="E223" s="2"/>
      <c r="G223" s="1"/>
    </row>
    <row r="224" spans="5:7" x14ac:dyDescent="0.25">
      <c r="E224" s="2"/>
      <c r="G224" s="1"/>
    </row>
    <row r="225" spans="5:7" x14ac:dyDescent="0.25">
      <c r="E225" s="2"/>
      <c r="G225" s="1"/>
    </row>
    <row r="226" spans="5:7" x14ac:dyDescent="0.25">
      <c r="E226" s="2"/>
      <c r="G226" s="1"/>
    </row>
    <row r="227" spans="5:7" x14ac:dyDescent="0.25">
      <c r="E227" s="2"/>
      <c r="G227" s="1"/>
    </row>
    <row r="228" spans="5:7" x14ac:dyDescent="0.25">
      <c r="E228" s="2"/>
      <c r="G228" s="1"/>
    </row>
    <row r="229" spans="5:7" x14ac:dyDescent="0.25">
      <c r="E229" s="2"/>
      <c r="G229" s="1"/>
    </row>
    <row r="230" spans="5:7" x14ac:dyDescent="0.25">
      <c r="E230" s="2"/>
      <c r="G230" s="1"/>
    </row>
    <row r="231" spans="5:7" x14ac:dyDescent="0.25">
      <c r="E231" s="2"/>
      <c r="G231" s="1"/>
    </row>
    <row r="232" spans="5:7" x14ac:dyDescent="0.25">
      <c r="E232" s="2"/>
      <c r="G232" s="1"/>
    </row>
    <row r="233" spans="5:7" x14ac:dyDescent="0.25">
      <c r="E233" s="2"/>
      <c r="G233" s="1"/>
    </row>
    <row r="234" spans="5:7" x14ac:dyDescent="0.25">
      <c r="E234" s="2"/>
      <c r="G234" s="1"/>
    </row>
    <row r="235" spans="5:7" x14ac:dyDescent="0.25">
      <c r="E235" s="2"/>
      <c r="G235" s="1"/>
    </row>
    <row r="236" spans="5:7" x14ac:dyDescent="0.25">
      <c r="E236" s="2"/>
      <c r="G236" s="1"/>
    </row>
    <row r="237" spans="5:7" x14ac:dyDescent="0.25">
      <c r="E237" s="2"/>
      <c r="G237" s="1"/>
    </row>
    <row r="238" spans="5:7" x14ac:dyDescent="0.25">
      <c r="E238" s="2"/>
      <c r="G238" s="1"/>
    </row>
    <row r="239" spans="5:7" x14ac:dyDescent="0.25">
      <c r="E239" s="2"/>
      <c r="G239" s="1"/>
    </row>
  </sheetData>
  <pageMargins left="0.7" right="0.7" top="0.75" bottom="0.75" header="0.3" footer="0.3"/>
  <ignoredErrors>
    <ignoredError sqref="E1 E240:E1048576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1CE23-00EA-4805-95AA-29FA220776CD}">
  <dimension ref="B1:J239"/>
  <sheetViews>
    <sheetView zoomScale="175" zoomScaleNormal="175" workbookViewId="0">
      <selection activeCell="J1" sqref="J1"/>
    </sheetView>
  </sheetViews>
  <sheetFormatPr defaultRowHeight="15" x14ac:dyDescent="0.25"/>
  <cols>
    <col min="1" max="1" width="2.7109375" customWidth="1"/>
    <col min="5" max="5" width="3.140625" bestFit="1" customWidth="1"/>
    <col min="8" max="8" width="15.42578125" bestFit="1" customWidth="1"/>
    <col min="9" max="9" width="1.7109375" bestFit="1" customWidth="1"/>
    <col min="10" max="10" width="57.28515625" customWidth="1"/>
  </cols>
  <sheetData>
    <row r="1" spans="2:10" x14ac:dyDescent="0.25">
      <c r="J1" t="s">
        <v>14</v>
      </c>
    </row>
    <row r="2" spans="2:10" x14ac:dyDescent="0.25">
      <c r="B2" t="s">
        <v>0</v>
      </c>
      <c r="C2" t="s">
        <v>12</v>
      </c>
      <c r="D2" t="s">
        <v>2</v>
      </c>
      <c r="E2" s="2">
        <v>1</v>
      </c>
      <c r="F2" t="s">
        <v>9</v>
      </c>
      <c r="G2" t="s">
        <v>16</v>
      </c>
      <c r="H2" s="1" t="str">
        <f>_xlfn.CONCAT(LEFT(B2,1),LEFT(C2,1),LEFT(D2,1),"0",E2,F2)</f>
        <v>tcs01domingo</v>
      </c>
      <c r="I2" t="s">
        <v>15</v>
      </c>
      <c r="J2" t="str">
        <f>_xlfn.CONCAT("{ nombre: ",I2,PROPER(B2)," ",PROPER(C2),", ",PROPER(D2)," ",E2," ",PROPER(F2),",",G2)</f>
        <v>{ nombre: "Tiempo Cuaresma, Semana 1 Domingo,archivo: "/salterios/src/evan/audios/</v>
      </c>
    </row>
    <row r="3" spans="2:10" x14ac:dyDescent="0.25">
      <c r="B3" t="s">
        <v>0</v>
      </c>
      <c r="C3" t="str">
        <f t="shared" ref="C3:C23" si="0">C2</f>
        <v>cuaresma</v>
      </c>
      <c r="D3" t="s">
        <v>2</v>
      </c>
      <c r="E3" s="2">
        <f>E2</f>
        <v>1</v>
      </c>
      <c r="F3" t="s">
        <v>3</v>
      </c>
      <c r="H3" s="1" t="str">
        <f t="shared" ref="H3:H8" si="1">_xlfn.CONCAT(LEFT(B3,1),LEFT(C3,1),LEFT(D3,1),"0",E3,F3)</f>
        <v>tcs01lunes</v>
      </c>
      <c r="I3" t="s">
        <v>15</v>
      </c>
    </row>
    <row r="4" spans="2:10" x14ac:dyDescent="0.25">
      <c r="B4" t="s">
        <v>0</v>
      </c>
      <c r="C4" t="str">
        <f t="shared" si="0"/>
        <v>cuaresma</v>
      </c>
      <c r="D4" t="s">
        <v>2</v>
      </c>
      <c r="E4" s="2">
        <f t="shared" ref="E4:E8" si="2">E3</f>
        <v>1</v>
      </c>
      <c r="F4" t="s">
        <v>4</v>
      </c>
      <c r="H4" s="1" t="str">
        <f t="shared" si="1"/>
        <v>tcs01martes</v>
      </c>
      <c r="I4" t="s">
        <v>15</v>
      </c>
    </row>
    <row r="5" spans="2:10" x14ac:dyDescent="0.25">
      <c r="B5" t="s">
        <v>0</v>
      </c>
      <c r="C5" t="str">
        <f t="shared" si="0"/>
        <v>cuaresma</v>
      </c>
      <c r="D5" t="s">
        <v>2</v>
      </c>
      <c r="E5" s="2">
        <f t="shared" si="2"/>
        <v>1</v>
      </c>
      <c r="F5" t="s">
        <v>5</v>
      </c>
      <c r="H5" s="1" t="str">
        <f t="shared" si="1"/>
        <v>tcs01miercoles</v>
      </c>
      <c r="I5" t="s">
        <v>15</v>
      </c>
    </row>
    <row r="6" spans="2:10" x14ac:dyDescent="0.25">
      <c r="B6" t="s">
        <v>0</v>
      </c>
      <c r="C6" t="str">
        <f t="shared" si="0"/>
        <v>cuaresma</v>
      </c>
      <c r="D6" t="s">
        <v>2</v>
      </c>
      <c r="E6" s="2">
        <f t="shared" si="2"/>
        <v>1</v>
      </c>
      <c r="F6" t="s">
        <v>6</v>
      </c>
      <c r="H6" s="1" t="str">
        <f t="shared" si="1"/>
        <v>tcs01jueves</v>
      </c>
      <c r="I6" t="s">
        <v>15</v>
      </c>
    </row>
    <row r="7" spans="2:10" x14ac:dyDescent="0.25">
      <c r="B7" t="s">
        <v>0</v>
      </c>
      <c r="C7" t="str">
        <f t="shared" si="0"/>
        <v>cuaresma</v>
      </c>
      <c r="D7" t="s">
        <v>2</v>
      </c>
      <c r="E7" s="2">
        <f t="shared" si="2"/>
        <v>1</v>
      </c>
      <c r="F7" t="s">
        <v>7</v>
      </c>
      <c r="H7" s="1" t="str">
        <f t="shared" si="1"/>
        <v>tcs01viernes</v>
      </c>
      <c r="I7" t="s">
        <v>15</v>
      </c>
    </row>
    <row r="8" spans="2:10" x14ac:dyDescent="0.25">
      <c r="B8" t="s">
        <v>0</v>
      </c>
      <c r="C8" t="str">
        <f t="shared" si="0"/>
        <v>cuaresma</v>
      </c>
      <c r="D8" t="s">
        <v>2</v>
      </c>
      <c r="E8" s="2">
        <f t="shared" si="2"/>
        <v>1</v>
      </c>
      <c r="F8" t="s">
        <v>8</v>
      </c>
      <c r="H8" s="1" t="str">
        <f t="shared" si="1"/>
        <v>tcs01sabado</v>
      </c>
      <c r="I8" t="s">
        <v>15</v>
      </c>
    </row>
    <row r="9" spans="2:10" x14ac:dyDescent="0.25">
      <c r="B9" t="s">
        <v>0</v>
      </c>
      <c r="C9" t="str">
        <f t="shared" si="0"/>
        <v>cuaresma</v>
      </c>
      <c r="D9" t="s">
        <v>2</v>
      </c>
      <c r="E9" s="2">
        <f>+E8+1</f>
        <v>2</v>
      </c>
      <c r="F9" t="s">
        <v>9</v>
      </c>
      <c r="H9" s="1" t="str">
        <f>_xlfn.CONCAT(LEFT(B9,1),LEFT(C9,1),LEFT(D9,1),"0",E9,F9)</f>
        <v>tcs02domingo</v>
      </c>
      <c r="I9" t="s">
        <v>15</v>
      </c>
    </row>
    <row r="10" spans="2:10" x14ac:dyDescent="0.25">
      <c r="B10" t="s">
        <v>0</v>
      </c>
      <c r="C10" t="str">
        <f t="shared" si="0"/>
        <v>cuaresma</v>
      </c>
      <c r="D10" t="s">
        <v>2</v>
      </c>
      <c r="E10" s="2">
        <f>E9</f>
        <v>2</v>
      </c>
      <c r="F10" t="s">
        <v>3</v>
      </c>
      <c r="H10" s="1" t="str">
        <f t="shared" ref="H10:H15" si="3">_xlfn.CONCAT(LEFT(B10,1),LEFT(C10,1),LEFT(D10,1),"0",E10,F10)</f>
        <v>tcs02lunes</v>
      </c>
      <c r="I10" t="s">
        <v>15</v>
      </c>
    </row>
    <row r="11" spans="2:10" x14ac:dyDescent="0.25">
      <c r="B11" t="s">
        <v>0</v>
      </c>
      <c r="C11" t="str">
        <f t="shared" si="0"/>
        <v>cuaresma</v>
      </c>
      <c r="D11" t="s">
        <v>2</v>
      </c>
      <c r="E11" s="2">
        <f t="shared" ref="E11:E15" si="4">E10</f>
        <v>2</v>
      </c>
      <c r="F11" t="s">
        <v>4</v>
      </c>
      <c r="H11" s="1" t="str">
        <f t="shared" si="3"/>
        <v>tcs02martes</v>
      </c>
      <c r="I11" t="s">
        <v>15</v>
      </c>
    </row>
    <row r="12" spans="2:10" x14ac:dyDescent="0.25">
      <c r="B12" t="s">
        <v>0</v>
      </c>
      <c r="C12" t="str">
        <f t="shared" si="0"/>
        <v>cuaresma</v>
      </c>
      <c r="D12" t="s">
        <v>2</v>
      </c>
      <c r="E12" s="2">
        <f t="shared" si="4"/>
        <v>2</v>
      </c>
      <c r="F12" t="s">
        <v>5</v>
      </c>
      <c r="H12" s="1" t="str">
        <f t="shared" si="3"/>
        <v>tcs02miercoles</v>
      </c>
      <c r="I12" t="s">
        <v>15</v>
      </c>
    </row>
    <row r="13" spans="2:10" x14ac:dyDescent="0.25">
      <c r="B13" t="s">
        <v>0</v>
      </c>
      <c r="C13" t="str">
        <f t="shared" si="0"/>
        <v>cuaresma</v>
      </c>
      <c r="D13" t="s">
        <v>2</v>
      </c>
      <c r="E13" s="2">
        <f t="shared" si="4"/>
        <v>2</v>
      </c>
      <c r="F13" t="s">
        <v>6</v>
      </c>
      <c r="H13" s="1" t="str">
        <f t="shared" si="3"/>
        <v>tcs02jueves</v>
      </c>
      <c r="I13" t="s">
        <v>15</v>
      </c>
    </row>
    <row r="14" spans="2:10" x14ac:dyDescent="0.25">
      <c r="B14" t="s">
        <v>0</v>
      </c>
      <c r="C14" t="str">
        <f t="shared" si="0"/>
        <v>cuaresma</v>
      </c>
      <c r="D14" t="s">
        <v>2</v>
      </c>
      <c r="E14" s="2">
        <f t="shared" si="4"/>
        <v>2</v>
      </c>
      <c r="F14" t="s">
        <v>7</v>
      </c>
      <c r="H14" s="1" t="str">
        <f t="shared" si="3"/>
        <v>tcs02viernes</v>
      </c>
      <c r="I14" t="s">
        <v>15</v>
      </c>
    </row>
    <row r="15" spans="2:10" x14ac:dyDescent="0.25">
      <c r="B15" t="s">
        <v>0</v>
      </c>
      <c r="C15" t="str">
        <f t="shared" si="0"/>
        <v>cuaresma</v>
      </c>
      <c r="D15" t="s">
        <v>2</v>
      </c>
      <c r="E15" s="2">
        <f t="shared" si="4"/>
        <v>2</v>
      </c>
      <c r="F15" t="s">
        <v>8</v>
      </c>
      <c r="H15" s="1" t="str">
        <f t="shared" si="3"/>
        <v>tcs02sabado</v>
      </c>
      <c r="I15" t="s">
        <v>15</v>
      </c>
    </row>
    <row r="16" spans="2:10" x14ac:dyDescent="0.25">
      <c r="B16" t="s">
        <v>0</v>
      </c>
      <c r="C16" t="str">
        <f t="shared" si="0"/>
        <v>cuaresma</v>
      </c>
      <c r="D16" t="s">
        <v>2</v>
      </c>
      <c r="E16" s="2">
        <f>+E15+1</f>
        <v>3</v>
      </c>
      <c r="F16" t="s">
        <v>9</v>
      </c>
      <c r="H16" s="1" t="str">
        <f>_xlfn.CONCAT(LEFT(B16,1),LEFT(C16,1),LEFT(D16,1),"0",E16,F16)</f>
        <v>tcs03domingo</v>
      </c>
      <c r="I16" t="s">
        <v>15</v>
      </c>
    </row>
    <row r="17" spans="2:9" x14ac:dyDescent="0.25">
      <c r="B17" t="s">
        <v>0</v>
      </c>
      <c r="C17" t="str">
        <f t="shared" si="0"/>
        <v>cuaresma</v>
      </c>
      <c r="D17" t="s">
        <v>2</v>
      </c>
      <c r="E17" s="2">
        <f>E16</f>
        <v>3</v>
      </c>
      <c r="F17" t="s">
        <v>3</v>
      </c>
      <c r="H17" s="1" t="str">
        <f t="shared" ref="H17:H22" si="5">_xlfn.CONCAT(LEFT(B17,1),LEFT(C17,1),LEFT(D17,1),"0",E17,F17)</f>
        <v>tcs03lunes</v>
      </c>
      <c r="I17" t="s">
        <v>15</v>
      </c>
    </row>
    <row r="18" spans="2:9" x14ac:dyDescent="0.25">
      <c r="B18" t="s">
        <v>0</v>
      </c>
      <c r="C18" t="str">
        <f t="shared" si="0"/>
        <v>cuaresma</v>
      </c>
      <c r="D18" t="s">
        <v>2</v>
      </c>
      <c r="E18" s="2">
        <f t="shared" ref="E18:E22" si="6">E17</f>
        <v>3</v>
      </c>
      <c r="F18" t="s">
        <v>4</v>
      </c>
      <c r="H18" s="1" t="str">
        <f t="shared" si="5"/>
        <v>tcs03martes</v>
      </c>
      <c r="I18" t="s">
        <v>15</v>
      </c>
    </row>
    <row r="19" spans="2:9" x14ac:dyDescent="0.25">
      <c r="B19" t="s">
        <v>0</v>
      </c>
      <c r="C19" t="str">
        <f t="shared" si="0"/>
        <v>cuaresma</v>
      </c>
      <c r="D19" t="s">
        <v>2</v>
      </c>
      <c r="E19" s="2">
        <f t="shared" si="6"/>
        <v>3</v>
      </c>
      <c r="F19" t="s">
        <v>5</v>
      </c>
      <c r="H19" s="1" t="str">
        <f t="shared" si="5"/>
        <v>tcs03miercoles</v>
      </c>
      <c r="I19" t="s">
        <v>15</v>
      </c>
    </row>
    <row r="20" spans="2:9" x14ac:dyDescent="0.25">
      <c r="B20" t="s">
        <v>0</v>
      </c>
      <c r="C20" t="str">
        <f t="shared" si="0"/>
        <v>cuaresma</v>
      </c>
      <c r="D20" t="s">
        <v>2</v>
      </c>
      <c r="E20" s="2">
        <f t="shared" si="6"/>
        <v>3</v>
      </c>
      <c r="F20" t="s">
        <v>6</v>
      </c>
      <c r="H20" s="1" t="str">
        <f t="shared" si="5"/>
        <v>tcs03jueves</v>
      </c>
      <c r="I20" t="s">
        <v>15</v>
      </c>
    </row>
    <row r="21" spans="2:9" x14ac:dyDescent="0.25">
      <c r="B21" t="s">
        <v>0</v>
      </c>
      <c r="C21" t="str">
        <f t="shared" si="0"/>
        <v>cuaresma</v>
      </c>
      <c r="D21" t="s">
        <v>2</v>
      </c>
      <c r="E21" s="2">
        <f t="shared" si="6"/>
        <v>3</v>
      </c>
      <c r="F21" t="s">
        <v>7</v>
      </c>
      <c r="H21" s="1" t="str">
        <f t="shared" si="5"/>
        <v>tcs03viernes</v>
      </c>
      <c r="I21" t="s">
        <v>15</v>
      </c>
    </row>
    <row r="22" spans="2:9" x14ac:dyDescent="0.25">
      <c r="B22" t="s">
        <v>0</v>
      </c>
      <c r="C22" t="str">
        <f t="shared" si="0"/>
        <v>cuaresma</v>
      </c>
      <c r="D22" t="s">
        <v>2</v>
      </c>
      <c r="E22" s="2">
        <f t="shared" si="6"/>
        <v>3</v>
      </c>
      <c r="F22" t="s">
        <v>8</v>
      </c>
      <c r="H22" s="1" t="str">
        <f t="shared" si="5"/>
        <v>tcs03sabado</v>
      </c>
      <c r="I22" t="s">
        <v>15</v>
      </c>
    </row>
    <row r="23" spans="2:9" x14ac:dyDescent="0.25">
      <c r="B23" t="s">
        <v>0</v>
      </c>
      <c r="C23" t="str">
        <f t="shared" si="0"/>
        <v>cuaresma</v>
      </c>
      <c r="D23" t="s">
        <v>2</v>
      </c>
      <c r="E23" s="2">
        <f>+E22+1</f>
        <v>4</v>
      </c>
      <c r="F23" t="s">
        <v>9</v>
      </c>
      <c r="H23" s="1" t="str">
        <f>_xlfn.CONCAT(LEFT(B23,1),LEFT(C23,1),LEFT(D23,1),"0",E23,F23)</f>
        <v>tcs04domingo</v>
      </c>
      <c r="I23" t="s">
        <v>15</v>
      </c>
    </row>
    <row r="24" spans="2:9" x14ac:dyDescent="0.25">
      <c r="B24" t="s">
        <v>0</v>
      </c>
      <c r="C24" t="str">
        <f>C23</f>
        <v>cuaresma</v>
      </c>
      <c r="D24" t="s">
        <v>2</v>
      </c>
      <c r="E24" s="2">
        <f>E23</f>
        <v>4</v>
      </c>
      <c r="F24" t="s">
        <v>3</v>
      </c>
      <c r="H24" s="1" t="str">
        <f t="shared" ref="H24:H29" si="7">_xlfn.CONCAT(LEFT(B24,1),LEFT(C24,1),LEFT(D24,1),"0",E24,F24)</f>
        <v>tcs04lunes</v>
      </c>
      <c r="I24" t="s">
        <v>15</v>
      </c>
    </row>
    <row r="25" spans="2:9" x14ac:dyDescent="0.25">
      <c r="B25" t="s">
        <v>0</v>
      </c>
      <c r="C25" t="str">
        <f t="shared" ref="C25:C88" si="8">C24</f>
        <v>cuaresma</v>
      </c>
      <c r="D25" t="s">
        <v>2</v>
      </c>
      <c r="E25" s="2">
        <f t="shared" ref="E25:E29" si="9">E24</f>
        <v>4</v>
      </c>
      <c r="F25" t="s">
        <v>4</v>
      </c>
      <c r="H25" s="1" t="str">
        <f t="shared" si="7"/>
        <v>tcs04martes</v>
      </c>
      <c r="I25" t="s">
        <v>15</v>
      </c>
    </row>
    <row r="26" spans="2:9" x14ac:dyDescent="0.25">
      <c r="B26" t="s">
        <v>0</v>
      </c>
      <c r="C26" t="str">
        <f t="shared" si="8"/>
        <v>cuaresma</v>
      </c>
      <c r="D26" t="s">
        <v>2</v>
      </c>
      <c r="E26" s="2">
        <f t="shared" si="9"/>
        <v>4</v>
      </c>
      <c r="F26" t="s">
        <v>5</v>
      </c>
      <c r="H26" s="1" t="str">
        <f t="shared" si="7"/>
        <v>tcs04miercoles</v>
      </c>
      <c r="I26" t="s">
        <v>15</v>
      </c>
    </row>
    <row r="27" spans="2:9" x14ac:dyDescent="0.25">
      <c r="B27" t="s">
        <v>0</v>
      </c>
      <c r="C27" t="str">
        <f t="shared" si="8"/>
        <v>cuaresma</v>
      </c>
      <c r="D27" t="s">
        <v>2</v>
      </c>
      <c r="E27" s="2">
        <f t="shared" si="9"/>
        <v>4</v>
      </c>
      <c r="F27" t="s">
        <v>6</v>
      </c>
      <c r="H27" s="1" t="str">
        <f t="shared" si="7"/>
        <v>tcs04jueves</v>
      </c>
      <c r="I27" t="s">
        <v>15</v>
      </c>
    </row>
    <row r="28" spans="2:9" x14ac:dyDescent="0.25">
      <c r="B28" t="s">
        <v>0</v>
      </c>
      <c r="C28" t="str">
        <f t="shared" si="8"/>
        <v>cuaresma</v>
      </c>
      <c r="D28" t="s">
        <v>2</v>
      </c>
      <c r="E28" s="2">
        <f t="shared" si="9"/>
        <v>4</v>
      </c>
      <c r="F28" t="s">
        <v>7</v>
      </c>
      <c r="H28" s="1" t="str">
        <f t="shared" si="7"/>
        <v>tcs04viernes</v>
      </c>
      <c r="I28" t="s">
        <v>15</v>
      </c>
    </row>
    <row r="29" spans="2:9" x14ac:dyDescent="0.25">
      <c r="B29" t="s">
        <v>0</v>
      </c>
      <c r="C29" t="str">
        <f t="shared" si="8"/>
        <v>cuaresma</v>
      </c>
      <c r="D29" t="s">
        <v>2</v>
      </c>
      <c r="E29" s="2">
        <f t="shared" si="9"/>
        <v>4</v>
      </c>
      <c r="F29" t="s">
        <v>8</v>
      </c>
      <c r="H29" s="1" t="str">
        <f t="shared" si="7"/>
        <v>tcs04sabado</v>
      </c>
      <c r="I29" t="s">
        <v>15</v>
      </c>
    </row>
    <row r="30" spans="2:9" x14ac:dyDescent="0.25">
      <c r="B30" t="s">
        <v>0</v>
      </c>
      <c r="C30" t="str">
        <f t="shared" si="8"/>
        <v>cuaresma</v>
      </c>
      <c r="D30" t="s">
        <v>2</v>
      </c>
      <c r="E30" s="2">
        <f>+E29+1</f>
        <v>5</v>
      </c>
      <c r="F30" t="s">
        <v>9</v>
      </c>
      <c r="H30" s="1" t="str">
        <f>_xlfn.CONCAT(LEFT(B30,1),LEFT(C30,1),LEFT(D30,1),"0",E30,F30)</f>
        <v>tcs05domingo</v>
      </c>
      <c r="I30" t="s">
        <v>15</v>
      </c>
    </row>
    <row r="31" spans="2:9" x14ac:dyDescent="0.25">
      <c r="B31" t="s">
        <v>0</v>
      </c>
      <c r="C31" t="str">
        <f t="shared" si="8"/>
        <v>cuaresma</v>
      </c>
      <c r="D31" t="s">
        <v>2</v>
      </c>
      <c r="E31" s="2">
        <f>E30</f>
        <v>5</v>
      </c>
      <c r="F31" t="s">
        <v>3</v>
      </c>
      <c r="H31" s="1" t="str">
        <f t="shared" ref="H31:H36" si="10">_xlfn.CONCAT(LEFT(B31,1),LEFT(C31,1),LEFT(D31,1),"0",E31,F31)</f>
        <v>tcs05lunes</v>
      </c>
      <c r="I31" t="s">
        <v>15</v>
      </c>
    </row>
    <row r="32" spans="2:9" x14ac:dyDescent="0.25">
      <c r="B32" t="s">
        <v>0</v>
      </c>
      <c r="C32" t="str">
        <f t="shared" si="8"/>
        <v>cuaresma</v>
      </c>
      <c r="D32" t="s">
        <v>2</v>
      </c>
      <c r="E32" s="2">
        <f t="shared" ref="E32:E36" si="11">E31</f>
        <v>5</v>
      </c>
      <c r="F32" t="s">
        <v>4</v>
      </c>
      <c r="H32" s="1" t="str">
        <f t="shared" si="10"/>
        <v>tcs05martes</v>
      </c>
      <c r="I32" t="s">
        <v>15</v>
      </c>
    </row>
    <row r="33" spans="2:9" x14ac:dyDescent="0.25">
      <c r="B33" t="s">
        <v>0</v>
      </c>
      <c r="C33" t="str">
        <f t="shared" si="8"/>
        <v>cuaresma</v>
      </c>
      <c r="D33" t="s">
        <v>2</v>
      </c>
      <c r="E33" s="2">
        <f t="shared" si="11"/>
        <v>5</v>
      </c>
      <c r="F33" t="s">
        <v>5</v>
      </c>
      <c r="H33" s="1" t="str">
        <f t="shared" si="10"/>
        <v>tcs05miercoles</v>
      </c>
      <c r="I33" t="s">
        <v>15</v>
      </c>
    </row>
    <row r="34" spans="2:9" x14ac:dyDescent="0.25">
      <c r="B34" t="s">
        <v>0</v>
      </c>
      <c r="C34" t="str">
        <f t="shared" si="8"/>
        <v>cuaresma</v>
      </c>
      <c r="D34" t="s">
        <v>2</v>
      </c>
      <c r="E34" s="2">
        <f t="shared" si="11"/>
        <v>5</v>
      </c>
      <c r="F34" t="s">
        <v>6</v>
      </c>
      <c r="H34" s="1" t="str">
        <f t="shared" si="10"/>
        <v>tcs05jueves</v>
      </c>
      <c r="I34" t="s">
        <v>15</v>
      </c>
    </row>
    <row r="35" spans="2:9" x14ac:dyDescent="0.25">
      <c r="B35" t="s">
        <v>0</v>
      </c>
      <c r="C35" t="str">
        <f t="shared" si="8"/>
        <v>cuaresma</v>
      </c>
      <c r="D35" t="s">
        <v>2</v>
      </c>
      <c r="E35" s="2">
        <f t="shared" si="11"/>
        <v>5</v>
      </c>
      <c r="F35" t="s">
        <v>7</v>
      </c>
      <c r="H35" s="1" t="str">
        <f t="shared" si="10"/>
        <v>tcs05viernes</v>
      </c>
      <c r="I35" t="s">
        <v>15</v>
      </c>
    </row>
    <row r="36" spans="2:9" x14ac:dyDescent="0.25">
      <c r="B36" t="s">
        <v>0</v>
      </c>
      <c r="C36" t="str">
        <f t="shared" si="8"/>
        <v>cuaresma</v>
      </c>
      <c r="D36" t="s">
        <v>2</v>
      </c>
      <c r="E36" s="2">
        <f t="shared" si="11"/>
        <v>5</v>
      </c>
      <c r="F36" t="s">
        <v>8</v>
      </c>
      <c r="H36" s="1" t="str">
        <f t="shared" si="10"/>
        <v>tcs05sabado</v>
      </c>
      <c r="I36" t="s">
        <v>15</v>
      </c>
    </row>
    <row r="37" spans="2:9" x14ac:dyDescent="0.25">
      <c r="B37" t="s">
        <v>0</v>
      </c>
      <c r="C37" t="str">
        <f t="shared" si="8"/>
        <v>cuaresma</v>
      </c>
      <c r="D37" t="s">
        <v>2</v>
      </c>
      <c r="E37" s="2">
        <f>+E36+1</f>
        <v>6</v>
      </c>
      <c r="F37" t="s">
        <v>9</v>
      </c>
      <c r="H37" s="1" t="str">
        <f>_xlfn.CONCAT(LEFT(B37,1),LEFT(C37,1),LEFT(D37,1),"0",E37,F37)</f>
        <v>tcs06domingo</v>
      </c>
      <c r="I37" t="s">
        <v>15</v>
      </c>
    </row>
    <row r="38" spans="2:9" x14ac:dyDescent="0.25">
      <c r="B38" t="s">
        <v>0</v>
      </c>
      <c r="C38" t="str">
        <f t="shared" si="8"/>
        <v>cuaresma</v>
      </c>
      <c r="D38" t="s">
        <v>2</v>
      </c>
      <c r="E38" s="2">
        <f>E37</f>
        <v>6</v>
      </c>
      <c r="F38" t="s">
        <v>3</v>
      </c>
      <c r="H38" s="1" t="str">
        <f t="shared" ref="H38:H43" si="12">_xlfn.CONCAT(LEFT(B38,1),LEFT(C38,1),LEFT(D38,1),"0",E38,F38)</f>
        <v>tcs06lunes</v>
      </c>
      <c r="I38" t="s">
        <v>15</v>
      </c>
    </row>
    <row r="39" spans="2:9" x14ac:dyDescent="0.25">
      <c r="B39" t="s">
        <v>0</v>
      </c>
      <c r="C39" t="str">
        <f t="shared" si="8"/>
        <v>cuaresma</v>
      </c>
      <c r="D39" t="s">
        <v>2</v>
      </c>
      <c r="E39" s="2">
        <f t="shared" ref="E39:E43" si="13">E38</f>
        <v>6</v>
      </c>
      <c r="F39" t="s">
        <v>4</v>
      </c>
      <c r="H39" s="1" t="str">
        <f t="shared" si="12"/>
        <v>tcs06martes</v>
      </c>
      <c r="I39" t="s">
        <v>15</v>
      </c>
    </row>
    <row r="40" spans="2:9" x14ac:dyDescent="0.25">
      <c r="B40" t="s">
        <v>0</v>
      </c>
      <c r="C40" t="str">
        <f t="shared" si="8"/>
        <v>cuaresma</v>
      </c>
      <c r="D40" t="s">
        <v>2</v>
      </c>
      <c r="E40" s="2">
        <f t="shared" si="13"/>
        <v>6</v>
      </c>
      <c r="F40" t="s">
        <v>5</v>
      </c>
      <c r="H40" s="1" t="str">
        <f t="shared" si="12"/>
        <v>tcs06miercoles</v>
      </c>
      <c r="I40" t="s">
        <v>15</v>
      </c>
    </row>
    <row r="41" spans="2:9" x14ac:dyDescent="0.25">
      <c r="B41" t="s">
        <v>0</v>
      </c>
      <c r="C41" t="str">
        <f t="shared" si="8"/>
        <v>cuaresma</v>
      </c>
      <c r="D41" t="s">
        <v>2</v>
      </c>
      <c r="E41" s="2">
        <f t="shared" si="13"/>
        <v>6</v>
      </c>
      <c r="F41" t="s">
        <v>6</v>
      </c>
      <c r="H41" s="1" t="str">
        <f t="shared" si="12"/>
        <v>tcs06jueves</v>
      </c>
      <c r="I41" t="s">
        <v>15</v>
      </c>
    </row>
    <row r="42" spans="2:9" x14ac:dyDescent="0.25">
      <c r="B42" t="s">
        <v>0</v>
      </c>
      <c r="C42" t="str">
        <f t="shared" si="8"/>
        <v>cuaresma</v>
      </c>
      <c r="D42" t="s">
        <v>2</v>
      </c>
      <c r="E42" s="2">
        <f t="shared" si="13"/>
        <v>6</v>
      </c>
      <c r="F42" t="s">
        <v>7</v>
      </c>
      <c r="H42" s="1" t="str">
        <f t="shared" si="12"/>
        <v>tcs06viernes</v>
      </c>
      <c r="I42" t="s">
        <v>15</v>
      </c>
    </row>
    <row r="43" spans="2:9" x14ac:dyDescent="0.25">
      <c r="B43" t="s">
        <v>0</v>
      </c>
      <c r="C43" t="str">
        <f t="shared" si="8"/>
        <v>cuaresma</v>
      </c>
      <c r="D43" t="s">
        <v>2</v>
      </c>
      <c r="E43" s="2">
        <f t="shared" si="13"/>
        <v>6</v>
      </c>
      <c r="F43" t="s">
        <v>8</v>
      </c>
      <c r="H43" s="1" t="str">
        <f t="shared" si="12"/>
        <v>tcs06sabado</v>
      </c>
      <c r="I43" t="s">
        <v>15</v>
      </c>
    </row>
    <row r="44" spans="2:9" x14ac:dyDescent="0.25">
      <c r="B44" t="s">
        <v>0</v>
      </c>
      <c r="C44" t="str">
        <f t="shared" si="8"/>
        <v>cuaresma</v>
      </c>
      <c r="D44" t="s">
        <v>2</v>
      </c>
      <c r="E44" s="2">
        <f>+E43+1</f>
        <v>7</v>
      </c>
      <c r="F44" t="s">
        <v>9</v>
      </c>
      <c r="H44" s="1" t="str">
        <f>_xlfn.CONCAT(LEFT(B44,1),LEFT(C44,1),LEFT(D44,1),"0",E44,F44)</f>
        <v>tcs07domingo</v>
      </c>
      <c r="I44" t="s">
        <v>15</v>
      </c>
    </row>
    <row r="45" spans="2:9" x14ac:dyDescent="0.25">
      <c r="B45" t="s">
        <v>0</v>
      </c>
      <c r="C45" t="str">
        <f t="shared" si="8"/>
        <v>cuaresma</v>
      </c>
      <c r="D45" t="s">
        <v>2</v>
      </c>
      <c r="E45" s="2">
        <f>E44</f>
        <v>7</v>
      </c>
      <c r="F45" t="s">
        <v>3</v>
      </c>
      <c r="H45" s="1" t="str">
        <f t="shared" ref="H45:H50" si="14">_xlfn.CONCAT(LEFT(B45,1),LEFT(C45,1),LEFT(D45,1),"0",E45,F45)</f>
        <v>tcs07lunes</v>
      </c>
      <c r="I45" t="s">
        <v>15</v>
      </c>
    </row>
    <row r="46" spans="2:9" x14ac:dyDescent="0.25">
      <c r="B46" t="s">
        <v>0</v>
      </c>
      <c r="C46" t="str">
        <f t="shared" si="8"/>
        <v>cuaresma</v>
      </c>
      <c r="D46" t="s">
        <v>2</v>
      </c>
      <c r="E46" s="2">
        <f t="shared" ref="E46:E50" si="15">E45</f>
        <v>7</v>
      </c>
      <c r="F46" t="s">
        <v>4</v>
      </c>
      <c r="H46" s="1" t="str">
        <f t="shared" si="14"/>
        <v>tcs07martes</v>
      </c>
      <c r="I46" t="s">
        <v>15</v>
      </c>
    </row>
    <row r="47" spans="2:9" x14ac:dyDescent="0.25">
      <c r="B47" t="s">
        <v>0</v>
      </c>
      <c r="C47" t="str">
        <f t="shared" si="8"/>
        <v>cuaresma</v>
      </c>
      <c r="D47" t="s">
        <v>2</v>
      </c>
      <c r="E47" s="2">
        <f t="shared" si="15"/>
        <v>7</v>
      </c>
      <c r="F47" t="s">
        <v>5</v>
      </c>
      <c r="H47" s="1" t="str">
        <f t="shared" si="14"/>
        <v>tcs07miercoles</v>
      </c>
      <c r="I47" t="s">
        <v>15</v>
      </c>
    </row>
    <row r="48" spans="2:9" x14ac:dyDescent="0.25">
      <c r="B48" t="s">
        <v>0</v>
      </c>
      <c r="C48" t="str">
        <f t="shared" si="8"/>
        <v>cuaresma</v>
      </c>
      <c r="D48" t="s">
        <v>2</v>
      </c>
      <c r="E48" s="2">
        <f t="shared" si="15"/>
        <v>7</v>
      </c>
      <c r="F48" t="s">
        <v>6</v>
      </c>
      <c r="H48" s="1" t="str">
        <f t="shared" si="14"/>
        <v>tcs07jueves</v>
      </c>
      <c r="I48" t="s">
        <v>15</v>
      </c>
    </row>
    <row r="49" spans="2:9" x14ac:dyDescent="0.25">
      <c r="B49" t="s">
        <v>0</v>
      </c>
      <c r="C49" t="str">
        <f t="shared" si="8"/>
        <v>cuaresma</v>
      </c>
      <c r="D49" t="s">
        <v>2</v>
      </c>
      <c r="E49" s="2">
        <f t="shared" si="15"/>
        <v>7</v>
      </c>
      <c r="F49" t="s">
        <v>7</v>
      </c>
      <c r="H49" s="1" t="str">
        <f t="shared" si="14"/>
        <v>tcs07viernes</v>
      </c>
      <c r="I49" t="s">
        <v>15</v>
      </c>
    </row>
    <row r="50" spans="2:9" x14ac:dyDescent="0.25">
      <c r="B50" t="s">
        <v>0</v>
      </c>
      <c r="C50" t="str">
        <f t="shared" si="8"/>
        <v>cuaresma</v>
      </c>
      <c r="D50" t="s">
        <v>2</v>
      </c>
      <c r="E50" s="2">
        <f t="shared" si="15"/>
        <v>7</v>
      </c>
      <c r="F50" t="s">
        <v>8</v>
      </c>
      <c r="H50" s="1" t="str">
        <f t="shared" si="14"/>
        <v>tcs07sabado</v>
      </c>
      <c r="I50" t="s">
        <v>15</v>
      </c>
    </row>
    <row r="51" spans="2:9" x14ac:dyDescent="0.25">
      <c r="B51" t="s">
        <v>0</v>
      </c>
      <c r="C51" t="str">
        <f t="shared" si="8"/>
        <v>cuaresma</v>
      </c>
      <c r="D51" t="s">
        <v>2</v>
      </c>
      <c r="E51" s="2">
        <f>+E50+1</f>
        <v>8</v>
      </c>
      <c r="F51" t="s">
        <v>9</v>
      </c>
      <c r="H51" s="1" t="str">
        <f>_xlfn.CONCAT(LEFT(B51,1),LEFT(C51,1),LEFT(D51,1),"0",E51,F51)</f>
        <v>tcs08domingo</v>
      </c>
      <c r="I51" t="s">
        <v>15</v>
      </c>
    </row>
    <row r="52" spans="2:9" x14ac:dyDescent="0.25">
      <c r="B52" t="s">
        <v>0</v>
      </c>
      <c r="C52" t="str">
        <f t="shared" si="8"/>
        <v>cuaresma</v>
      </c>
      <c r="D52" t="s">
        <v>2</v>
      </c>
      <c r="E52" s="2">
        <f>E51</f>
        <v>8</v>
      </c>
      <c r="F52" t="s">
        <v>3</v>
      </c>
      <c r="H52" s="1" t="str">
        <f t="shared" ref="H52:H57" si="16">_xlfn.CONCAT(LEFT(B52,1),LEFT(C52,1),LEFT(D52,1),"0",E52,F52)</f>
        <v>tcs08lunes</v>
      </c>
      <c r="I52" t="s">
        <v>15</v>
      </c>
    </row>
    <row r="53" spans="2:9" x14ac:dyDescent="0.25">
      <c r="B53" t="s">
        <v>0</v>
      </c>
      <c r="C53" t="str">
        <f t="shared" si="8"/>
        <v>cuaresma</v>
      </c>
      <c r="D53" t="s">
        <v>2</v>
      </c>
      <c r="E53" s="2">
        <f t="shared" ref="E53:E57" si="17">E52</f>
        <v>8</v>
      </c>
      <c r="F53" t="s">
        <v>4</v>
      </c>
      <c r="H53" s="1" t="str">
        <f t="shared" si="16"/>
        <v>tcs08martes</v>
      </c>
      <c r="I53" t="s">
        <v>15</v>
      </c>
    </row>
    <row r="54" spans="2:9" x14ac:dyDescent="0.25">
      <c r="B54" t="s">
        <v>0</v>
      </c>
      <c r="C54" t="str">
        <f t="shared" si="8"/>
        <v>cuaresma</v>
      </c>
      <c r="D54" t="s">
        <v>2</v>
      </c>
      <c r="E54" s="2">
        <f t="shared" si="17"/>
        <v>8</v>
      </c>
      <c r="F54" t="s">
        <v>5</v>
      </c>
      <c r="H54" s="1" t="str">
        <f t="shared" si="16"/>
        <v>tcs08miercoles</v>
      </c>
      <c r="I54" t="s">
        <v>15</v>
      </c>
    </row>
    <row r="55" spans="2:9" x14ac:dyDescent="0.25">
      <c r="B55" t="s">
        <v>0</v>
      </c>
      <c r="C55" t="str">
        <f t="shared" si="8"/>
        <v>cuaresma</v>
      </c>
      <c r="D55" t="s">
        <v>2</v>
      </c>
      <c r="E55" s="2">
        <f t="shared" si="17"/>
        <v>8</v>
      </c>
      <c r="F55" t="s">
        <v>6</v>
      </c>
      <c r="H55" s="1" t="str">
        <f t="shared" si="16"/>
        <v>tcs08jueves</v>
      </c>
      <c r="I55" t="s">
        <v>15</v>
      </c>
    </row>
    <row r="56" spans="2:9" x14ac:dyDescent="0.25">
      <c r="B56" t="s">
        <v>0</v>
      </c>
      <c r="C56" t="str">
        <f t="shared" si="8"/>
        <v>cuaresma</v>
      </c>
      <c r="D56" t="s">
        <v>2</v>
      </c>
      <c r="E56" s="2">
        <f t="shared" si="17"/>
        <v>8</v>
      </c>
      <c r="F56" t="s">
        <v>7</v>
      </c>
      <c r="H56" s="1" t="str">
        <f t="shared" si="16"/>
        <v>tcs08viernes</v>
      </c>
      <c r="I56" t="s">
        <v>15</v>
      </c>
    </row>
    <row r="57" spans="2:9" x14ac:dyDescent="0.25">
      <c r="B57" t="s">
        <v>0</v>
      </c>
      <c r="C57" t="str">
        <f t="shared" si="8"/>
        <v>cuaresma</v>
      </c>
      <c r="D57" t="s">
        <v>2</v>
      </c>
      <c r="E57" s="2">
        <f t="shared" si="17"/>
        <v>8</v>
      </c>
      <c r="F57" t="s">
        <v>8</v>
      </c>
      <c r="H57" s="1" t="str">
        <f t="shared" si="16"/>
        <v>tcs08sabado</v>
      </c>
      <c r="I57" t="s">
        <v>15</v>
      </c>
    </row>
    <row r="58" spans="2:9" x14ac:dyDescent="0.25">
      <c r="B58" t="s">
        <v>0</v>
      </c>
      <c r="C58" t="str">
        <f t="shared" si="8"/>
        <v>cuaresma</v>
      </c>
      <c r="D58" t="s">
        <v>2</v>
      </c>
      <c r="E58" s="2">
        <f>+E57+1</f>
        <v>9</v>
      </c>
      <c r="F58" t="s">
        <v>9</v>
      </c>
      <c r="H58" s="1" t="str">
        <f>_xlfn.CONCAT(LEFT(B58,1),LEFT(C58,1),LEFT(D58,1),"0",E58,F58)</f>
        <v>tcs09domingo</v>
      </c>
      <c r="I58" t="s">
        <v>15</v>
      </c>
    </row>
    <row r="59" spans="2:9" x14ac:dyDescent="0.25">
      <c r="B59" t="s">
        <v>0</v>
      </c>
      <c r="C59" t="str">
        <f t="shared" si="8"/>
        <v>cuaresma</v>
      </c>
      <c r="D59" t="s">
        <v>2</v>
      </c>
      <c r="E59" s="2">
        <f>E58</f>
        <v>9</v>
      </c>
      <c r="F59" t="s">
        <v>3</v>
      </c>
      <c r="H59" s="1" t="str">
        <f t="shared" ref="H59:H64" si="18">_xlfn.CONCAT(LEFT(B59,1),LEFT(C59,1),LEFT(D59,1),"0",E59,F59)</f>
        <v>tcs09lunes</v>
      </c>
      <c r="I59" t="s">
        <v>15</v>
      </c>
    </row>
    <row r="60" spans="2:9" x14ac:dyDescent="0.25">
      <c r="B60" t="s">
        <v>0</v>
      </c>
      <c r="C60" t="str">
        <f t="shared" si="8"/>
        <v>cuaresma</v>
      </c>
      <c r="D60" t="s">
        <v>2</v>
      </c>
      <c r="E60" s="2">
        <f t="shared" ref="E60:E64" si="19">E59</f>
        <v>9</v>
      </c>
      <c r="F60" t="s">
        <v>4</v>
      </c>
      <c r="H60" s="1" t="str">
        <f t="shared" si="18"/>
        <v>tcs09martes</v>
      </c>
      <c r="I60" t="s">
        <v>15</v>
      </c>
    </row>
    <row r="61" spans="2:9" x14ac:dyDescent="0.25">
      <c r="B61" t="s">
        <v>0</v>
      </c>
      <c r="C61" t="str">
        <f t="shared" si="8"/>
        <v>cuaresma</v>
      </c>
      <c r="D61" t="s">
        <v>2</v>
      </c>
      <c r="E61" s="2">
        <f t="shared" si="19"/>
        <v>9</v>
      </c>
      <c r="F61" t="s">
        <v>5</v>
      </c>
      <c r="H61" s="1" t="str">
        <f t="shared" si="18"/>
        <v>tcs09miercoles</v>
      </c>
      <c r="I61" t="s">
        <v>15</v>
      </c>
    </row>
    <row r="62" spans="2:9" x14ac:dyDescent="0.25">
      <c r="B62" t="s">
        <v>0</v>
      </c>
      <c r="C62" t="str">
        <f t="shared" si="8"/>
        <v>cuaresma</v>
      </c>
      <c r="D62" t="s">
        <v>2</v>
      </c>
      <c r="E62" s="2">
        <f t="shared" si="19"/>
        <v>9</v>
      </c>
      <c r="F62" t="s">
        <v>6</v>
      </c>
      <c r="H62" s="1" t="str">
        <f t="shared" si="18"/>
        <v>tcs09jueves</v>
      </c>
      <c r="I62" t="s">
        <v>15</v>
      </c>
    </row>
    <row r="63" spans="2:9" x14ac:dyDescent="0.25">
      <c r="B63" t="s">
        <v>0</v>
      </c>
      <c r="C63" t="str">
        <f t="shared" si="8"/>
        <v>cuaresma</v>
      </c>
      <c r="D63" t="s">
        <v>2</v>
      </c>
      <c r="E63" s="2">
        <f t="shared" si="19"/>
        <v>9</v>
      </c>
      <c r="F63" t="s">
        <v>7</v>
      </c>
      <c r="H63" s="1" t="str">
        <f t="shared" si="18"/>
        <v>tcs09viernes</v>
      </c>
      <c r="I63" t="s">
        <v>15</v>
      </c>
    </row>
    <row r="64" spans="2:9" x14ac:dyDescent="0.25">
      <c r="B64" t="s">
        <v>0</v>
      </c>
      <c r="C64" t="str">
        <f t="shared" si="8"/>
        <v>cuaresma</v>
      </c>
      <c r="D64" t="s">
        <v>2</v>
      </c>
      <c r="E64" s="2">
        <f t="shared" si="19"/>
        <v>9</v>
      </c>
      <c r="F64" t="s">
        <v>8</v>
      </c>
      <c r="H64" s="1" t="str">
        <f t="shared" si="18"/>
        <v>tcs09sabado</v>
      </c>
      <c r="I64" t="s">
        <v>15</v>
      </c>
    </row>
    <row r="65" spans="2:9" x14ac:dyDescent="0.25">
      <c r="B65" t="s">
        <v>0</v>
      </c>
      <c r="C65" t="str">
        <f t="shared" si="8"/>
        <v>cuaresma</v>
      </c>
      <c r="D65" t="s">
        <v>2</v>
      </c>
      <c r="E65" s="2">
        <f>+E64+1</f>
        <v>10</v>
      </c>
      <c r="F65" t="s">
        <v>9</v>
      </c>
      <c r="H65" s="1" t="str">
        <f>_xlfn.CONCAT(LEFT(B65,1),LEFT(C65,1),LEFT(D65,1),"0",E65,F65)</f>
        <v>tcs010domingo</v>
      </c>
      <c r="I65" t="s">
        <v>15</v>
      </c>
    </row>
    <row r="66" spans="2:9" x14ac:dyDescent="0.25">
      <c r="B66" t="s">
        <v>0</v>
      </c>
      <c r="C66" t="str">
        <f t="shared" si="8"/>
        <v>cuaresma</v>
      </c>
      <c r="D66" t="s">
        <v>2</v>
      </c>
      <c r="E66" s="2">
        <f>E65</f>
        <v>10</v>
      </c>
      <c r="F66" t="s">
        <v>3</v>
      </c>
      <c r="H66" s="1" t="str">
        <f t="shared" ref="H66:H71" si="20">_xlfn.CONCAT(LEFT(B66,1),LEFT(C66,1),LEFT(D66,1),"0",E66,F66)</f>
        <v>tcs010lunes</v>
      </c>
      <c r="I66" t="s">
        <v>15</v>
      </c>
    </row>
    <row r="67" spans="2:9" x14ac:dyDescent="0.25">
      <c r="B67" t="s">
        <v>0</v>
      </c>
      <c r="C67" t="str">
        <f t="shared" si="8"/>
        <v>cuaresma</v>
      </c>
      <c r="D67" t="s">
        <v>2</v>
      </c>
      <c r="E67" s="2">
        <f t="shared" ref="E67:E71" si="21">E66</f>
        <v>10</v>
      </c>
      <c r="F67" t="s">
        <v>4</v>
      </c>
      <c r="H67" s="1" t="str">
        <f t="shared" si="20"/>
        <v>tcs010martes</v>
      </c>
      <c r="I67" t="s">
        <v>15</v>
      </c>
    </row>
    <row r="68" spans="2:9" x14ac:dyDescent="0.25">
      <c r="B68" t="s">
        <v>0</v>
      </c>
      <c r="C68" t="str">
        <f t="shared" si="8"/>
        <v>cuaresma</v>
      </c>
      <c r="D68" t="s">
        <v>2</v>
      </c>
      <c r="E68" s="2">
        <f t="shared" si="21"/>
        <v>10</v>
      </c>
      <c r="F68" t="s">
        <v>5</v>
      </c>
      <c r="H68" s="1" t="str">
        <f t="shared" si="20"/>
        <v>tcs010miercoles</v>
      </c>
      <c r="I68" t="s">
        <v>15</v>
      </c>
    </row>
    <row r="69" spans="2:9" x14ac:dyDescent="0.25">
      <c r="B69" t="s">
        <v>0</v>
      </c>
      <c r="C69" t="str">
        <f t="shared" si="8"/>
        <v>cuaresma</v>
      </c>
      <c r="D69" t="s">
        <v>2</v>
      </c>
      <c r="E69" s="2">
        <f t="shared" si="21"/>
        <v>10</v>
      </c>
      <c r="F69" t="s">
        <v>6</v>
      </c>
      <c r="H69" s="1" t="str">
        <f t="shared" si="20"/>
        <v>tcs010jueves</v>
      </c>
      <c r="I69" t="s">
        <v>15</v>
      </c>
    </row>
    <row r="70" spans="2:9" x14ac:dyDescent="0.25">
      <c r="B70" t="s">
        <v>0</v>
      </c>
      <c r="C70" t="str">
        <f t="shared" si="8"/>
        <v>cuaresma</v>
      </c>
      <c r="D70" t="s">
        <v>2</v>
      </c>
      <c r="E70" s="2">
        <f t="shared" si="21"/>
        <v>10</v>
      </c>
      <c r="F70" t="s">
        <v>7</v>
      </c>
      <c r="H70" s="1" t="str">
        <f t="shared" si="20"/>
        <v>tcs010viernes</v>
      </c>
      <c r="I70" t="s">
        <v>15</v>
      </c>
    </row>
    <row r="71" spans="2:9" x14ac:dyDescent="0.25">
      <c r="B71" t="s">
        <v>0</v>
      </c>
      <c r="C71" t="str">
        <f t="shared" si="8"/>
        <v>cuaresma</v>
      </c>
      <c r="D71" t="s">
        <v>2</v>
      </c>
      <c r="E71" s="2">
        <f t="shared" si="21"/>
        <v>10</v>
      </c>
      <c r="F71" t="s">
        <v>8</v>
      </c>
      <c r="H71" s="1" t="str">
        <f t="shared" si="20"/>
        <v>tcs010sabado</v>
      </c>
      <c r="I71" t="s">
        <v>15</v>
      </c>
    </row>
    <row r="72" spans="2:9" x14ac:dyDescent="0.25">
      <c r="B72" t="s">
        <v>0</v>
      </c>
      <c r="C72" t="str">
        <f t="shared" si="8"/>
        <v>cuaresma</v>
      </c>
      <c r="D72" t="s">
        <v>2</v>
      </c>
      <c r="E72" s="2">
        <f>+E71+1</f>
        <v>11</v>
      </c>
      <c r="F72" t="s">
        <v>9</v>
      </c>
      <c r="H72" s="1" t="str">
        <f>_xlfn.CONCAT(LEFT(B72,1),LEFT(C72,1),LEFT(D72,1),"0",E72,F72)</f>
        <v>tcs011domingo</v>
      </c>
      <c r="I72" t="s">
        <v>15</v>
      </c>
    </row>
    <row r="73" spans="2:9" x14ac:dyDescent="0.25">
      <c r="B73" t="s">
        <v>0</v>
      </c>
      <c r="C73" t="str">
        <f t="shared" si="8"/>
        <v>cuaresma</v>
      </c>
      <c r="D73" t="s">
        <v>2</v>
      </c>
      <c r="E73" s="2">
        <f>E72</f>
        <v>11</v>
      </c>
      <c r="F73" t="s">
        <v>3</v>
      </c>
      <c r="H73" s="1" t="str">
        <f t="shared" ref="H73:H78" si="22">_xlfn.CONCAT(LEFT(B73,1),LEFT(C73,1),LEFT(D73,1),"0",E73,F73)</f>
        <v>tcs011lunes</v>
      </c>
      <c r="I73" t="s">
        <v>15</v>
      </c>
    </row>
    <row r="74" spans="2:9" x14ac:dyDescent="0.25">
      <c r="B74" t="s">
        <v>0</v>
      </c>
      <c r="C74" t="str">
        <f t="shared" si="8"/>
        <v>cuaresma</v>
      </c>
      <c r="D74" t="s">
        <v>2</v>
      </c>
      <c r="E74" s="2">
        <f t="shared" ref="E74:E78" si="23">E73</f>
        <v>11</v>
      </c>
      <c r="F74" t="s">
        <v>4</v>
      </c>
      <c r="H74" s="1" t="str">
        <f t="shared" si="22"/>
        <v>tcs011martes</v>
      </c>
      <c r="I74" t="s">
        <v>15</v>
      </c>
    </row>
    <row r="75" spans="2:9" x14ac:dyDescent="0.25">
      <c r="B75" t="s">
        <v>0</v>
      </c>
      <c r="C75" t="str">
        <f t="shared" si="8"/>
        <v>cuaresma</v>
      </c>
      <c r="D75" t="s">
        <v>2</v>
      </c>
      <c r="E75" s="2">
        <f t="shared" si="23"/>
        <v>11</v>
      </c>
      <c r="F75" t="s">
        <v>5</v>
      </c>
      <c r="H75" s="1" t="str">
        <f t="shared" si="22"/>
        <v>tcs011miercoles</v>
      </c>
      <c r="I75" t="s">
        <v>15</v>
      </c>
    </row>
    <row r="76" spans="2:9" x14ac:dyDescent="0.25">
      <c r="B76" t="s">
        <v>0</v>
      </c>
      <c r="C76" t="str">
        <f t="shared" si="8"/>
        <v>cuaresma</v>
      </c>
      <c r="D76" t="s">
        <v>2</v>
      </c>
      <c r="E76" s="2">
        <f t="shared" si="23"/>
        <v>11</v>
      </c>
      <c r="F76" t="s">
        <v>6</v>
      </c>
      <c r="H76" s="1" t="str">
        <f t="shared" si="22"/>
        <v>tcs011jueves</v>
      </c>
      <c r="I76" t="s">
        <v>15</v>
      </c>
    </row>
    <row r="77" spans="2:9" x14ac:dyDescent="0.25">
      <c r="B77" t="s">
        <v>0</v>
      </c>
      <c r="C77" t="str">
        <f t="shared" si="8"/>
        <v>cuaresma</v>
      </c>
      <c r="D77" t="s">
        <v>2</v>
      </c>
      <c r="E77" s="2">
        <f t="shared" si="23"/>
        <v>11</v>
      </c>
      <c r="F77" t="s">
        <v>7</v>
      </c>
      <c r="H77" s="1" t="str">
        <f t="shared" si="22"/>
        <v>tcs011viernes</v>
      </c>
      <c r="I77" t="s">
        <v>15</v>
      </c>
    </row>
    <row r="78" spans="2:9" x14ac:dyDescent="0.25">
      <c r="B78" t="s">
        <v>0</v>
      </c>
      <c r="C78" t="str">
        <f t="shared" si="8"/>
        <v>cuaresma</v>
      </c>
      <c r="D78" t="s">
        <v>2</v>
      </c>
      <c r="E78" s="2">
        <f t="shared" si="23"/>
        <v>11</v>
      </c>
      <c r="F78" t="s">
        <v>8</v>
      </c>
      <c r="H78" s="1" t="str">
        <f t="shared" si="22"/>
        <v>tcs011sabado</v>
      </c>
      <c r="I78" t="s">
        <v>15</v>
      </c>
    </row>
    <row r="79" spans="2:9" x14ac:dyDescent="0.25">
      <c r="B79" t="s">
        <v>0</v>
      </c>
      <c r="C79" t="str">
        <f t="shared" si="8"/>
        <v>cuaresma</v>
      </c>
      <c r="D79" t="s">
        <v>2</v>
      </c>
      <c r="E79" s="2">
        <f>+E78+1</f>
        <v>12</v>
      </c>
      <c r="F79" t="s">
        <v>9</v>
      </c>
      <c r="H79" s="1" t="str">
        <f>_xlfn.CONCAT(LEFT(B79,1),LEFT(C79,1),LEFT(D79,1),"0",E79,F79)</f>
        <v>tcs012domingo</v>
      </c>
      <c r="I79" t="s">
        <v>15</v>
      </c>
    </row>
    <row r="80" spans="2:9" x14ac:dyDescent="0.25">
      <c r="B80" t="s">
        <v>0</v>
      </c>
      <c r="C80" t="str">
        <f t="shared" si="8"/>
        <v>cuaresma</v>
      </c>
      <c r="D80" t="s">
        <v>2</v>
      </c>
      <c r="E80" s="2">
        <f>E79</f>
        <v>12</v>
      </c>
      <c r="F80" t="s">
        <v>3</v>
      </c>
      <c r="H80" s="1" t="str">
        <f t="shared" ref="H80:H85" si="24">_xlfn.CONCAT(LEFT(B80,1),LEFT(C80,1),LEFT(D80,1),"0",E80,F80)</f>
        <v>tcs012lunes</v>
      </c>
      <c r="I80" t="s">
        <v>15</v>
      </c>
    </row>
    <row r="81" spans="2:9" x14ac:dyDescent="0.25">
      <c r="B81" t="s">
        <v>0</v>
      </c>
      <c r="C81" t="str">
        <f t="shared" si="8"/>
        <v>cuaresma</v>
      </c>
      <c r="D81" t="s">
        <v>2</v>
      </c>
      <c r="E81" s="2">
        <f t="shared" ref="E81:E85" si="25">E80</f>
        <v>12</v>
      </c>
      <c r="F81" t="s">
        <v>4</v>
      </c>
      <c r="H81" s="1" t="str">
        <f t="shared" si="24"/>
        <v>tcs012martes</v>
      </c>
      <c r="I81" t="s">
        <v>15</v>
      </c>
    </row>
    <row r="82" spans="2:9" x14ac:dyDescent="0.25">
      <c r="B82" t="s">
        <v>0</v>
      </c>
      <c r="C82" t="str">
        <f t="shared" si="8"/>
        <v>cuaresma</v>
      </c>
      <c r="D82" t="s">
        <v>2</v>
      </c>
      <c r="E82" s="2">
        <f t="shared" si="25"/>
        <v>12</v>
      </c>
      <c r="F82" t="s">
        <v>5</v>
      </c>
      <c r="H82" s="1" t="str">
        <f t="shared" si="24"/>
        <v>tcs012miercoles</v>
      </c>
      <c r="I82" t="s">
        <v>15</v>
      </c>
    </row>
    <row r="83" spans="2:9" x14ac:dyDescent="0.25">
      <c r="B83" t="s">
        <v>0</v>
      </c>
      <c r="C83" t="str">
        <f t="shared" si="8"/>
        <v>cuaresma</v>
      </c>
      <c r="D83" t="s">
        <v>2</v>
      </c>
      <c r="E83" s="2">
        <f t="shared" si="25"/>
        <v>12</v>
      </c>
      <c r="F83" t="s">
        <v>6</v>
      </c>
      <c r="H83" s="1" t="str">
        <f t="shared" si="24"/>
        <v>tcs012jueves</v>
      </c>
      <c r="I83" t="s">
        <v>15</v>
      </c>
    </row>
    <row r="84" spans="2:9" x14ac:dyDescent="0.25">
      <c r="B84" t="s">
        <v>0</v>
      </c>
      <c r="C84" t="str">
        <f t="shared" si="8"/>
        <v>cuaresma</v>
      </c>
      <c r="D84" t="s">
        <v>2</v>
      </c>
      <c r="E84" s="2">
        <f t="shared" si="25"/>
        <v>12</v>
      </c>
      <c r="F84" t="s">
        <v>7</v>
      </c>
      <c r="H84" s="1" t="str">
        <f t="shared" si="24"/>
        <v>tcs012viernes</v>
      </c>
      <c r="I84" t="s">
        <v>15</v>
      </c>
    </row>
    <row r="85" spans="2:9" x14ac:dyDescent="0.25">
      <c r="B85" t="s">
        <v>0</v>
      </c>
      <c r="C85" t="str">
        <f t="shared" si="8"/>
        <v>cuaresma</v>
      </c>
      <c r="D85" t="s">
        <v>2</v>
      </c>
      <c r="E85" s="2">
        <f t="shared" si="25"/>
        <v>12</v>
      </c>
      <c r="F85" t="s">
        <v>8</v>
      </c>
      <c r="H85" s="1" t="str">
        <f t="shared" si="24"/>
        <v>tcs012sabado</v>
      </c>
      <c r="I85" t="s">
        <v>15</v>
      </c>
    </row>
    <row r="86" spans="2:9" x14ac:dyDescent="0.25">
      <c r="B86" t="s">
        <v>0</v>
      </c>
      <c r="C86" t="str">
        <f t="shared" si="8"/>
        <v>cuaresma</v>
      </c>
      <c r="D86" t="s">
        <v>2</v>
      </c>
      <c r="E86" s="2">
        <f>+E85+1</f>
        <v>13</v>
      </c>
      <c r="F86" t="s">
        <v>9</v>
      </c>
      <c r="H86" s="1" t="str">
        <f>_xlfn.CONCAT(LEFT(B86,1),LEFT(C86,1),LEFT(D86,1),"0",E86,F86)</f>
        <v>tcs013domingo</v>
      </c>
      <c r="I86" t="s">
        <v>15</v>
      </c>
    </row>
    <row r="87" spans="2:9" x14ac:dyDescent="0.25">
      <c r="B87" t="s">
        <v>0</v>
      </c>
      <c r="C87" t="str">
        <f t="shared" si="8"/>
        <v>cuaresma</v>
      </c>
      <c r="D87" t="s">
        <v>2</v>
      </c>
      <c r="E87" s="2">
        <f>E86</f>
        <v>13</v>
      </c>
      <c r="F87" t="s">
        <v>3</v>
      </c>
      <c r="H87" s="1" t="str">
        <f t="shared" ref="H87:H92" si="26">_xlfn.CONCAT(LEFT(B87,1),LEFT(C87,1),LEFT(D87,1),"0",E87,F87)</f>
        <v>tcs013lunes</v>
      </c>
      <c r="I87" t="s">
        <v>15</v>
      </c>
    </row>
    <row r="88" spans="2:9" x14ac:dyDescent="0.25">
      <c r="B88" t="s">
        <v>0</v>
      </c>
      <c r="C88" t="str">
        <f t="shared" si="8"/>
        <v>cuaresma</v>
      </c>
      <c r="D88" t="s">
        <v>2</v>
      </c>
      <c r="E88" s="2">
        <f t="shared" ref="E88:E92" si="27">E87</f>
        <v>13</v>
      </c>
      <c r="F88" t="s">
        <v>4</v>
      </c>
      <c r="H88" s="1" t="str">
        <f t="shared" si="26"/>
        <v>tcs013martes</v>
      </c>
      <c r="I88" t="s">
        <v>15</v>
      </c>
    </row>
    <row r="89" spans="2:9" x14ac:dyDescent="0.25">
      <c r="B89" t="s">
        <v>0</v>
      </c>
      <c r="C89" t="str">
        <f t="shared" ref="C89:C152" si="28">C88</f>
        <v>cuaresma</v>
      </c>
      <c r="D89" t="s">
        <v>2</v>
      </c>
      <c r="E89" s="2">
        <f t="shared" si="27"/>
        <v>13</v>
      </c>
      <c r="F89" t="s">
        <v>5</v>
      </c>
      <c r="H89" s="1" t="str">
        <f t="shared" si="26"/>
        <v>tcs013miercoles</v>
      </c>
      <c r="I89" t="s">
        <v>15</v>
      </c>
    </row>
    <row r="90" spans="2:9" x14ac:dyDescent="0.25">
      <c r="B90" t="s">
        <v>0</v>
      </c>
      <c r="C90" t="str">
        <f t="shared" si="28"/>
        <v>cuaresma</v>
      </c>
      <c r="D90" t="s">
        <v>2</v>
      </c>
      <c r="E90" s="2">
        <f t="shared" si="27"/>
        <v>13</v>
      </c>
      <c r="F90" t="s">
        <v>6</v>
      </c>
      <c r="H90" s="1" t="str">
        <f t="shared" si="26"/>
        <v>tcs013jueves</v>
      </c>
      <c r="I90" t="s">
        <v>15</v>
      </c>
    </row>
    <row r="91" spans="2:9" x14ac:dyDescent="0.25">
      <c r="B91" t="s">
        <v>0</v>
      </c>
      <c r="C91" t="str">
        <f t="shared" si="28"/>
        <v>cuaresma</v>
      </c>
      <c r="D91" t="s">
        <v>2</v>
      </c>
      <c r="E91" s="2">
        <f t="shared" si="27"/>
        <v>13</v>
      </c>
      <c r="F91" t="s">
        <v>7</v>
      </c>
      <c r="H91" s="1" t="str">
        <f t="shared" si="26"/>
        <v>tcs013viernes</v>
      </c>
      <c r="I91" t="s">
        <v>15</v>
      </c>
    </row>
    <row r="92" spans="2:9" x14ac:dyDescent="0.25">
      <c r="B92" t="s">
        <v>0</v>
      </c>
      <c r="C92" t="str">
        <f t="shared" si="28"/>
        <v>cuaresma</v>
      </c>
      <c r="D92" t="s">
        <v>2</v>
      </c>
      <c r="E92" s="2">
        <f t="shared" si="27"/>
        <v>13</v>
      </c>
      <c r="F92" t="s">
        <v>8</v>
      </c>
      <c r="H92" s="1" t="str">
        <f t="shared" si="26"/>
        <v>tcs013sabado</v>
      </c>
      <c r="I92" t="s">
        <v>15</v>
      </c>
    </row>
    <row r="93" spans="2:9" x14ac:dyDescent="0.25">
      <c r="B93" t="s">
        <v>0</v>
      </c>
      <c r="C93" t="str">
        <f t="shared" si="28"/>
        <v>cuaresma</v>
      </c>
      <c r="D93" t="s">
        <v>2</v>
      </c>
      <c r="E93" s="2">
        <f>+E92+1</f>
        <v>14</v>
      </c>
      <c r="F93" t="s">
        <v>9</v>
      </c>
      <c r="H93" s="1" t="str">
        <f>_xlfn.CONCAT(LEFT(B93,1),LEFT(C93,1),LEFT(D93,1),"0",E93,F93)</f>
        <v>tcs014domingo</v>
      </c>
      <c r="I93" t="s">
        <v>15</v>
      </c>
    </row>
    <row r="94" spans="2:9" x14ac:dyDescent="0.25">
      <c r="B94" t="s">
        <v>0</v>
      </c>
      <c r="C94" t="str">
        <f t="shared" si="28"/>
        <v>cuaresma</v>
      </c>
      <c r="D94" t="s">
        <v>2</v>
      </c>
      <c r="E94" s="2">
        <f>E93</f>
        <v>14</v>
      </c>
      <c r="F94" t="s">
        <v>3</v>
      </c>
      <c r="H94" s="1" t="str">
        <f t="shared" ref="H94:H99" si="29">_xlfn.CONCAT(LEFT(B94,1),LEFT(C94,1),LEFT(D94,1),"0",E94,F94)</f>
        <v>tcs014lunes</v>
      </c>
      <c r="I94" t="s">
        <v>15</v>
      </c>
    </row>
    <row r="95" spans="2:9" x14ac:dyDescent="0.25">
      <c r="B95" t="s">
        <v>0</v>
      </c>
      <c r="C95" t="str">
        <f t="shared" si="28"/>
        <v>cuaresma</v>
      </c>
      <c r="D95" t="s">
        <v>2</v>
      </c>
      <c r="E95" s="2">
        <f t="shared" ref="E95:E99" si="30">E94</f>
        <v>14</v>
      </c>
      <c r="F95" t="s">
        <v>4</v>
      </c>
      <c r="H95" s="1" t="str">
        <f t="shared" si="29"/>
        <v>tcs014martes</v>
      </c>
      <c r="I95" t="s">
        <v>15</v>
      </c>
    </row>
    <row r="96" spans="2:9" x14ac:dyDescent="0.25">
      <c r="B96" t="s">
        <v>0</v>
      </c>
      <c r="C96" t="str">
        <f t="shared" si="28"/>
        <v>cuaresma</v>
      </c>
      <c r="D96" t="s">
        <v>2</v>
      </c>
      <c r="E96" s="2">
        <f t="shared" si="30"/>
        <v>14</v>
      </c>
      <c r="F96" t="s">
        <v>5</v>
      </c>
      <c r="H96" s="1" t="str">
        <f t="shared" si="29"/>
        <v>tcs014miercoles</v>
      </c>
      <c r="I96" t="s">
        <v>15</v>
      </c>
    </row>
    <row r="97" spans="2:9" x14ac:dyDescent="0.25">
      <c r="B97" t="s">
        <v>0</v>
      </c>
      <c r="C97" t="str">
        <f t="shared" si="28"/>
        <v>cuaresma</v>
      </c>
      <c r="D97" t="s">
        <v>2</v>
      </c>
      <c r="E97" s="2">
        <f t="shared" si="30"/>
        <v>14</v>
      </c>
      <c r="F97" t="s">
        <v>6</v>
      </c>
      <c r="H97" s="1" t="str">
        <f t="shared" si="29"/>
        <v>tcs014jueves</v>
      </c>
      <c r="I97" t="s">
        <v>15</v>
      </c>
    </row>
    <row r="98" spans="2:9" x14ac:dyDescent="0.25">
      <c r="B98" t="s">
        <v>0</v>
      </c>
      <c r="C98" t="str">
        <f t="shared" si="28"/>
        <v>cuaresma</v>
      </c>
      <c r="D98" t="s">
        <v>2</v>
      </c>
      <c r="E98" s="2">
        <f t="shared" si="30"/>
        <v>14</v>
      </c>
      <c r="F98" t="s">
        <v>7</v>
      </c>
      <c r="H98" s="1" t="str">
        <f t="shared" si="29"/>
        <v>tcs014viernes</v>
      </c>
      <c r="I98" t="s">
        <v>15</v>
      </c>
    </row>
    <row r="99" spans="2:9" x14ac:dyDescent="0.25">
      <c r="B99" t="s">
        <v>0</v>
      </c>
      <c r="C99" t="str">
        <f t="shared" si="28"/>
        <v>cuaresma</v>
      </c>
      <c r="D99" t="s">
        <v>2</v>
      </c>
      <c r="E99" s="2">
        <f t="shared" si="30"/>
        <v>14</v>
      </c>
      <c r="F99" t="s">
        <v>8</v>
      </c>
      <c r="H99" s="1" t="str">
        <f t="shared" si="29"/>
        <v>tcs014sabado</v>
      </c>
      <c r="I99" t="s">
        <v>15</v>
      </c>
    </row>
    <row r="100" spans="2:9" x14ac:dyDescent="0.25">
      <c r="B100" t="s">
        <v>0</v>
      </c>
      <c r="C100" t="str">
        <f t="shared" si="28"/>
        <v>cuaresma</v>
      </c>
      <c r="D100" t="s">
        <v>2</v>
      </c>
      <c r="E100" s="2">
        <f>+E99+1</f>
        <v>15</v>
      </c>
      <c r="F100" t="s">
        <v>9</v>
      </c>
      <c r="H100" s="1" t="str">
        <f>_xlfn.CONCAT(LEFT(B100,1),LEFT(C100,1),LEFT(D100,1),"0",E100,F100)</f>
        <v>tcs015domingo</v>
      </c>
      <c r="I100" t="s">
        <v>15</v>
      </c>
    </row>
    <row r="101" spans="2:9" x14ac:dyDescent="0.25">
      <c r="B101" t="s">
        <v>0</v>
      </c>
      <c r="C101" t="str">
        <f t="shared" si="28"/>
        <v>cuaresma</v>
      </c>
      <c r="D101" t="s">
        <v>2</v>
      </c>
      <c r="E101" s="2">
        <f>E100</f>
        <v>15</v>
      </c>
      <c r="F101" t="s">
        <v>3</v>
      </c>
      <c r="H101" s="1" t="str">
        <f t="shared" ref="H101:H106" si="31">_xlfn.CONCAT(LEFT(B101,1),LEFT(C101,1),LEFT(D101,1),"0",E101,F101)</f>
        <v>tcs015lunes</v>
      </c>
      <c r="I101" t="s">
        <v>15</v>
      </c>
    </row>
    <row r="102" spans="2:9" x14ac:dyDescent="0.25">
      <c r="B102" t="s">
        <v>0</v>
      </c>
      <c r="C102" t="str">
        <f t="shared" si="28"/>
        <v>cuaresma</v>
      </c>
      <c r="D102" t="s">
        <v>2</v>
      </c>
      <c r="E102" s="2">
        <f t="shared" ref="E102:E106" si="32">E101</f>
        <v>15</v>
      </c>
      <c r="F102" t="s">
        <v>4</v>
      </c>
      <c r="H102" s="1" t="str">
        <f t="shared" si="31"/>
        <v>tcs015martes</v>
      </c>
      <c r="I102" t="s">
        <v>15</v>
      </c>
    </row>
    <row r="103" spans="2:9" x14ac:dyDescent="0.25">
      <c r="B103" t="s">
        <v>0</v>
      </c>
      <c r="C103" t="str">
        <f t="shared" si="28"/>
        <v>cuaresma</v>
      </c>
      <c r="D103" t="s">
        <v>2</v>
      </c>
      <c r="E103" s="2">
        <f t="shared" si="32"/>
        <v>15</v>
      </c>
      <c r="F103" t="s">
        <v>5</v>
      </c>
      <c r="H103" s="1" t="str">
        <f t="shared" si="31"/>
        <v>tcs015miercoles</v>
      </c>
      <c r="I103" t="s">
        <v>15</v>
      </c>
    </row>
    <row r="104" spans="2:9" x14ac:dyDescent="0.25">
      <c r="B104" t="s">
        <v>0</v>
      </c>
      <c r="C104" t="str">
        <f t="shared" si="28"/>
        <v>cuaresma</v>
      </c>
      <c r="D104" t="s">
        <v>2</v>
      </c>
      <c r="E104" s="2">
        <f t="shared" si="32"/>
        <v>15</v>
      </c>
      <c r="F104" t="s">
        <v>6</v>
      </c>
      <c r="H104" s="1" t="str">
        <f t="shared" si="31"/>
        <v>tcs015jueves</v>
      </c>
      <c r="I104" t="s">
        <v>15</v>
      </c>
    </row>
    <row r="105" spans="2:9" x14ac:dyDescent="0.25">
      <c r="B105" t="s">
        <v>0</v>
      </c>
      <c r="C105" t="str">
        <f t="shared" si="28"/>
        <v>cuaresma</v>
      </c>
      <c r="D105" t="s">
        <v>2</v>
      </c>
      <c r="E105" s="2">
        <f t="shared" si="32"/>
        <v>15</v>
      </c>
      <c r="F105" t="s">
        <v>7</v>
      </c>
      <c r="H105" s="1" t="str">
        <f t="shared" si="31"/>
        <v>tcs015viernes</v>
      </c>
      <c r="I105" t="s">
        <v>15</v>
      </c>
    </row>
    <row r="106" spans="2:9" x14ac:dyDescent="0.25">
      <c r="B106" t="s">
        <v>0</v>
      </c>
      <c r="C106" t="str">
        <f t="shared" si="28"/>
        <v>cuaresma</v>
      </c>
      <c r="D106" t="s">
        <v>2</v>
      </c>
      <c r="E106" s="2">
        <f t="shared" si="32"/>
        <v>15</v>
      </c>
      <c r="F106" t="s">
        <v>8</v>
      </c>
      <c r="H106" s="1" t="str">
        <f t="shared" si="31"/>
        <v>tcs015sabado</v>
      </c>
      <c r="I106" t="s">
        <v>15</v>
      </c>
    </row>
    <row r="107" spans="2:9" x14ac:dyDescent="0.25">
      <c r="B107" t="s">
        <v>0</v>
      </c>
      <c r="C107" t="str">
        <f t="shared" si="28"/>
        <v>cuaresma</v>
      </c>
      <c r="D107" t="s">
        <v>2</v>
      </c>
      <c r="E107" s="2">
        <f>+E106+1</f>
        <v>16</v>
      </c>
      <c r="F107" t="s">
        <v>9</v>
      </c>
      <c r="H107" s="1" t="str">
        <f>_xlfn.CONCAT(LEFT(B107,1),LEFT(C107,1),LEFT(D107,1),"0",E107,F107)</f>
        <v>tcs016domingo</v>
      </c>
      <c r="I107" t="s">
        <v>15</v>
      </c>
    </row>
    <row r="108" spans="2:9" x14ac:dyDescent="0.25">
      <c r="B108" t="s">
        <v>0</v>
      </c>
      <c r="C108" t="str">
        <f t="shared" si="28"/>
        <v>cuaresma</v>
      </c>
      <c r="D108" t="s">
        <v>2</v>
      </c>
      <c r="E108" s="2">
        <f>E107</f>
        <v>16</v>
      </c>
      <c r="F108" t="s">
        <v>3</v>
      </c>
      <c r="H108" s="1" t="str">
        <f t="shared" ref="H108:H113" si="33">_xlfn.CONCAT(LEFT(B108,1),LEFT(C108,1),LEFT(D108,1),"0",E108,F108)</f>
        <v>tcs016lunes</v>
      </c>
      <c r="I108" t="s">
        <v>15</v>
      </c>
    </row>
    <row r="109" spans="2:9" x14ac:dyDescent="0.25">
      <c r="B109" t="s">
        <v>0</v>
      </c>
      <c r="C109" t="str">
        <f t="shared" si="28"/>
        <v>cuaresma</v>
      </c>
      <c r="D109" t="s">
        <v>2</v>
      </c>
      <c r="E109" s="2">
        <f t="shared" ref="E109:E113" si="34">E108</f>
        <v>16</v>
      </c>
      <c r="F109" t="s">
        <v>4</v>
      </c>
      <c r="H109" s="1" t="str">
        <f t="shared" si="33"/>
        <v>tcs016martes</v>
      </c>
      <c r="I109" t="s">
        <v>15</v>
      </c>
    </row>
    <row r="110" spans="2:9" x14ac:dyDescent="0.25">
      <c r="B110" t="s">
        <v>0</v>
      </c>
      <c r="C110" t="str">
        <f t="shared" si="28"/>
        <v>cuaresma</v>
      </c>
      <c r="D110" t="s">
        <v>2</v>
      </c>
      <c r="E110" s="2">
        <f t="shared" si="34"/>
        <v>16</v>
      </c>
      <c r="F110" t="s">
        <v>5</v>
      </c>
      <c r="H110" s="1" t="str">
        <f t="shared" si="33"/>
        <v>tcs016miercoles</v>
      </c>
      <c r="I110" t="s">
        <v>15</v>
      </c>
    </row>
    <row r="111" spans="2:9" x14ac:dyDescent="0.25">
      <c r="B111" t="s">
        <v>0</v>
      </c>
      <c r="C111" t="str">
        <f t="shared" si="28"/>
        <v>cuaresma</v>
      </c>
      <c r="D111" t="s">
        <v>2</v>
      </c>
      <c r="E111" s="2">
        <f t="shared" si="34"/>
        <v>16</v>
      </c>
      <c r="F111" t="s">
        <v>6</v>
      </c>
      <c r="H111" s="1" t="str">
        <f t="shared" si="33"/>
        <v>tcs016jueves</v>
      </c>
      <c r="I111" t="s">
        <v>15</v>
      </c>
    </row>
    <row r="112" spans="2:9" x14ac:dyDescent="0.25">
      <c r="B112" t="s">
        <v>0</v>
      </c>
      <c r="C112" t="str">
        <f t="shared" si="28"/>
        <v>cuaresma</v>
      </c>
      <c r="D112" t="s">
        <v>2</v>
      </c>
      <c r="E112" s="2">
        <f t="shared" si="34"/>
        <v>16</v>
      </c>
      <c r="F112" t="s">
        <v>7</v>
      </c>
      <c r="H112" s="1" t="str">
        <f t="shared" si="33"/>
        <v>tcs016viernes</v>
      </c>
      <c r="I112" t="s">
        <v>15</v>
      </c>
    </row>
    <row r="113" spans="2:9" x14ac:dyDescent="0.25">
      <c r="B113" t="s">
        <v>0</v>
      </c>
      <c r="C113" t="str">
        <f t="shared" si="28"/>
        <v>cuaresma</v>
      </c>
      <c r="D113" t="s">
        <v>2</v>
      </c>
      <c r="E113" s="2">
        <f t="shared" si="34"/>
        <v>16</v>
      </c>
      <c r="F113" t="s">
        <v>8</v>
      </c>
      <c r="H113" s="1" t="str">
        <f t="shared" si="33"/>
        <v>tcs016sabado</v>
      </c>
      <c r="I113" t="s">
        <v>15</v>
      </c>
    </row>
    <row r="114" spans="2:9" x14ac:dyDescent="0.25">
      <c r="B114" t="s">
        <v>0</v>
      </c>
      <c r="C114" t="str">
        <f t="shared" si="28"/>
        <v>cuaresma</v>
      </c>
      <c r="D114" t="s">
        <v>2</v>
      </c>
      <c r="E114" s="2">
        <f>+E113+1</f>
        <v>17</v>
      </c>
      <c r="F114" t="s">
        <v>9</v>
      </c>
      <c r="H114" s="1" t="str">
        <f>_xlfn.CONCAT(LEFT(B114,1),LEFT(C114,1),LEFT(D114,1),"0",E114,F114)</f>
        <v>tcs017domingo</v>
      </c>
      <c r="I114" t="s">
        <v>15</v>
      </c>
    </row>
    <row r="115" spans="2:9" x14ac:dyDescent="0.25">
      <c r="B115" t="s">
        <v>0</v>
      </c>
      <c r="C115" t="str">
        <f t="shared" si="28"/>
        <v>cuaresma</v>
      </c>
      <c r="D115" t="s">
        <v>2</v>
      </c>
      <c r="E115" s="2">
        <f>E114</f>
        <v>17</v>
      </c>
      <c r="F115" t="s">
        <v>3</v>
      </c>
      <c r="H115" s="1" t="str">
        <f t="shared" ref="H115:H120" si="35">_xlfn.CONCAT(LEFT(B115,1),LEFT(C115,1),LEFT(D115,1),"0",E115,F115)</f>
        <v>tcs017lunes</v>
      </c>
      <c r="I115" t="s">
        <v>15</v>
      </c>
    </row>
    <row r="116" spans="2:9" x14ac:dyDescent="0.25">
      <c r="B116" t="s">
        <v>0</v>
      </c>
      <c r="C116" t="str">
        <f t="shared" si="28"/>
        <v>cuaresma</v>
      </c>
      <c r="D116" t="s">
        <v>2</v>
      </c>
      <c r="E116" s="2">
        <f t="shared" ref="E116:E120" si="36">E115</f>
        <v>17</v>
      </c>
      <c r="F116" t="s">
        <v>4</v>
      </c>
      <c r="H116" s="1" t="str">
        <f t="shared" si="35"/>
        <v>tcs017martes</v>
      </c>
      <c r="I116" t="s">
        <v>15</v>
      </c>
    </row>
    <row r="117" spans="2:9" x14ac:dyDescent="0.25">
      <c r="B117" t="s">
        <v>0</v>
      </c>
      <c r="C117" t="str">
        <f t="shared" si="28"/>
        <v>cuaresma</v>
      </c>
      <c r="D117" t="s">
        <v>2</v>
      </c>
      <c r="E117" s="2">
        <f t="shared" si="36"/>
        <v>17</v>
      </c>
      <c r="F117" t="s">
        <v>5</v>
      </c>
      <c r="H117" s="1" t="str">
        <f t="shared" si="35"/>
        <v>tcs017miercoles</v>
      </c>
      <c r="I117" t="s">
        <v>15</v>
      </c>
    </row>
    <row r="118" spans="2:9" x14ac:dyDescent="0.25">
      <c r="B118" t="s">
        <v>0</v>
      </c>
      <c r="C118" t="str">
        <f t="shared" si="28"/>
        <v>cuaresma</v>
      </c>
      <c r="D118" t="s">
        <v>2</v>
      </c>
      <c r="E118" s="2">
        <f t="shared" si="36"/>
        <v>17</v>
      </c>
      <c r="F118" t="s">
        <v>6</v>
      </c>
      <c r="H118" s="1" t="str">
        <f t="shared" si="35"/>
        <v>tcs017jueves</v>
      </c>
      <c r="I118" t="s">
        <v>15</v>
      </c>
    </row>
    <row r="119" spans="2:9" x14ac:dyDescent="0.25">
      <c r="B119" t="s">
        <v>0</v>
      </c>
      <c r="C119" t="str">
        <f t="shared" si="28"/>
        <v>cuaresma</v>
      </c>
      <c r="D119" t="s">
        <v>2</v>
      </c>
      <c r="E119" s="2">
        <f t="shared" si="36"/>
        <v>17</v>
      </c>
      <c r="F119" t="s">
        <v>7</v>
      </c>
      <c r="H119" s="1" t="str">
        <f t="shared" si="35"/>
        <v>tcs017viernes</v>
      </c>
      <c r="I119" t="s">
        <v>15</v>
      </c>
    </row>
    <row r="120" spans="2:9" x14ac:dyDescent="0.25">
      <c r="B120" t="s">
        <v>0</v>
      </c>
      <c r="C120" t="str">
        <f t="shared" si="28"/>
        <v>cuaresma</v>
      </c>
      <c r="D120" t="s">
        <v>2</v>
      </c>
      <c r="E120" s="2">
        <f t="shared" si="36"/>
        <v>17</v>
      </c>
      <c r="F120" t="s">
        <v>8</v>
      </c>
      <c r="H120" s="1" t="str">
        <f t="shared" si="35"/>
        <v>tcs017sabado</v>
      </c>
      <c r="I120" t="s">
        <v>15</v>
      </c>
    </row>
    <row r="121" spans="2:9" x14ac:dyDescent="0.25">
      <c r="B121" t="s">
        <v>0</v>
      </c>
      <c r="C121" t="str">
        <f t="shared" si="28"/>
        <v>cuaresma</v>
      </c>
      <c r="D121" t="s">
        <v>2</v>
      </c>
      <c r="E121" s="2">
        <f>+E120+1</f>
        <v>18</v>
      </c>
      <c r="F121" t="s">
        <v>9</v>
      </c>
      <c r="H121" s="1" t="str">
        <f>_xlfn.CONCAT(LEFT(B121,1),LEFT(C121,1),LEFT(D121,1),"0",E121,F121)</f>
        <v>tcs018domingo</v>
      </c>
      <c r="I121" t="s">
        <v>15</v>
      </c>
    </row>
    <row r="122" spans="2:9" x14ac:dyDescent="0.25">
      <c r="B122" t="s">
        <v>0</v>
      </c>
      <c r="C122" t="str">
        <f t="shared" si="28"/>
        <v>cuaresma</v>
      </c>
      <c r="D122" t="s">
        <v>2</v>
      </c>
      <c r="E122" s="2">
        <f>E121</f>
        <v>18</v>
      </c>
      <c r="F122" t="s">
        <v>3</v>
      </c>
      <c r="H122" s="1" t="str">
        <f t="shared" ref="H122:H127" si="37">_xlfn.CONCAT(LEFT(B122,1),LEFT(C122,1),LEFT(D122,1),"0",E122,F122)</f>
        <v>tcs018lunes</v>
      </c>
      <c r="I122" t="s">
        <v>15</v>
      </c>
    </row>
    <row r="123" spans="2:9" x14ac:dyDescent="0.25">
      <c r="B123" t="s">
        <v>0</v>
      </c>
      <c r="C123" t="str">
        <f t="shared" si="28"/>
        <v>cuaresma</v>
      </c>
      <c r="D123" t="s">
        <v>2</v>
      </c>
      <c r="E123" s="2">
        <f t="shared" ref="E123:E127" si="38">E122</f>
        <v>18</v>
      </c>
      <c r="F123" t="s">
        <v>4</v>
      </c>
      <c r="H123" s="1" t="str">
        <f t="shared" si="37"/>
        <v>tcs018martes</v>
      </c>
      <c r="I123" t="s">
        <v>15</v>
      </c>
    </row>
    <row r="124" spans="2:9" x14ac:dyDescent="0.25">
      <c r="B124" t="s">
        <v>0</v>
      </c>
      <c r="C124" t="str">
        <f t="shared" si="28"/>
        <v>cuaresma</v>
      </c>
      <c r="D124" t="s">
        <v>2</v>
      </c>
      <c r="E124" s="2">
        <f t="shared" si="38"/>
        <v>18</v>
      </c>
      <c r="F124" t="s">
        <v>5</v>
      </c>
      <c r="H124" s="1" t="str">
        <f t="shared" si="37"/>
        <v>tcs018miercoles</v>
      </c>
      <c r="I124" t="s">
        <v>15</v>
      </c>
    </row>
    <row r="125" spans="2:9" x14ac:dyDescent="0.25">
      <c r="B125" t="s">
        <v>0</v>
      </c>
      <c r="C125" t="str">
        <f t="shared" si="28"/>
        <v>cuaresma</v>
      </c>
      <c r="D125" t="s">
        <v>2</v>
      </c>
      <c r="E125" s="2">
        <f t="shared" si="38"/>
        <v>18</v>
      </c>
      <c r="F125" t="s">
        <v>6</v>
      </c>
      <c r="H125" s="1" t="str">
        <f t="shared" si="37"/>
        <v>tcs018jueves</v>
      </c>
      <c r="I125" t="s">
        <v>15</v>
      </c>
    </row>
    <row r="126" spans="2:9" x14ac:dyDescent="0.25">
      <c r="B126" t="s">
        <v>0</v>
      </c>
      <c r="C126" t="str">
        <f t="shared" si="28"/>
        <v>cuaresma</v>
      </c>
      <c r="D126" t="s">
        <v>2</v>
      </c>
      <c r="E126" s="2">
        <f t="shared" si="38"/>
        <v>18</v>
      </c>
      <c r="F126" t="s">
        <v>7</v>
      </c>
      <c r="H126" s="1" t="str">
        <f t="shared" si="37"/>
        <v>tcs018viernes</v>
      </c>
      <c r="I126" t="s">
        <v>15</v>
      </c>
    </row>
    <row r="127" spans="2:9" x14ac:dyDescent="0.25">
      <c r="B127" t="s">
        <v>0</v>
      </c>
      <c r="C127" t="str">
        <f t="shared" si="28"/>
        <v>cuaresma</v>
      </c>
      <c r="D127" t="s">
        <v>2</v>
      </c>
      <c r="E127" s="2">
        <f t="shared" si="38"/>
        <v>18</v>
      </c>
      <c r="F127" t="s">
        <v>8</v>
      </c>
      <c r="H127" s="1" t="str">
        <f t="shared" si="37"/>
        <v>tcs018sabado</v>
      </c>
      <c r="I127" t="s">
        <v>15</v>
      </c>
    </row>
    <row r="128" spans="2:9" x14ac:dyDescent="0.25">
      <c r="B128" t="s">
        <v>0</v>
      </c>
      <c r="C128" t="str">
        <f t="shared" si="28"/>
        <v>cuaresma</v>
      </c>
      <c r="D128" t="s">
        <v>2</v>
      </c>
      <c r="E128" s="2">
        <f>+E127+1</f>
        <v>19</v>
      </c>
      <c r="F128" t="s">
        <v>9</v>
      </c>
      <c r="H128" s="1" t="str">
        <f>_xlfn.CONCAT(LEFT(B128,1),LEFT(C128,1),LEFT(D128,1),"0",E128,F128)</f>
        <v>tcs019domingo</v>
      </c>
      <c r="I128" t="s">
        <v>15</v>
      </c>
    </row>
    <row r="129" spans="2:9" x14ac:dyDescent="0.25">
      <c r="B129" t="s">
        <v>0</v>
      </c>
      <c r="C129" t="str">
        <f t="shared" si="28"/>
        <v>cuaresma</v>
      </c>
      <c r="D129" t="s">
        <v>2</v>
      </c>
      <c r="E129" s="2">
        <f>E128</f>
        <v>19</v>
      </c>
      <c r="F129" t="s">
        <v>3</v>
      </c>
      <c r="H129" s="1" t="str">
        <f t="shared" ref="H129:H134" si="39">_xlfn.CONCAT(LEFT(B129,1),LEFT(C129,1),LEFT(D129,1),"0",E129,F129)</f>
        <v>tcs019lunes</v>
      </c>
      <c r="I129" t="s">
        <v>15</v>
      </c>
    </row>
    <row r="130" spans="2:9" x14ac:dyDescent="0.25">
      <c r="B130" t="s">
        <v>0</v>
      </c>
      <c r="C130" t="str">
        <f t="shared" si="28"/>
        <v>cuaresma</v>
      </c>
      <c r="D130" t="s">
        <v>2</v>
      </c>
      <c r="E130" s="2">
        <f t="shared" ref="E130:E134" si="40">E129</f>
        <v>19</v>
      </c>
      <c r="F130" t="s">
        <v>4</v>
      </c>
      <c r="H130" s="1" t="str">
        <f t="shared" si="39"/>
        <v>tcs019martes</v>
      </c>
      <c r="I130" t="s">
        <v>15</v>
      </c>
    </row>
    <row r="131" spans="2:9" x14ac:dyDescent="0.25">
      <c r="B131" t="s">
        <v>0</v>
      </c>
      <c r="C131" t="str">
        <f t="shared" si="28"/>
        <v>cuaresma</v>
      </c>
      <c r="D131" t="s">
        <v>2</v>
      </c>
      <c r="E131" s="2">
        <f t="shared" si="40"/>
        <v>19</v>
      </c>
      <c r="F131" t="s">
        <v>5</v>
      </c>
      <c r="H131" s="1" t="str">
        <f t="shared" si="39"/>
        <v>tcs019miercoles</v>
      </c>
      <c r="I131" t="s">
        <v>15</v>
      </c>
    </row>
    <row r="132" spans="2:9" x14ac:dyDescent="0.25">
      <c r="B132" t="s">
        <v>0</v>
      </c>
      <c r="C132" t="str">
        <f t="shared" si="28"/>
        <v>cuaresma</v>
      </c>
      <c r="D132" t="s">
        <v>2</v>
      </c>
      <c r="E132" s="2">
        <f t="shared" si="40"/>
        <v>19</v>
      </c>
      <c r="F132" t="s">
        <v>6</v>
      </c>
      <c r="H132" s="1" t="str">
        <f t="shared" si="39"/>
        <v>tcs019jueves</v>
      </c>
      <c r="I132" t="s">
        <v>15</v>
      </c>
    </row>
    <row r="133" spans="2:9" x14ac:dyDescent="0.25">
      <c r="B133" t="s">
        <v>0</v>
      </c>
      <c r="C133" t="str">
        <f t="shared" si="28"/>
        <v>cuaresma</v>
      </c>
      <c r="D133" t="s">
        <v>2</v>
      </c>
      <c r="E133" s="2">
        <f t="shared" si="40"/>
        <v>19</v>
      </c>
      <c r="F133" t="s">
        <v>7</v>
      </c>
      <c r="H133" s="1" t="str">
        <f t="shared" si="39"/>
        <v>tcs019viernes</v>
      </c>
      <c r="I133" t="s">
        <v>15</v>
      </c>
    </row>
    <row r="134" spans="2:9" x14ac:dyDescent="0.25">
      <c r="B134" t="s">
        <v>0</v>
      </c>
      <c r="C134" t="str">
        <f t="shared" si="28"/>
        <v>cuaresma</v>
      </c>
      <c r="D134" t="s">
        <v>2</v>
      </c>
      <c r="E134" s="2">
        <f t="shared" si="40"/>
        <v>19</v>
      </c>
      <c r="F134" t="s">
        <v>8</v>
      </c>
      <c r="H134" s="1" t="str">
        <f t="shared" si="39"/>
        <v>tcs019sabado</v>
      </c>
      <c r="I134" t="s">
        <v>15</v>
      </c>
    </row>
    <row r="135" spans="2:9" x14ac:dyDescent="0.25">
      <c r="B135" t="s">
        <v>0</v>
      </c>
      <c r="C135" t="str">
        <f t="shared" si="28"/>
        <v>cuaresma</v>
      </c>
      <c r="D135" t="s">
        <v>2</v>
      </c>
      <c r="E135" s="2">
        <f>+E134+1</f>
        <v>20</v>
      </c>
      <c r="F135" t="s">
        <v>9</v>
      </c>
      <c r="H135" s="1" t="str">
        <f>_xlfn.CONCAT(LEFT(B135,1),LEFT(C135,1),LEFT(D135,1),"0",E135,F135)</f>
        <v>tcs020domingo</v>
      </c>
      <c r="I135" t="s">
        <v>15</v>
      </c>
    </row>
    <row r="136" spans="2:9" x14ac:dyDescent="0.25">
      <c r="B136" t="s">
        <v>0</v>
      </c>
      <c r="C136" t="str">
        <f t="shared" si="28"/>
        <v>cuaresma</v>
      </c>
      <c r="D136" t="s">
        <v>2</v>
      </c>
      <c r="E136" s="2">
        <f>E135</f>
        <v>20</v>
      </c>
      <c r="F136" t="s">
        <v>3</v>
      </c>
      <c r="H136" s="1" t="str">
        <f t="shared" ref="H136:H141" si="41">_xlfn.CONCAT(LEFT(B136,1),LEFT(C136,1),LEFT(D136,1),"0",E136,F136)</f>
        <v>tcs020lunes</v>
      </c>
      <c r="I136" t="s">
        <v>15</v>
      </c>
    </row>
    <row r="137" spans="2:9" x14ac:dyDescent="0.25">
      <c r="B137" t="s">
        <v>0</v>
      </c>
      <c r="C137" t="str">
        <f t="shared" si="28"/>
        <v>cuaresma</v>
      </c>
      <c r="D137" t="s">
        <v>2</v>
      </c>
      <c r="E137" s="2">
        <f t="shared" ref="E137:E141" si="42">E136</f>
        <v>20</v>
      </c>
      <c r="F137" t="s">
        <v>4</v>
      </c>
      <c r="H137" s="1" t="str">
        <f t="shared" si="41"/>
        <v>tcs020martes</v>
      </c>
      <c r="I137" t="s">
        <v>15</v>
      </c>
    </row>
    <row r="138" spans="2:9" x14ac:dyDescent="0.25">
      <c r="B138" t="s">
        <v>0</v>
      </c>
      <c r="C138" t="str">
        <f t="shared" si="28"/>
        <v>cuaresma</v>
      </c>
      <c r="D138" t="s">
        <v>2</v>
      </c>
      <c r="E138" s="2">
        <f t="shared" si="42"/>
        <v>20</v>
      </c>
      <c r="F138" t="s">
        <v>5</v>
      </c>
      <c r="H138" s="1" t="str">
        <f t="shared" si="41"/>
        <v>tcs020miercoles</v>
      </c>
      <c r="I138" t="s">
        <v>15</v>
      </c>
    </row>
    <row r="139" spans="2:9" x14ac:dyDescent="0.25">
      <c r="B139" t="s">
        <v>0</v>
      </c>
      <c r="C139" t="str">
        <f t="shared" si="28"/>
        <v>cuaresma</v>
      </c>
      <c r="D139" t="s">
        <v>2</v>
      </c>
      <c r="E139" s="2">
        <f t="shared" si="42"/>
        <v>20</v>
      </c>
      <c r="F139" t="s">
        <v>6</v>
      </c>
      <c r="H139" s="1" t="str">
        <f t="shared" si="41"/>
        <v>tcs020jueves</v>
      </c>
      <c r="I139" t="s">
        <v>15</v>
      </c>
    </row>
    <row r="140" spans="2:9" x14ac:dyDescent="0.25">
      <c r="B140" t="s">
        <v>0</v>
      </c>
      <c r="C140" t="str">
        <f t="shared" si="28"/>
        <v>cuaresma</v>
      </c>
      <c r="D140" t="s">
        <v>2</v>
      </c>
      <c r="E140" s="2">
        <f t="shared" si="42"/>
        <v>20</v>
      </c>
      <c r="F140" t="s">
        <v>7</v>
      </c>
      <c r="H140" s="1" t="str">
        <f t="shared" si="41"/>
        <v>tcs020viernes</v>
      </c>
      <c r="I140" t="s">
        <v>15</v>
      </c>
    </row>
    <row r="141" spans="2:9" x14ac:dyDescent="0.25">
      <c r="B141" t="s">
        <v>0</v>
      </c>
      <c r="C141" t="str">
        <f t="shared" si="28"/>
        <v>cuaresma</v>
      </c>
      <c r="D141" t="s">
        <v>2</v>
      </c>
      <c r="E141" s="2">
        <f t="shared" si="42"/>
        <v>20</v>
      </c>
      <c r="F141" t="s">
        <v>8</v>
      </c>
      <c r="H141" s="1" t="str">
        <f t="shared" si="41"/>
        <v>tcs020sabado</v>
      </c>
      <c r="I141" t="s">
        <v>15</v>
      </c>
    </row>
    <row r="142" spans="2:9" x14ac:dyDescent="0.25">
      <c r="B142" t="s">
        <v>0</v>
      </c>
      <c r="C142" t="str">
        <f t="shared" si="28"/>
        <v>cuaresma</v>
      </c>
      <c r="D142" t="s">
        <v>2</v>
      </c>
      <c r="E142" s="2">
        <f>+E141+1</f>
        <v>21</v>
      </c>
      <c r="F142" t="s">
        <v>9</v>
      </c>
      <c r="H142" s="1" t="str">
        <f>_xlfn.CONCAT(LEFT(B142,1),LEFT(C142,1),LEFT(D142,1),"0",E142,F142)</f>
        <v>tcs021domingo</v>
      </c>
      <c r="I142" t="s">
        <v>15</v>
      </c>
    </row>
    <row r="143" spans="2:9" x14ac:dyDescent="0.25">
      <c r="B143" t="s">
        <v>0</v>
      </c>
      <c r="C143" t="str">
        <f t="shared" si="28"/>
        <v>cuaresma</v>
      </c>
      <c r="D143" t="s">
        <v>2</v>
      </c>
      <c r="E143" s="2">
        <f>E142</f>
        <v>21</v>
      </c>
      <c r="F143" t="s">
        <v>3</v>
      </c>
      <c r="H143" s="1" t="str">
        <f t="shared" ref="H143:H148" si="43">_xlfn.CONCAT(LEFT(B143,1),LEFT(C143,1),LEFT(D143,1),"0",E143,F143)</f>
        <v>tcs021lunes</v>
      </c>
      <c r="I143" t="s">
        <v>15</v>
      </c>
    </row>
    <row r="144" spans="2:9" x14ac:dyDescent="0.25">
      <c r="B144" t="s">
        <v>0</v>
      </c>
      <c r="C144" t="str">
        <f t="shared" si="28"/>
        <v>cuaresma</v>
      </c>
      <c r="D144" t="s">
        <v>2</v>
      </c>
      <c r="E144" s="2">
        <f t="shared" ref="E144:E148" si="44">E143</f>
        <v>21</v>
      </c>
      <c r="F144" t="s">
        <v>4</v>
      </c>
      <c r="H144" s="1" t="str">
        <f t="shared" si="43"/>
        <v>tcs021martes</v>
      </c>
      <c r="I144" t="s">
        <v>15</v>
      </c>
    </row>
    <row r="145" spans="2:9" x14ac:dyDescent="0.25">
      <c r="B145" t="s">
        <v>0</v>
      </c>
      <c r="C145" t="str">
        <f t="shared" si="28"/>
        <v>cuaresma</v>
      </c>
      <c r="D145" t="s">
        <v>2</v>
      </c>
      <c r="E145" s="2">
        <f t="shared" si="44"/>
        <v>21</v>
      </c>
      <c r="F145" t="s">
        <v>5</v>
      </c>
      <c r="H145" s="1" t="str">
        <f t="shared" si="43"/>
        <v>tcs021miercoles</v>
      </c>
      <c r="I145" t="s">
        <v>15</v>
      </c>
    </row>
    <row r="146" spans="2:9" x14ac:dyDescent="0.25">
      <c r="B146" t="s">
        <v>0</v>
      </c>
      <c r="C146" t="str">
        <f t="shared" si="28"/>
        <v>cuaresma</v>
      </c>
      <c r="D146" t="s">
        <v>2</v>
      </c>
      <c r="E146" s="2">
        <f t="shared" si="44"/>
        <v>21</v>
      </c>
      <c r="F146" t="s">
        <v>6</v>
      </c>
      <c r="H146" s="1" t="str">
        <f t="shared" si="43"/>
        <v>tcs021jueves</v>
      </c>
      <c r="I146" t="s">
        <v>15</v>
      </c>
    </row>
    <row r="147" spans="2:9" x14ac:dyDescent="0.25">
      <c r="B147" t="s">
        <v>0</v>
      </c>
      <c r="C147" t="str">
        <f t="shared" si="28"/>
        <v>cuaresma</v>
      </c>
      <c r="D147" t="s">
        <v>2</v>
      </c>
      <c r="E147" s="2">
        <f t="shared" si="44"/>
        <v>21</v>
      </c>
      <c r="F147" t="s">
        <v>7</v>
      </c>
      <c r="H147" s="1" t="str">
        <f t="shared" si="43"/>
        <v>tcs021viernes</v>
      </c>
      <c r="I147" t="s">
        <v>15</v>
      </c>
    </row>
    <row r="148" spans="2:9" x14ac:dyDescent="0.25">
      <c r="B148" t="s">
        <v>0</v>
      </c>
      <c r="C148" t="str">
        <f t="shared" si="28"/>
        <v>cuaresma</v>
      </c>
      <c r="D148" t="s">
        <v>2</v>
      </c>
      <c r="E148" s="2">
        <f t="shared" si="44"/>
        <v>21</v>
      </c>
      <c r="F148" t="s">
        <v>8</v>
      </c>
      <c r="H148" s="1" t="str">
        <f t="shared" si="43"/>
        <v>tcs021sabado</v>
      </c>
      <c r="I148" t="s">
        <v>15</v>
      </c>
    </row>
    <row r="149" spans="2:9" x14ac:dyDescent="0.25">
      <c r="B149" t="s">
        <v>0</v>
      </c>
      <c r="C149" t="str">
        <f t="shared" si="28"/>
        <v>cuaresma</v>
      </c>
      <c r="D149" t="s">
        <v>2</v>
      </c>
      <c r="E149" s="2">
        <f>+E148+1</f>
        <v>22</v>
      </c>
      <c r="F149" t="s">
        <v>9</v>
      </c>
      <c r="H149" s="1" t="str">
        <f>_xlfn.CONCAT(LEFT(B149,1),LEFT(C149,1),LEFT(D149,1),"0",E149,F149)</f>
        <v>tcs022domingo</v>
      </c>
      <c r="I149" t="s">
        <v>15</v>
      </c>
    </row>
    <row r="150" spans="2:9" x14ac:dyDescent="0.25">
      <c r="B150" t="s">
        <v>0</v>
      </c>
      <c r="C150" t="str">
        <f t="shared" si="28"/>
        <v>cuaresma</v>
      </c>
      <c r="D150" t="s">
        <v>2</v>
      </c>
      <c r="E150" s="2">
        <f>E149</f>
        <v>22</v>
      </c>
      <c r="F150" t="s">
        <v>3</v>
      </c>
      <c r="H150" s="1" t="str">
        <f t="shared" ref="H150:H155" si="45">_xlfn.CONCAT(LEFT(B150,1),LEFT(C150,1),LEFT(D150,1),"0",E150,F150)</f>
        <v>tcs022lunes</v>
      </c>
      <c r="I150" t="s">
        <v>15</v>
      </c>
    </row>
    <row r="151" spans="2:9" x14ac:dyDescent="0.25">
      <c r="B151" t="s">
        <v>0</v>
      </c>
      <c r="C151" t="str">
        <f t="shared" si="28"/>
        <v>cuaresma</v>
      </c>
      <c r="D151" t="s">
        <v>2</v>
      </c>
      <c r="E151" s="2">
        <f t="shared" ref="E151:E155" si="46">E150</f>
        <v>22</v>
      </c>
      <c r="F151" t="s">
        <v>4</v>
      </c>
      <c r="H151" s="1" t="str">
        <f t="shared" si="45"/>
        <v>tcs022martes</v>
      </c>
      <c r="I151" t="s">
        <v>15</v>
      </c>
    </row>
    <row r="152" spans="2:9" x14ac:dyDescent="0.25">
      <c r="B152" t="s">
        <v>0</v>
      </c>
      <c r="C152" t="str">
        <f t="shared" si="28"/>
        <v>cuaresma</v>
      </c>
      <c r="D152" t="s">
        <v>2</v>
      </c>
      <c r="E152" s="2">
        <f t="shared" si="46"/>
        <v>22</v>
      </c>
      <c r="F152" t="s">
        <v>5</v>
      </c>
      <c r="H152" s="1" t="str">
        <f t="shared" si="45"/>
        <v>tcs022miercoles</v>
      </c>
      <c r="I152" t="s">
        <v>15</v>
      </c>
    </row>
    <row r="153" spans="2:9" x14ac:dyDescent="0.25">
      <c r="B153" t="s">
        <v>0</v>
      </c>
      <c r="C153" t="str">
        <f t="shared" ref="C153:C216" si="47">C152</f>
        <v>cuaresma</v>
      </c>
      <c r="D153" t="s">
        <v>2</v>
      </c>
      <c r="E153" s="2">
        <f t="shared" si="46"/>
        <v>22</v>
      </c>
      <c r="F153" t="s">
        <v>6</v>
      </c>
      <c r="H153" s="1" t="str">
        <f t="shared" si="45"/>
        <v>tcs022jueves</v>
      </c>
      <c r="I153" t="s">
        <v>15</v>
      </c>
    </row>
    <row r="154" spans="2:9" x14ac:dyDescent="0.25">
      <c r="B154" t="s">
        <v>0</v>
      </c>
      <c r="C154" t="str">
        <f t="shared" si="47"/>
        <v>cuaresma</v>
      </c>
      <c r="D154" t="s">
        <v>2</v>
      </c>
      <c r="E154" s="2">
        <f t="shared" si="46"/>
        <v>22</v>
      </c>
      <c r="F154" t="s">
        <v>7</v>
      </c>
      <c r="H154" s="1" t="str">
        <f t="shared" si="45"/>
        <v>tcs022viernes</v>
      </c>
      <c r="I154" t="s">
        <v>15</v>
      </c>
    </row>
    <row r="155" spans="2:9" x14ac:dyDescent="0.25">
      <c r="B155" t="s">
        <v>0</v>
      </c>
      <c r="C155" t="str">
        <f t="shared" si="47"/>
        <v>cuaresma</v>
      </c>
      <c r="D155" t="s">
        <v>2</v>
      </c>
      <c r="E155" s="2">
        <f t="shared" si="46"/>
        <v>22</v>
      </c>
      <c r="F155" t="s">
        <v>8</v>
      </c>
      <c r="H155" s="1" t="str">
        <f t="shared" si="45"/>
        <v>tcs022sabado</v>
      </c>
      <c r="I155" t="s">
        <v>15</v>
      </c>
    </row>
    <row r="156" spans="2:9" x14ac:dyDescent="0.25">
      <c r="B156" t="s">
        <v>0</v>
      </c>
      <c r="C156" t="str">
        <f t="shared" si="47"/>
        <v>cuaresma</v>
      </c>
      <c r="D156" t="s">
        <v>2</v>
      </c>
      <c r="E156" s="2">
        <f>+E155+1</f>
        <v>23</v>
      </c>
      <c r="F156" t="s">
        <v>9</v>
      </c>
      <c r="H156" s="1" t="str">
        <f>_xlfn.CONCAT(LEFT(B156,1),LEFT(C156,1),LEFT(D156,1),"0",E156,F156)</f>
        <v>tcs023domingo</v>
      </c>
      <c r="I156" t="s">
        <v>15</v>
      </c>
    </row>
    <row r="157" spans="2:9" x14ac:dyDescent="0.25">
      <c r="B157" t="s">
        <v>0</v>
      </c>
      <c r="C157" t="str">
        <f t="shared" si="47"/>
        <v>cuaresma</v>
      </c>
      <c r="D157" t="s">
        <v>2</v>
      </c>
      <c r="E157" s="2">
        <f>E156</f>
        <v>23</v>
      </c>
      <c r="F157" t="s">
        <v>3</v>
      </c>
      <c r="H157" s="1" t="str">
        <f t="shared" ref="H157:H162" si="48">_xlfn.CONCAT(LEFT(B157,1),LEFT(C157,1),LEFT(D157,1),"0",E157,F157)</f>
        <v>tcs023lunes</v>
      </c>
      <c r="I157" t="s">
        <v>15</v>
      </c>
    </row>
    <row r="158" spans="2:9" x14ac:dyDescent="0.25">
      <c r="B158" t="s">
        <v>0</v>
      </c>
      <c r="C158" t="str">
        <f t="shared" si="47"/>
        <v>cuaresma</v>
      </c>
      <c r="D158" t="s">
        <v>2</v>
      </c>
      <c r="E158" s="2">
        <f t="shared" ref="E158:E162" si="49">E157</f>
        <v>23</v>
      </c>
      <c r="F158" t="s">
        <v>4</v>
      </c>
      <c r="H158" s="1" t="str">
        <f t="shared" si="48"/>
        <v>tcs023martes</v>
      </c>
      <c r="I158" t="s">
        <v>15</v>
      </c>
    </row>
    <row r="159" spans="2:9" x14ac:dyDescent="0.25">
      <c r="B159" t="s">
        <v>0</v>
      </c>
      <c r="C159" t="str">
        <f t="shared" si="47"/>
        <v>cuaresma</v>
      </c>
      <c r="D159" t="s">
        <v>2</v>
      </c>
      <c r="E159" s="2">
        <f t="shared" si="49"/>
        <v>23</v>
      </c>
      <c r="F159" t="s">
        <v>5</v>
      </c>
      <c r="H159" s="1" t="str">
        <f t="shared" si="48"/>
        <v>tcs023miercoles</v>
      </c>
      <c r="I159" t="s">
        <v>15</v>
      </c>
    </row>
    <row r="160" spans="2:9" x14ac:dyDescent="0.25">
      <c r="B160" t="s">
        <v>0</v>
      </c>
      <c r="C160" t="str">
        <f t="shared" si="47"/>
        <v>cuaresma</v>
      </c>
      <c r="D160" t="s">
        <v>2</v>
      </c>
      <c r="E160" s="2">
        <f t="shared" si="49"/>
        <v>23</v>
      </c>
      <c r="F160" t="s">
        <v>6</v>
      </c>
      <c r="H160" s="1" t="str">
        <f t="shared" si="48"/>
        <v>tcs023jueves</v>
      </c>
      <c r="I160" t="s">
        <v>15</v>
      </c>
    </row>
    <row r="161" spans="2:9" x14ac:dyDescent="0.25">
      <c r="B161" t="s">
        <v>0</v>
      </c>
      <c r="C161" t="str">
        <f t="shared" si="47"/>
        <v>cuaresma</v>
      </c>
      <c r="D161" t="s">
        <v>2</v>
      </c>
      <c r="E161" s="2">
        <f t="shared" si="49"/>
        <v>23</v>
      </c>
      <c r="F161" t="s">
        <v>7</v>
      </c>
      <c r="H161" s="1" t="str">
        <f t="shared" si="48"/>
        <v>tcs023viernes</v>
      </c>
      <c r="I161" t="s">
        <v>15</v>
      </c>
    </row>
    <row r="162" spans="2:9" x14ac:dyDescent="0.25">
      <c r="B162" t="s">
        <v>0</v>
      </c>
      <c r="C162" t="str">
        <f t="shared" si="47"/>
        <v>cuaresma</v>
      </c>
      <c r="D162" t="s">
        <v>2</v>
      </c>
      <c r="E162" s="2">
        <f t="shared" si="49"/>
        <v>23</v>
      </c>
      <c r="F162" t="s">
        <v>8</v>
      </c>
      <c r="H162" s="1" t="str">
        <f t="shared" si="48"/>
        <v>tcs023sabado</v>
      </c>
      <c r="I162" t="s">
        <v>15</v>
      </c>
    </row>
    <row r="163" spans="2:9" x14ac:dyDescent="0.25">
      <c r="B163" t="s">
        <v>0</v>
      </c>
      <c r="C163" t="str">
        <f t="shared" si="47"/>
        <v>cuaresma</v>
      </c>
      <c r="D163" t="s">
        <v>2</v>
      </c>
      <c r="E163" s="2">
        <f>+E162+1</f>
        <v>24</v>
      </c>
      <c r="F163" t="s">
        <v>9</v>
      </c>
      <c r="H163" s="1" t="str">
        <f>_xlfn.CONCAT(LEFT(B163,1),LEFT(C163,1),LEFT(D163,1),"0",E163,F163)</f>
        <v>tcs024domingo</v>
      </c>
      <c r="I163" t="s">
        <v>15</v>
      </c>
    </row>
    <row r="164" spans="2:9" x14ac:dyDescent="0.25">
      <c r="B164" t="s">
        <v>0</v>
      </c>
      <c r="C164" t="str">
        <f t="shared" si="47"/>
        <v>cuaresma</v>
      </c>
      <c r="D164" t="s">
        <v>2</v>
      </c>
      <c r="E164" s="2">
        <f>E163</f>
        <v>24</v>
      </c>
      <c r="F164" t="s">
        <v>3</v>
      </c>
      <c r="H164" s="1" t="str">
        <f t="shared" ref="H164:H169" si="50">_xlfn.CONCAT(LEFT(B164,1),LEFT(C164,1),LEFT(D164,1),"0",E164,F164)</f>
        <v>tcs024lunes</v>
      </c>
      <c r="I164" t="s">
        <v>15</v>
      </c>
    </row>
    <row r="165" spans="2:9" x14ac:dyDescent="0.25">
      <c r="B165" t="s">
        <v>0</v>
      </c>
      <c r="C165" t="str">
        <f t="shared" si="47"/>
        <v>cuaresma</v>
      </c>
      <c r="D165" t="s">
        <v>2</v>
      </c>
      <c r="E165" s="2">
        <f t="shared" ref="E165:E169" si="51">E164</f>
        <v>24</v>
      </c>
      <c r="F165" t="s">
        <v>4</v>
      </c>
      <c r="H165" s="1" t="str">
        <f t="shared" si="50"/>
        <v>tcs024martes</v>
      </c>
      <c r="I165" t="s">
        <v>15</v>
      </c>
    </row>
    <row r="166" spans="2:9" x14ac:dyDescent="0.25">
      <c r="B166" t="s">
        <v>0</v>
      </c>
      <c r="C166" t="str">
        <f t="shared" si="47"/>
        <v>cuaresma</v>
      </c>
      <c r="D166" t="s">
        <v>2</v>
      </c>
      <c r="E166" s="2">
        <f t="shared" si="51"/>
        <v>24</v>
      </c>
      <c r="F166" t="s">
        <v>5</v>
      </c>
      <c r="H166" s="1" t="str">
        <f t="shared" si="50"/>
        <v>tcs024miercoles</v>
      </c>
      <c r="I166" t="s">
        <v>15</v>
      </c>
    </row>
    <row r="167" spans="2:9" x14ac:dyDescent="0.25">
      <c r="B167" t="s">
        <v>0</v>
      </c>
      <c r="C167" t="str">
        <f t="shared" si="47"/>
        <v>cuaresma</v>
      </c>
      <c r="D167" t="s">
        <v>2</v>
      </c>
      <c r="E167" s="2">
        <f t="shared" si="51"/>
        <v>24</v>
      </c>
      <c r="F167" t="s">
        <v>6</v>
      </c>
      <c r="H167" s="1" t="str">
        <f t="shared" si="50"/>
        <v>tcs024jueves</v>
      </c>
      <c r="I167" t="s">
        <v>15</v>
      </c>
    </row>
    <row r="168" spans="2:9" x14ac:dyDescent="0.25">
      <c r="B168" t="s">
        <v>0</v>
      </c>
      <c r="C168" t="str">
        <f t="shared" si="47"/>
        <v>cuaresma</v>
      </c>
      <c r="D168" t="s">
        <v>2</v>
      </c>
      <c r="E168" s="2">
        <f t="shared" si="51"/>
        <v>24</v>
      </c>
      <c r="F168" t="s">
        <v>7</v>
      </c>
      <c r="H168" s="1" t="str">
        <f t="shared" si="50"/>
        <v>tcs024viernes</v>
      </c>
      <c r="I168" t="s">
        <v>15</v>
      </c>
    </row>
    <row r="169" spans="2:9" x14ac:dyDescent="0.25">
      <c r="B169" t="s">
        <v>0</v>
      </c>
      <c r="C169" t="str">
        <f t="shared" si="47"/>
        <v>cuaresma</v>
      </c>
      <c r="D169" t="s">
        <v>2</v>
      </c>
      <c r="E169" s="2">
        <f t="shared" si="51"/>
        <v>24</v>
      </c>
      <c r="F169" t="s">
        <v>8</v>
      </c>
      <c r="H169" s="1" t="str">
        <f t="shared" si="50"/>
        <v>tcs024sabado</v>
      </c>
      <c r="I169" t="s">
        <v>15</v>
      </c>
    </row>
    <row r="170" spans="2:9" x14ac:dyDescent="0.25">
      <c r="B170" t="s">
        <v>0</v>
      </c>
      <c r="C170" t="str">
        <f t="shared" si="47"/>
        <v>cuaresma</v>
      </c>
      <c r="D170" t="s">
        <v>2</v>
      </c>
      <c r="E170" s="2">
        <f>+E169+1</f>
        <v>25</v>
      </c>
      <c r="F170" t="s">
        <v>9</v>
      </c>
      <c r="H170" s="1" t="str">
        <f>_xlfn.CONCAT(LEFT(B170,1),LEFT(C170,1),LEFT(D170,1),"0",E170,F170)</f>
        <v>tcs025domingo</v>
      </c>
      <c r="I170" t="s">
        <v>15</v>
      </c>
    </row>
    <row r="171" spans="2:9" x14ac:dyDescent="0.25">
      <c r="B171" t="s">
        <v>0</v>
      </c>
      <c r="C171" t="str">
        <f t="shared" si="47"/>
        <v>cuaresma</v>
      </c>
      <c r="D171" t="s">
        <v>2</v>
      </c>
      <c r="E171" s="2">
        <f>E170</f>
        <v>25</v>
      </c>
      <c r="F171" t="s">
        <v>3</v>
      </c>
      <c r="H171" s="1" t="str">
        <f t="shared" ref="H171:H176" si="52">_xlfn.CONCAT(LEFT(B171,1),LEFT(C171,1),LEFT(D171,1),"0",E171,F171)</f>
        <v>tcs025lunes</v>
      </c>
      <c r="I171" t="s">
        <v>15</v>
      </c>
    </row>
    <row r="172" spans="2:9" x14ac:dyDescent="0.25">
      <c r="B172" t="s">
        <v>0</v>
      </c>
      <c r="C172" t="str">
        <f t="shared" si="47"/>
        <v>cuaresma</v>
      </c>
      <c r="D172" t="s">
        <v>2</v>
      </c>
      <c r="E172" s="2">
        <f t="shared" ref="E172:E176" si="53">E171</f>
        <v>25</v>
      </c>
      <c r="F172" t="s">
        <v>4</v>
      </c>
      <c r="H172" s="1" t="str">
        <f t="shared" si="52"/>
        <v>tcs025martes</v>
      </c>
      <c r="I172" t="s">
        <v>15</v>
      </c>
    </row>
    <row r="173" spans="2:9" x14ac:dyDescent="0.25">
      <c r="B173" t="s">
        <v>0</v>
      </c>
      <c r="C173" t="str">
        <f t="shared" si="47"/>
        <v>cuaresma</v>
      </c>
      <c r="D173" t="s">
        <v>2</v>
      </c>
      <c r="E173" s="2">
        <f t="shared" si="53"/>
        <v>25</v>
      </c>
      <c r="F173" t="s">
        <v>5</v>
      </c>
      <c r="H173" s="1" t="str">
        <f t="shared" si="52"/>
        <v>tcs025miercoles</v>
      </c>
      <c r="I173" t="s">
        <v>15</v>
      </c>
    </row>
    <row r="174" spans="2:9" x14ac:dyDescent="0.25">
      <c r="B174" t="s">
        <v>0</v>
      </c>
      <c r="C174" t="str">
        <f t="shared" si="47"/>
        <v>cuaresma</v>
      </c>
      <c r="D174" t="s">
        <v>2</v>
      </c>
      <c r="E174" s="2">
        <f t="shared" si="53"/>
        <v>25</v>
      </c>
      <c r="F174" t="s">
        <v>6</v>
      </c>
      <c r="H174" s="1" t="str">
        <f t="shared" si="52"/>
        <v>tcs025jueves</v>
      </c>
      <c r="I174" t="s">
        <v>15</v>
      </c>
    </row>
    <row r="175" spans="2:9" x14ac:dyDescent="0.25">
      <c r="B175" t="s">
        <v>0</v>
      </c>
      <c r="C175" t="str">
        <f t="shared" si="47"/>
        <v>cuaresma</v>
      </c>
      <c r="D175" t="s">
        <v>2</v>
      </c>
      <c r="E175" s="2">
        <f t="shared" si="53"/>
        <v>25</v>
      </c>
      <c r="F175" t="s">
        <v>7</v>
      </c>
      <c r="H175" s="1" t="str">
        <f t="shared" si="52"/>
        <v>tcs025viernes</v>
      </c>
      <c r="I175" t="s">
        <v>15</v>
      </c>
    </row>
    <row r="176" spans="2:9" x14ac:dyDescent="0.25">
      <c r="B176" t="s">
        <v>0</v>
      </c>
      <c r="C176" t="str">
        <f t="shared" si="47"/>
        <v>cuaresma</v>
      </c>
      <c r="D176" t="s">
        <v>2</v>
      </c>
      <c r="E176" s="2">
        <f t="shared" si="53"/>
        <v>25</v>
      </c>
      <c r="F176" t="s">
        <v>8</v>
      </c>
      <c r="H176" s="1" t="str">
        <f t="shared" si="52"/>
        <v>tcs025sabado</v>
      </c>
      <c r="I176" t="s">
        <v>15</v>
      </c>
    </row>
    <row r="177" spans="2:9" x14ac:dyDescent="0.25">
      <c r="B177" t="s">
        <v>0</v>
      </c>
      <c r="C177" t="str">
        <f t="shared" si="47"/>
        <v>cuaresma</v>
      </c>
      <c r="D177" t="s">
        <v>2</v>
      </c>
      <c r="E177" s="2">
        <f>+E176+1</f>
        <v>26</v>
      </c>
      <c r="F177" t="s">
        <v>9</v>
      </c>
      <c r="H177" s="1" t="str">
        <f>_xlfn.CONCAT(LEFT(B177,1),LEFT(C177,1),LEFT(D177,1),"0",E177,F177)</f>
        <v>tcs026domingo</v>
      </c>
      <c r="I177" t="s">
        <v>15</v>
      </c>
    </row>
    <row r="178" spans="2:9" x14ac:dyDescent="0.25">
      <c r="B178" t="s">
        <v>0</v>
      </c>
      <c r="C178" t="str">
        <f t="shared" si="47"/>
        <v>cuaresma</v>
      </c>
      <c r="D178" t="s">
        <v>2</v>
      </c>
      <c r="E178" s="2">
        <f>E177</f>
        <v>26</v>
      </c>
      <c r="F178" t="s">
        <v>3</v>
      </c>
      <c r="H178" s="1" t="str">
        <f t="shared" ref="H178:H183" si="54">_xlfn.CONCAT(LEFT(B178,1),LEFT(C178,1),LEFT(D178,1),"0",E178,F178)</f>
        <v>tcs026lunes</v>
      </c>
      <c r="I178" t="s">
        <v>15</v>
      </c>
    </row>
    <row r="179" spans="2:9" x14ac:dyDescent="0.25">
      <c r="B179" t="s">
        <v>0</v>
      </c>
      <c r="C179" t="str">
        <f t="shared" si="47"/>
        <v>cuaresma</v>
      </c>
      <c r="D179" t="s">
        <v>2</v>
      </c>
      <c r="E179" s="2">
        <f t="shared" ref="E179:E183" si="55">E178</f>
        <v>26</v>
      </c>
      <c r="F179" t="s">
        <v>4</v>
      </c>
      <c r="H179" s="1" t="str">
        <f t="shared" si="54"/>
        <v>tcs026martes</v>
      </c>
      <c r="I179" t="s">
        <v>15</v>
      </c>
    </row>
    <row r="180" spans="2:9" x14ac:dyDescent="0.25">
      <c r="B180" t="s">
        <v>0</v>
      </c>
      <c r="C180" t="str">
        <f t="shared" si="47"/>
        <v>cuaresma</v>
      </c>
      <c r="D180" t="s">
        <v>2</v>
      </c>
      <c r="E180" s="2">
        <f t="shared" si="55"/>
        <v>26</v>
      </c>
      <c r="F180" t="s">
        <v>5</v>
      </c>
      <c r="H180" s="1" t="str">
        <f t="shared" si="54"/>
        <v>tcs026miercoles</v>
      </c>
      <c r="I180" t="s">
        <v>15</v>
      </c>
    </row>
    <row r="181" spans="2:9" x14ac:dyDescent="0.25">
      <c r="B181" t="s">
        <v>0</v>
      </c>
      <c r="C181" t="str">
        <f t="shared" si="47"/>
        <v>cuaresma</v>
      </c>
      <c r="D181" t="s">
        <v>2</v>
      </c>
      <c r="E181" s="2">
        <f t="shared" si="55"/>
        <v>26</v>
      </c>
      <c r="F181" t="s">
        <v>6</v>
      </c>
      <c r="H181" s="1" t="str">
        <f t="shared" si="54"/>
        <v>tcs026jueves</v>
      </c>
      <c r="I181" t="s">
        <v>15</v>
      </c>
    </row>
    <row r="182" spans="2:9" x14ac:dyDescent="0.25">
      <c r="B182" t="s">
        <v>0</v>
      </c>
      <c r="C182" t="str">
        <f t="shared" si="47"/>
        <v>cuaresma</v>
      </c>
      <c r="D182" t="s">
        <v>2</v>
      </c>
      <c r="E182" s="2">
        <f t="shared" si="55"/>
        <v>26</v>
      </c>
      <c r="F182" t="s">
        <v>7</v>
      </c>
      <c r="H182" s="1" t="str">
        <f t="shared" si="54"/>
        <v>tcs026viernes</v>
      </c>
      <c r="I182" t="s">
        <v>15</v>
      </c>
    </row>
    <row r="183" spans="2:9" x14ac:dyDescent="0.25">
      <c r="B183" t="s">
        <v>0</v>
      </c>
      <c r="C183" t="str">
        <f t="shared" si="47"/>
        <v>cuaresma</v>
      </c>
      <c r="D183" t="s">
        <v>2</v>
      </c>
      <c r="E183" s="2">
        <f t="shared" si="55"/>
        <v>26</v>
      </c>
      <c r="F183" t="s">
        <v>8</v>
      </c>
      <c r="H183" s="1" t="str">
        <f t="shared" si="54"/>
        <v>tcs026sabado</v>
      </c>
      <c r="I183" t="s">
        <v>15</v>
      </c>
    </row>
    <row r="184" spans="2:9" x14ac:dyDescent="0.25">
      <c r="B184" t="s">
        <v>0</v>
      </c>
      <c r="C184" t="str">
        <f t="shared" si="47"/>
        <v>cuaresma</v>
      </c>
      <c r="D184" t="s">
        <v>2</v>
      </c>
      <c r="E184" s="2">
        <f>+E183+1</f>
        <v>27</v>
      </c>
      <c r="F184" t="s">
        <v>9</v>
      </c>
      <c r="H184" s="1" t="str">
        <f>_xlfn.CONCAT(LEFT(B184,1),LEFT(C184,1),LEFT(D184,1),"0",E184,F184)</f>
        <v>tcs027domingo</v>
      </c>
      <c r="I184" t="s">
        <v>15</v>
      </c>
    </row>
    <row r="185" spans="2:9" x14ac:dyDescent="0.25">
      <c r="B185" t="s">
        <v>0</v>
      </c>
      <c r="C185" t="str">
        <f t="shared" si="47"/>
        <v>cuaresma</v>
      </c>
      <c r="D185" t="s">
        <v>2</v>
      </c>
      <c r="E185" s="2">
        <f>E184</f>
        <v>27</v>
      </c>
      <c r="F185" t="s">
        <v>3</v>
      </c>
      <c r="H185" s="1" t="str">
        <f t="shared" ref="H185:H190" si="56">_xlfn.CONCAT(LEFT(B185,1),LEFT(C185,1),LEFT(D185,1),"0",E185,F185)</f>
        <v>tcs027lunes</v>
      </c>
      <c r="I185" t="s">
        <v>15</v>
      </c>
    </row>
    <row r="186" spans="2:9" x14ac:dyDescent="0.25">
      <c r="B186" t="s">
        <v>0</v>
      </c>
      <c r="C186" t="str">
        <f t="shared" si="47"/>
        <v>cuaresma</v>
      </c>
      <c r="D186" t="s">
        <v>2</v>
      </c>
      <c r="E186" s="2">
        <f t="shared" ref="E186:E190" si="57">E185</f>
        <v>27</v>
      </c>
      <c r="F186" t="s">
        <v>4</v>
      </c>
      <c r="H186" s="1" t="str">
        <f t="shared" si="56"/>
        <v>tcs027martes</v>
      </c>
      <c r="I186" t="s">
        <v>15</v>
      </c>
    </row>
    <row r="187" spans="2:9" x14ac:dyDescent="0.25">
      <c r="B187" t="s">
        <v>0</v>
      </c>
      <c r="C187" t="str">
        <f t="shared" si="47"/>
        <v>cuaresma</v>
      </c>
      <c r="D187" t="s">
        <v>2</v>
      </c>
      <c r="E187" s="2">
        <f t="shared" si="57"/>
        <v>27</v>
      </c>
      <c r="F187" t="s">
        <v>5</v>
      </c>
      <c r="H187" s="1" t="str">
        <f t="shared" si="56"/>
        <v>tcs027miercoles</v>
      </c>
      <c r="I187" t="s">
        <v>15</v>
      </c>
    </row>
    <row r="188" spans="2:9" x14ac:dyDescent="0.25">
      <c r="B188" t="s">
        <v>0</v>
      </c>
      <c r="C188" t="str">
        <f t="shared" si="47"/>
        <v>cuaresma</v>
      </c>
      <c r="D188" t="s">
        <v>2</v>
      </c>
      <c r="E188" s="2">
        <f t="shared" si="57"/>
        <v>27</v>
      </c>
      <c r="F188" t="s">
        <v>6</v>
      </c>
      <c r="H188" s="1" t="str">
        <f t="shared" si="56"/>
        <v>tcs027jueves</v>
      </c>
      <c r="I188" t="s">
        <v>15</v>
      </c>
    </row>
    <row r="189" spans="2:9" x14ac:dyDescent="0.25">
      <c r="B189" t="s">
        <v>0</v>
      </c>
      <c r="C189" t="str">
        <f t="shared" si="47"/>
        <v>cuaresma</v>
      </c>
      <c r="D189" t="s">
        <v>2</v>
      </c>
      <c r="E189" s="2">
        <f t="shared" si="57"/>
        <v>27</v>
      </c>
      <c r="F189" t="s">
        <v>7</v>
      </c>
      <c r="H189" s="1" t="str">
        <f t="shared" si="56"/>
        <v>tcs027viernes</v>
      </c>
      <c r="I189" t="s">
        <v>15</v>
      </c>
    </row>
    <row r="190" spans="2:9" x14ac:dyDescent="0.25">
      <c r="B190" t="s">
        <v>0</v>
      </c>
      <c r="C190" t="str">
        <f t="shared" si="47"/>
        <v>cuaresma</v>
      </c>
      <c r="D190" t="s">
        <v>2</v>
      </c>
      <c r="E190" s="2">
        <f t="shared" si="57"/>
        <v>27</v>
      </c>
      <c r="F190" t="s">
        <v>8</v>
      </c>
      <c r="H190" s="1" t="str">
        <f t="shared" si="56"/>
        <v>tcs027sabado</v>
      </c>
      <c r="I190" t="s">
        <v>15</v>
      </c>
    </row>
    <row r="191" spans="2:9" x14ac:dyDescent="0.25">
      <c r="B191" t="s">
        <v>0</v>
      </c>
      <c r="C191" t="str">
        <f t="shared" si="47"/>
        <v>cuaresma</v>
      </c>
      <c r="D191" t="s">
        <v>2</v>
      </c>
      <c r="E191" s="2">
        <f>+E190+1</f>
        <v>28</v>
      </c>
      <c r="F191" t="s">
        <v>9</v>
      </c>
      <c r="H191" s="1" t="str">
        <f>_xlfn.CONCAT(LEFT(B191,1),LEFT(C191,1),LEFT(D191,1),"0",E191,F191)</f>
        <v>tcs028domingo</v>
      </c>
      <c r="I191" t="s">
        <v>15</v>
      </c>
    </row>
    <row r="192" spans="2:9" x14ac:dyDescent="0.25">
      <c r="B192" t="s">
        <v>0</v>
      </c>
      <c r="C192" t="str">
        <f t="shared" si="47"/>
        <v>cuaresma</v>
      </c>
      <c r="D192" t="s">
        <v>2</v>
      </c>
      <c r="E192" s="2">
        <f>E191</f>
        <v>28</v>
      </c>
      <c r="F192" t="s">
        <v>3</v>
      </c>
      <c r="H192" s="1" t="str">
        <f t="shared" ref="H192:H197" si="58">_xlfn.CONCAT(LEFT(B192,1),LEFT(C192,1),LEFT(D192,1),"0",E192,F192)</f>
        <v>tcs028lunes</v>
      </c>
      <c r="I192" t="s">
        <v>15</v>
      </c>
    </row>
    <row r="193" spans="2:9" x14ac:dyDescent="0.25">
      <c r="B193" t="s">
        <v>0</v>
      </c>
      <c r="C193" t="str">
        <f t="shared" si="47"/>
        <v>cuaresma</v>
      </c>
      <c r="D193" t="s">
        <v>2</v>
      </c>
      <c r="E193" s="2">
        <f t="shared" ref="E193:E197" si="59">E192</f>
        <v>28</v>
      </c>
      <c r="F193" t="s">
        <v>4</v>
      </c>
      <c r="H193" s="1" t="str">
        <f t="shared" si="58"/>
        <v>tcs028martes</v>
      </c>
      <c r="I193" t="s">
        <v>15</v>
      </c>
    </row>
    <row r="194" spans="2:9" x14ac:dyDescent="0.25">
      <c r="B194" t="s">
        <v>0</v>
      </c>
      <c r="C194" t="str">
        <f t="shared" si="47"/>
        <v>cuaresma</v>
      </c>
      <c r="D194" t="s">
        <v>2</v>
      </c>
      <c r="E194" s="2">
        <f t="shared" si="59"/>
        <v>28</v>
      </c>
      <c r="F194" t="s">
        <v>5</v>
      </c>
      <c r="H194" s="1" t="str">
        <f t="shared" si="58"/>
        <v>tcs028miercoles</v>
      </c>
      <c r="I194" t="s">
        <v>15</v>
      </c>
    </row>
    <row r="195" spans="2:9" x14ac:dyDescent="0.25">
      <c r="B195" t="s">
        <v>0</v>
      </c>
      <c r="C195" t="str">
        <f t="shared" si="47"/>
        <v>cuaresma</v>
      </c>
      <c r="D195" t="s">
        <v>2</v>
      </c>
      <c r="E195" s="2">
        <f t="shared" si="59"/>
        <v>28</v>
      </c>
      <c r="F195" t="s">
        <v>6</v>
      </c>
      <c r="H195" s="1" t="str">
        <f t="shared" si="58"/>
        <v>tcs028jueves</v>
      </c>
      <c r="I195" t="s">
        <v>15</v>
      </c>
    </row>
    <row r="196" spans="2:9" x14ac:dyDescent="0.25">
      <c r="B196" t="s">
        <v>0</v>
      </c>
      <c r="C196" t="str">
        <f t="shared" si="47"/>
        <v>cuaresma</v>
      </c>
      <c r="D196" t="s">
        <v>2</v>
      </c>
      <c r="E196" s="2">
        <f t="shared" si="59"/>
        <v>28</v>
      </c>
      <c r="F196" t="s">
        <v>7</v>
      </c>
      <c r="H196" s="1" t="str">
        <f t="shared" si="58"/>
        <v>tcs028viernes</v>
      </c>
      <c r="I196" t="s">
        <v>15</v>
      </c>
    </row>
    <row r="197" spans="2:9" x14ac:dyDescent="0.25">
      <c r="B197" t="s">
        <v>0</v>
      </c>
      <c r="C197" t="str">
        <f t="shared" si="47"/>
        <v>cuaresma</v>
      </c>
      <c r="D197" t="s">
        <v>2</v>
      </c>
      <c r="E197" s="2">
        <f t="shared" si="59"/>
        <v>28</v>
      </c>
      <c r="F197" t="s">
        <v>8</v>
      </c>
      <c r="H197" s="1" t="str">
        <f t="shared" si="58"/>
        <v>tcs028sabado</v>
      </c>
      <c r="I197" t="s">
        <v>15</v>
      </c>
    </row>
    <row r="198" spans="2:9" x14ac:dyDescent="0.25">
      <c r="B198" t="s">
        <v>0</v>
      </c>
      <c r="C198" t="str">
        <f t="shared" si="47"/>
        <v>cuaresma</v>
      </c>
      <c r="D198" t="s">
        <v>2</v>
      </c>
      <c r="E198" s="2">
        <f>+E197+1</f>
        <v>29</v>
      </c>
      <c r="F198" t="s">
        <v>9</v>
      </c>
      <c r="H198" s="1" t="str">
        <f>_xlfn.CONCAT(LEFT(B198,1),LEFT(C198,1),LEFT(D198,1),"0",E198,F198)</f>
        <v>tcs029domingo</v>
      </c>
      <c r="I198" t="s">
        <v>15</v>
      </c>
    </row>
    <row r="199" spans="2:9" x14ac:dyDescent="0.25">
      <c r="B199" t="s">
        <v>0</v>
      </c>
      <c r="C199" t="str">
        <f t="shared" si="47"/>
        <v>cuaresma</v>
      </c>
      <c r="D199" t="s">
        <v>2</v>
      </c>
      <c r="E199" s="2">
        <f>E198</f>
        <v>29</v>
      </c>
      <c r="F199" t="s">
        <v>3</v>
      </c>
      <c r="H199" s="1" t="str">
        <f t="shared" ref="H199:H204" si="60">_xlfn.CONCAT(LEFT(B199,1),LEFT(C199,1),LEFT(D199,1),"0",E199,F199)</f>
        <v>tcs029lunes</v>
      </c>
      <c r="I199" t="s">
        <v>15</v>
      </c>
    </row>
    <row r="200" spans="2:9" x14ac:dyDescent="0.25">
      <c r="B200" t="s">
        <v>0</v>
      </c>
      <c r="C200" t="str">
        <f t="shared" si="47"/>
        <v>cuaresma</v>
      </c>
      <c r="D200" t="s">
        <v>2</v>
      </c>
      <c r="E200" s="2">
        <f t="shared" ref="E200:E204" si="61">E199</f>
        <v>29</v>
      </c>
      <c r="F200" t="s">
        <v>4</v>
      </c>
      <c r="H200" s="1" t="str">
        <f t="shared" si="60"/>
        <v>tcs029martes</v>
      </c>
      <c r="I200" t="s">
        <v>15</v>
      </c>
    </row>
    <row r="201" spans="2:9" x14ac:dyDescent="0.25">
      <c r="B201" t="s">
        <v>0</v>
      </c>
      <c r="C201" t="str">
        <f t="shared" si="47"/>
        <v>cuaresma</v>
      </c>
      <c r="D201" t="s">
        <v>2</v>
      </c>
      <c r="E201" s="2">
        <f t="shared" si="61"/>
        <v>29</v>
      </c>
      <c r="F201" t="s">
        <v>5</v>
      </c>
      <c r="H201" s="1" t="str">
        <f t="shared" si="60"/>
        <v>tcs029miercoles</v>
      </c>
      <c r="I201" t="s">
        <v>15</v>
      </c>
    </row>
    <row r="202" spans="2:9" x14ac:dyDescent="0.25">
      <c r="B202" t="s">
        <v>0</v>
      </c>
      <c r="C202" t="str">
        <f t="shared" si="47"/>
        <v>cuaresma</v>
      </c>
      <c r="D202" t="s">
        <v>2</v>
      </c>
      <c r="E202" s="2">
        <f t="shared" si="61"/>
        <v>29</v>
      </c>
      <c r="F202" t="s">
        <v>6</v>
      </c>
      <c r="H202" s="1" t="str">
        <f t="shared" si="60"/>
        <v>tcs029jueves</v>
      </c>
      <c r="I202" t="s">
        <v>15</v>
      </c>
    </row>
    <row r="203" spans="2:9" x14ac:dyDescent="0.25">
      <c r="B203" t="s">
        <v>0</v>
      </c>
      <c r="C203" t="str">
        <f t="shared" si="47"/>
        <v>cuaresma</v>
      </c>
      <c r="D203" t="s">
        <v>2</v>
      </c>
      <c r="E203" s="2">
        <f t="shared" si="61"/>
        <v>29</v>
      </c>
      <c r="F203" t="s">
        <v>7</v>
      </c>
      <c r="H203" s="1" t="str">
        <f t="shared" si="60"/>
        <v>tcs029viernes</v>
      </c>
      <c r="I203" t="s">
        <v>15</v>
      </c>
    </row>
    <row r="204" spans="2:9" x14ac:dyDescent="0.25">
      <c r="B204" t="s">
        <v>0</v>
      </c>
      <c r="C204" t="str">
        <f t="shared" si="47"/>
        <v>cuaresma</v>
      </c>
      <c r="D204" t="s">
        <v>2</v>
      </c>
      <c r="E204" s="2">
        <f t="shared" si="61"/>
        <v>29</v>
      </c>
      <c r="F204" t="s">
        <v>8</v>
      </c>
      <c r="H204" s="1" t="str">
        <f t="shared" si="60"/>
        <v>tcs029sabado</v>
      </c>
      <c r="I204" t="s">
        <v>15</v>
      </c>
    </row>
    <row r="205" spans="2:9" x14ac:dyDescent="0.25">
      <c r="B205" t="s">
        <v>0</v>
      </c>
      <c r="C205" t="str">
        <f t="shared" si="47"/>
        <v>cuaresma</v>
      </c>
      <c r="D205" t="s">
        <v>2</v>
      </c>
      <c r="E205" s="2">
        <f>+E204+1</f>
        <v>30</v>
      </c>
      <c r="F205" t="s">
        <v>9</v>
      </c>
      <c r="H205" s="1" t="str">
        <f>_xlfn.CONCAT(LEFT(B205,1),LEFT(C205,1),LEFT(D205,1),"0",E205,F205)</f>
        <v>tcs030domingo</v>
      </c>
      <c r="I205" t="s">
        <v>15</v>
      </c>
    </row>
    <row r="206" spans="2:9" x14ac:dyDescent="0.25">
      <c r="B206" t="s">
        <v>0</v>
      </c>
      <c r="C206" t="str">
        <f t="shared" si="47"/>
        <v>cuaresma</v>
      </c>
      <c r="D206" t="s">
        <v>2</v>
      </c>
      <c r="E206" s="2">
        <f>E205</f>
        <v>30</v>
      </c>
      <c r="F206" t="s">
        <v>3</v>
      </c>
      <c r="H206" s="1" t="str">
        <f t="shared" ref="H206:H211" si="62">_xlfn.CONCAT(LEFT(B206,1),LEFT(C206,1),LEFT(D206,1),"0",E206,F206)</f>
        <v>tcs030lunes</v>
      </c>
      <c r="I206" t="s">
        <v>15</v>
      </c>
    </row>
    <row r="207" spans="2:9" x14ac:dyDescent="0.25">
      <c r="B207" t="s">
        <v>0</v>
      </c>
      <c r="C207" t="str">
        <f t="shared" si="47"/>
        <v>cuaresma</v>
      </c>
      <c r="D207" t="s">
        <v>2</v>
      </c>
      <c r="E207" s="2">
        <f t="shared" ref="E207:E211" si="63">E206</f>
        <v>30</v>
      </c>
      <c r="F207" t="s">
        <v>4</v>
      </c>
      <c r="H207" s="1" t="str">
        <f t="shared" si="62"/>
        <v>tcs030martes</v>
      </c>
      <c r="I207" t="s">
        <v>15</v>
      </c>
    </row>
    <row r="208" spans="2:9" x14ac:dyDescent="0.25">
      <c r="B208" t="s">
        <v>0</v>
      </c>
      <c r="C208" t="str">
        <f t="shared" si="47"/>
        <v>cuaresma</v>
      </c>
      <c r="D208" t="s">
        <v>2</v>
      </c>
      <c r="E208" s="2">
        <f t="shared" si="63"/>
        <v>30</v>
      </c>
      <c r="F208" t="s">
        <v>5</v>
      </c>
      <c r="H208" s="1" t="str">
        <f t="shared" si="62"/>
        <v>tcs030miercoles</v>
      </c>
      <c r="I208" t="s">
        <v>15</v>
      </c>
    </row>
    <row r="209" spans="2:9" x14ac:dyDescent="0.25">
      <c r="B209" t="s">
        <v>0</v>
      </c>
      <c r="C209" t="str">
        <f t="shared" si="47"/>
        <v>cuaresma</v>
      </c>
      <c r="D209" t="s">
        <v>2</v>
      </c>
      <c r="E209" s="2">
        <f t="shared" si="63"/>
        <v>30</v>
      </c>
      <c r="F209" t="s">
        <v>6</v>
      </c>
      <c r="H209" s="1" t="str">
        <f t="shared" si="62"/>
        <v>tcs030jueves</v>
      </c>
      <c r="I209" t="s">
        <v>15</v>
      </c>
    </row>
    <row r="210" spans="2:9" x14ac:dyDescent="0.25">
      <c r="B210" t="s">
        <v>0</v>
      </c>
      <c r="C210" t="str">
        <f t="shared" si="47"/>
        <v>cuaresma</v>
      </c>
      <c r="D210" t="s">
        <v>2</v>
      </c>
      <c r="E210" s="2">
        <f t="shared" si="63"/>
        <v>30</v>
      </c>
      <c r="F210" t="s">
        <v>7</v>
      </c>
      <c r="H210" s="1" t="str">
        <f t="shared" si="62"/>
        <v>tcs030viernes</v>
      </c>
      <c r="I210" t="s">
        <v>15</v>
      </c>
    </row>
    <row r="211" spans="2:9" x14ac:dyDescent="0.25">
      <c r="B211" t="s">
        <v>0</v>
      </c>
      <c r="C211" t="str">
        <f t="shared" si="47"/>
        <v>cuaresma</v>
      </c>
      <c r="D211" t="s">
        <v>2</v>
      </c>
      <c r="E211" s="2">
        <f t="shared" si="63"/>
        <v>30</v>
      </c>
      <c r="F211" t="s">
        <v>8</v>
      </c>
      <c r="H211" s="1" t="str">
        <f t="shared" si="62"/>
        <v>tcs030sabado</v>
      </c>
      <c r="I211" t="s">
        <v>15</v>
      </c>
    </row>
    <row r="212" spans="2:9" x14ac:dyDescent="0.25">
      <c r="B212" t="s">
        <v>0</v>
      </c>
      <c r="C212" t="str">
        <f t="shared" si="47"/>
        <v>cuaresma</v>
      </c>
      <c r="D212" t="s">
        <v>2</v>
      </c>
      <c r="E212" s="2">
        <f>+E211+1</f>
        <v>31</v>
      </c>
      <c r="F212" t="s">
        <v>9</v>
      </c>
      <c r="H212" s="1" t="str">
        <f>_xlfn.CONCAT(LEFT(B212,1),LEFT(C212,1),LEFT(D212,1),"0",E212,F212)</f>
        <v>tcs031domingo</v>
      </c>
      <c r="I212" t="s">
        <v>15</v>
      </c>
    </row>
    <row r="213" spans="2:9" x14ac:dyDescent="0.25">
      <c r="B213" t="s">
        <v>0</v>
      </c>
      <c r="C213" t="str">
        <f t="shared" si="47"/>
        <v>cuaresma</v>
      </c>
      <c r="D213" t="s">
        <v>2</v>
      </c>
      <c r="E213" s="2">
        <f>E212</f>
        <v>31</v>
      </c>
      <c r="F213" t="s">
        <v>3</v>
      </c>
      <c r="H213" s="1" t="str">
        <f t="shared" ref="H213:H218" si="64">_xlfn.CONCAT(LEFT(B213,1),LEFT(C213,1),LEFT(D213,1),"0",E213,F213)</f>
        <v>tcs031lunes</v>
      </c>
      <c r="I213" t="s">
        <v>15</v>
      </c>
    </row>
    <row r="214" spans="2:9" x14ac:dyDescent="0.25">
      <c r="B214" t="s">
        <v>0</v>
      </c>
      <c r="C214" t="str">
        <f t="shared" si="47"/>
        <v>cuaresma</v>
      </c>
      <c r="D214" t="s">
        <v>2</v>
      </c>
      <c r="E214" s="2">
        <f t="shared" ref="E214:E218" si="65">E213</f>
        <v>31</v>
      </c>
      <c r="F214" t="s">
        <v>4</v>
      </c>
      <c r="H214" s="1" t="str">
        <f t="shared" si="64"/>
        <v>tcs031martes</v>
      </c>
      <c r="I214" t="s">
        <v>15</v>
      </c>
    </row>
    <row r="215" spans="2:9" x14ac:dyDescent="0.25">
      <c r="B215" t="s">
        <v>0</v>
      </c>
      <c r="C215" t="str">
        <f t="shared" si="47"/>
        <v>cuaresma</v>
      </c>
      <c r="D215" t="s">
        <v>2</v>
      </c>
      <c r="E215" s="2">
        <f t="shared" si="65"/>
        <v>31</v>
      </c>
      <c r="F215" t="s">
        <v>5</v>
      </c>
      <c r="H215" s="1" t="str">
        <f t="shared" si="64"/>
        <v>tcs031miercoles</v>
      </c>
      <c r="I215" t="s">
        <v>15</v>
      </c>
    </row>
    <row r="216" spans="2:9" x14ac:dyDescent="0.25">
      <c r="B216" t="s">
        <v>0</v>
      </c>
      <c r="C216" t="str">
        <f t="shared" si="47"/>
        <v>cuaresma</v>
      </c>
      <c r="D216" t="s">
        <v>2</v>
      </c>
      <c r="E216" s="2">
        <f t="shared" si="65"/>
        <v>31</v>
      </c>
      <c r="F216" t="s">
        <v>6</v>
      </c>
      <c r="H216" s="1" t="str">
        <f t="shared" si="64"/>
        <v>tcs031jueves</v>
      </c>
      <c r="I216" t="s">
        <v>15</v>
      </c>
    </row>
    <row r="217" spans="2:9" x14ac:dyDescent="0.25">
      <c r="B217" t="s">
        <v>0</v>
      </c>
      <c r="C217" t="str">
        <f t="shared" ref="C217:C239" si="66">C216</f>
        <v>cuaresma</v>
      </c>
      <c r="D217" t="s">
        <v>2</v>
      </c>
      <c r="E217" s="2">
        <f t="shared" si="65"/>
        <v>31</v>
      </c>
      <c r="F217" t="s">
        <v>7</v>
      </c>
      <c r="H217" s="1" t="str">
        <f t="shared" si="64"/>
        <v>tcs031viernes</v>
      </c>
      <c r="I217" t="s">
        <v>15</v>
      </c>
    </row>
    <row r="218" spans="2:9" x14ac:dyDescent="0.25">
      <c r="B218" t="s">
        <v>0</v>
      </c>
      <c r="C218" t="str">
        <f t="shared" si="66"/>
        <v>cuaresma</v>
      </c>
      <c r="D218" t="s">
        <v>2</v>
      </c>
      <c r="E218" s="2">
        <f t="shared" si="65"/>
        <v>31</v>
      </c>
      <c r="F218" t="s">
        <v>8</v>
      </c>
      <c r="H218" s="1" t="str">
        <f t="shared" si="64"/>
        <v>tcs031sabado</v>
      </c>
      <c r="I218" t="s">
        <v>15</v>
      </c>
    </row>
    <row r="219" spans="2:9" x14ac:dyDescent="0.25">
      <c r="B219" t="s">
        <v>0</v>
      </c>
      <c r="C219" t="str">
        <f t="shared" si="66"/>
        <v>cuaresma</v>
      </c>
      <c r="D219" t="s">
        <v>2</v>
      </c>
      <c r="E219" s="2">
        <f>+E218+1</f>
        <v>32</v>
      </c>
      <c r="F219" t="s">
        <v>9</v>
      </c>
      <c r="H219" s="1" t="str">
        <f>_xlfn.CONCAT(LEFT(B219,1),LEFT(C219,1),LEFT(D219,1),"0",E219,F219)</f>
        <v>tcs032domingo</v>
      </c>
      <c r="I219" t="s">
        <v>15</v>
      </c>
    </row>
    <row r="220" spans="2:9" x14ac:dyDescent="0.25">
      <c r="B220" t="s">
        <v>0</v>
      </c>
      <c r="C220" t="str">
        <f t="shared" si="66"/>
        <v>cuaresma</v>
      </c>
      <c r="D220" t="s">
        <v>2</v>
      </c>
      <c r="E220" s="2">
        <f>E219</f>
        <v>32</v>
      </c>
      <c r="F220" t="s">
        <v>3</v>
      </c>
      <c r="H220" s="1" t="str">
        <f t="shared" ref="H220:H225" si="67">_xlfn.CONCAT(LEFT(B220,1),LEFT(C220,1),LEFT(D220,1),"0",E220,F220)</f>
        <v>tcs032lunes</v>
      </c>
      <c r="I220" t="s">
        <v>15</v>
      </c>
    </row>
    <row r="221" spans="2:9" x14ac:dyDescent="0.25">
      <c r="B221" t="s">
        <v>0</v>
      </c>
      <c r="C221" t="str">
        <f t="shared" si="66"/>
        <v>cuaresma</v>
      </c>
      <c r="D221" t="s">
        <v>2</v>
      </c>
      <c r="E221" s="2">
        <f t="shared" ref="E221:E225" si="68">E220</f>
        <v>32</v>
      </c>
      <c r="F221" t="s">
        <v>4</v>
      </c>
      <c r="H221" s="1" t="str">
        <f t="shared" si="67"/>
        <v>tcs032martes</v>
      </c>
      <c r="I221" t="s">
        <v>15</v>
      </c>
    </row>
    <row r="222" spans="2:9" x14ac:dyDescent="0.25">
      <c r="B222" t="s">
        <v>0</v>
      </c>
      <c r="C222" t="str">
        <f t="shared" si="66"/>
        <v>cuaresma</v>
      </c>
      <c r="D222" t="s">
        <v>2</v>
      </c>
      <c r="E222" s="2">
        <f t="shared" si="68"/>
        <v>32</v>
      </c>
      <c r="F222" t="s">
        <v>5</v>
      </c>
      <c r="H222" s="1" t="str">
        <f t="shared" si="67"/>
        <v>tcs032miercoles</v>
      </c>
      <c r="I222" t="s">
        <v>15</v>
      </c>
    </row>
    <row r="223" spans="2:9" x14ac:dyDescent="0.25">
      <c r="B223" t="s">
        <v>0</v>
      </c>
      <c r="C223" t="str">
        <f t="shared" si="66"/>
        <v>cuaresma</v>
      </c>
      <c r="D223" t="s">
        <v>2</v>
      </c>
      <c r="E223" s="2">
        <f t="shared" si="68"/>
        <v>32</v>
      </c>
      <c r="F223" t="s">
        <v>6</v>
      </c>
      <c r="H223" s="1" t="str">
        <f t="shared" si="67"/>
        <v>tcs032jueves</v>
      </c>
      <c r="I223" t="s">
        <v>15</v>
      </c>
    </row>
    <row r="224" spans="2:9" x14ac:dyDescent="0.25">
      <c r="B224" t="s">
        <v>0</v>
      </c>
      <c r="C224" t="str">
        <f t="shared" si="66"/>
        <v>cuaresma</v>
      </c>
      <c r="D224" t="s">
        <v>2</v>
      </c>
      <c r="E224" s="2">
        <f t="shared" si="68"/>
        <v>32</v>
      </c>
      <c r="F224" t="s">
        <v>7</v>
      </c>
      <c r="H224" s="1" t="str">
        <f t="shared" si="67"/>
        <v>tcs032viernes</v>
      </c>
      <c r="I224" t="s">
        <v>15</v>
      </c>
    </row>
    <row r="225" spans="2:9" x14ac:dyDescent="0.25">
      <c r="B225" t="s">
        <v>0</v>
      </c>
      <c r="C225" t="str">
        <f t="shared" si="66"/>
        <v>cuaresma</v>
      </c>
      <c r="D225" t="s">
        <v>2</v>
      </c>
      <c r="E225" s="2">
        <f t="shared" si="68"/>
        <v>32</v>
      </c>
      <c r="F225" t="s">
        <v>8</v>
      </c>
      <c r="H225" s="1" t="str">
        <f t="shared" si="67"/>
        <v>tcs032sabado</v>
      </c>
      <c r="I225" t="s">
        <v>15</v>
      </c>
    </row>
    <row r="226" spans="2:9" x14ac:dyDescent="0.25">
      <c r="B226" t="s">
        <v>0</v>
      </c>
      <c r="C226" t="str">
        <f t="shared" si="66"/>
        <v>cuaresma</v>
      </c>
      <c r="D226" t="s">
        <v>2</v>
      </c>
      <c r="E226" s="2">
        <f>+E225+1</f>
        <v>33</v>
      </c>
      <c r="F226" t="s">
        <v>9</v>
      </c>
      <c r="H226" s="1" t="str">
        <f>_xlfn.CONCAT(LEFT(B226,1),LEFT(C226,1),LEFT(D226,1),"0",E226,F226)</f>
        <v>tcs033domingo</v>
      </c>
      <c r="I226" t="s">
        <v>15</v>
      </c>
    </row>
    <row r="227" spans="2:9" x14ac:dyDescent="0.25">
      <c r="B227" t="s">
        <v>0</v>
      </c>
      <c r="C227" t="str">
        <f t="shared" si="66"/>
        <v>cuaresma</v>
      </c>
      <c r="D227" t="s">
        <v>2</v>
      </c>
      <c r="E227" s="2">
        <f>E226</f>
        <v>33</v>
      </c>
      <c r="F227" t="s">
        <v>3</v>
      </c>
      <c r="H227" s="1" t="str">
        <f t="shared" ref="H227:H232" si="69">_xlfn.CONCAT(LEFT(B227,1),LEFT(C227,1),LEFT(D227,1),"0",E227,F227)</f>
        <v>tcs033lunes</v>
      </c>
      <c r="I227" t="s">
        <v>15</v>
      </c>
    </row>
    <row r="228" spans="2:9" x14ac:dyDescent="0.25">
      <c r="B228" t="s">
        <v>0</v>
      </c>
      <c r="C228" t="str">
        <f t="shared" si="66"/>
        <v>cuaresma</v>
      </c>
      <c r="D228" t="s">
        <v>2</v>
      </c>
      <c r="E228" s="2">
        <f t="shared" ref="E228:E232" si="70">E227</f>
        <v>33</v>
      </c>
      <c r="F228" t="s">
        <v>4</v>
      </c>
      <c r="H228" s="1" t="str">
        <f t="shared" si="69"/>
        <v>tcs033martes</v>
      </c>
      <c r="I228" t="s">
        <v>15</v>
      </c>
    </row>
    <row r="229" spans="2:9" x14ac:dyDescent="0.25">
      <c r="B229" t="s">
        <v>0</v>
      </c>
      <c r="C229" t="str">
        <f t="shared" si="66"/>
        <v>cuaresma</v>
      </c>
      <c r="D229" t="s">
        <v>2</v>
      </c>
      <c r="E229" s="2">
        <f t="shared" si="70"/>
        <v>33</v>
      </c>
      <c r="F229" t="s">
        <v>5</v>
      </c>
      <c r="H229" s="1" t="str">
        <f t="shared" si="69"/>
        <v>tcs033miercoles</v>
      </c>
      <c r="I229" t="s">
        <v>15</v>
      </c>
    </row>
    <row r="230" spans="2:9" x14ac:dyDescent="0.25">
      <c r="B230" t="s">
        <v>0</v>
      </c>
      <c r="C230" t="str">
        <f t="shared" si="66"/>
        <v>cuaresma</v>
      </c>
      <c r="D230" t="s">
        <v>2</v>
      </c>
      <c r="E230" s="2">
        <f t="shared" si="70"/>
        <v>33</v>
      </c>
      <c r="F230" t="s">
        <v>6</v>
      </c>
      <c r="H230" s="1" t="str">
        <f t="shared" si="69"/>
        <v>tcs033jueves</v>
      </c>
      <c r="I230" t="s">
        <v>15</v>
      </c>
    </row>
    <row r="231" spans="2:9" x14ac:dyDescent="0.25">
      <c r="B231" t="s">
        <v>0</v>
      </c>
      <c r="C231" t="str">
        <f t="shared" si="66"/>
        <v>cuaresma</v>
      </c>
      <c r="D231" t="s">
        <v>2</v>
      </c>
      <c r="E231" s="2">
        <f t="shared" si="70"/>
        <v>33</v>
      </c>
      <c r="F231" t="s">
        <v>7</v>
      </c>
      <c r="H231" s="1" t="str">
        <f t="shared" si="69"/>
        <v>tcs033viernes</v>
      </c>
      <c r="I231" t="s">
        <v>15</v>
      </c>
    </row>
    <row r="232" spans="2:9" x14ac:dyDescent="0.25">
      <c r="B232" t="s">
        <v>0</v>
      </c>
      <c r="C232" t="str">
        <f t="shared" si="66"/>
        <v>cuaresma</v>
      </c>
      <c r="D232" t="s">
        <v>2</v>
      </c>
      <c r="E232" s="2">
        <f t="shared" si="70"/>
        <v>33</v>
      </c>
      <c r="F232" t="s">
        <v>8</v>
      </c>
      <c r="H232" s="1" t="str">
        <f t="shared" si="69"/>
        <v>tcs033sabado</v>
      </c>
      <c r="I232" t="s">
        <v>15</v>
      </c>
    </row>
    <row r="233" spans="2:9" x14ac:dyDescent="0.25">
      <c r="B233" t="s">
        <v>0</v>
      </c>
      <c r="C233" t="str">
        <f t="shared" si="66"/>
        <v>cuaresma</v>
      </c>
      <c r="D233" t="s">
        <v>2</v>
      </c>
      <c r="E233" s="2">
        <f>+E232+1</f>
        <v>34</v>
      </c>
      <c r="F233" t="s">
        <v>9</v>
      </c>
      <c r="H233" s="1" t="str">
        <f>_xlfn.CONCAT(LEFT(B233,1),LEFT(C233,1),LEFT(D233,1),"0",E233,F233)</f>
        <v>tcs034domingo</v>
      </c>
      <c r="I233" t="s">
        <v>15</v>
      </c>
    </row>
    <row r="234" spans="2:9" x14ac:dyDescent="0.25">
      <c r="B234" t="s">
        <v>0</v>
      </c>
      <c r="C234" t="str">
        <f t="shared" si="66"/>
        <v>cuaresma</v>
      </c>
      <c r="D234" t="s">
        <v>2</v>
      </c>
      <c r="E234" s="2">
        <f>E233</f>
        <v>34</v>
      </c>
      <c r="F234" t="s">
        <v>3</v>
      </c>
      <c r="H234" s="1" t="str">
        <f t="shared" ref="H234:H239" si="71">_xlfn.CONCAT(LEFT(B234,1),LEFT(C234,1),LEFT(D234,1),"0",E234,F234)</f>
        <v>tcs034lunes</v>
      </c>
      <c r="I234" t="s">
        <v>15</v>
      </c>
    </row>
    <row r="235" spans="2:9" x14ac:dyDescent="0.25">
      <c r="B235" t="s">
        <v>0</v>
      </c>
      <c r="C235" t="str">
        <f t="shared" si="66"/>
        <v>cuaresma</v>
      </c>
      <c r="D235" t="s">
        <v>2</v>
      </c>
      <c r="E235" s="2">
        <f t="shared" ref="E235:E239" si="72">E234</f>
        <v>34</v>
      </c>
      <c r="F235" t="s">
        <v>4</v>
      </c>
      <c r="H235" s="1" t="str">
        <f t="shared" si="71"/>
        <v>tcs034martes</v>
      </c>
      <c r="I235" t="s">
        <v>15</v>
      </c>
    </row>
    <row r="236" spans="2:9" x14ac:dyDescent="0.25">
      <c r="B236" t="s">
        <v>0</v>
      </c>
      <c r="C236" t="str">
        <f t="shared" si="66"/>
        <v>cuaresma</v>
      </c>
      <c r="D236" t="s">
        <v>2</v>
      </c>
      <c r="E236" s="2">
        <f t="shared" si="72"/>
        <v>34</v>
      </c>
      <c r="F236" t="s">
        <v>5</v>
      </c>
      <c r="H236" s="1" t="str">
        <f t="shared" si="71"/>
        <v>tcs034miercoles</v>
      </c>
      <c r="I236" t="s">
        <v>15</v>
      </c>
    </row>
    <row r="237" spans="2:9" x14ac:dyDescent="0.25">
      <c r="B237" t="s">
        <v>0</v>
      </c>
      <c r="C237" t="str">
        <f t="shared" si="66"/>
        <v>cuaresma</v>
      </c>
      <c r="D237" t="s">
        <v>2</v>
      </c>
      <c r="E237" s="2">
        <f t="shared" si="72"/>
        <v>34</v>
      </c>
      <c r="F237" t="s">
        <v>6</v>
      </c>
      <c r="H237" s="1" t="str">
        <f t="shared" si="71"/>
        <v>tcs034jueves</v>
      </c>
      <c r="I237" t="s">
        <v>15</v>
      </c>
    </row>
    <row r="238" spans="2:9" x14ac:dyDescent="0.25">
      <c r="B238" t="s">
        <v>0</v>
      </c>
      <c r="C238" t="str">
        <f t="shared" si="66"/>
        <v>cuaresma</v>
      </c>
      <c r="D238" t="s">
        <v>2</v>
      </c>
      <c r="E238" s="2">
        <f t="shared" si="72"/>
        <v>34</v>
      </c>
      <c r="F238" t="s">
        <v>7</v>
      </c>
      <c r="H238" s="1" t="str">
        <f t="shared" si="71"/>
        <v>tcs034viernes</v>
      </c>
      <c r="I238" t="s">
        <v>15</v>
      </c>
    </row>
    <row r="239" spans="2:9" x14ac:dyDescent="0.25">
      <c r="B239" t="s">
        <v>0</v>
      </c>
      <c r="C239" t="str">
        <f t="shared" si="66"/>
        <v>cuaresma</v>
      </c>
      <c r="D239" t="s">
        <v>2</v>
      </c>
      <c r="E239" s="2">
        <f t="shared" si="72"/>
        <v>34</v>
      </c>
      <c r="F239" t="s">
        <v>8</v>
      </c>
      <c r="H239" s="1" t="str">
        <f t="shared" si="71"/>
        <v>tcs034sabado</v>
      </c>
      <c r="I239" t="s">
        <v>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A54B9-6F0A-47A3-83A0-0595A7C9F085}">
  <dimension ref="B2:G239"/>
  <sheetViews>
    <sheetView zoomScale="130" zoomScaleNormal="130" workbookViewId="0"/>
  </sheetViews>
  <sheetFormatPr defaultRowHeight="15" x14ac:dyDescent="0.25"/>
  <sheetData>
    <row r="2" spans="2:7" x14ac:dyDescent="0.25">
      <c r="B2" t="s">
        <v>0</v>
      </c>
      <c r="C2" t="s">
        <v>13</v>
      </c>
      <c r="D2" t="s">
        <v>2</v>
      </c>
      <c r="E2" s="2">
        <v>1</v>
      </c>
      <c r="F2" t="s">
        <v>9</v>
      </c>
      <c r="G2" s="1" t="str">
        <f>_xlfn.CONCAT(LEFT(B2,1),LEFT(C2,1),LEFT(D2,1),"0",E2,F2)</f>
        <v>tps01domingo</v>
      </c>
    </row>
    <row r="3" spans="2:7" x14ac:dyDescent="0.25">
      <c r="B3" t="s">
        <v>0</v>
      </c>
      <c r="C3" t="str">
        <f t="shared" ref="C3:C23" si="0">C2</f>
        <v>pascua</v>
      </c>
      <c r="D3" t="s">
        <v>2</v>
      </c>
      <c r="E3" s="2">
        <f>E2</f>
        <v>1</v>
      </c>
      <c r="F3" t="s">
        <v>3</v>
      </c>
      <c r="G3" s="1" t="str">
        <f t="shared" ref="G3:G8" si="1">_xlfn.CONCAT(LEFT(B3,1),LEFT(C3,1),LEFT(D3,1),"0",E3,F3)</f>
        <v>tps01lunes</v>
      </c>
    </row>
    <row r="4" spans="2:7" x14ac:dyDescent="0.25">
      <c r="B4" t="s">
        <v>0</v>
      </c>
      <c r="C4" t="str">
        <f t="shared" si="0"/>
        <v>pascua</v>
      </c>
      <c r="D4" t="s">
        <v>2</v>
      </c>
      <c r="E4" s="2">
        <f t="shared" ref="E4:E8" si="2">E3</f>
        <v>1</v>
      </c>
      <c r="F4" t="s">
        <v>4</v>
      </c>
      <c r="G4" s="1" t="str">
        <f t="shared" si="1"/>
        <v>tps01martes</v>
      </c>
    </row>
    <row r="5" spans="2:7" x14ac:dyDescent="0.25">
      <c r="B5" t="s">
        <v>0</v>
      </c>
      <c r="C5" t="str">
        <f t="shared" si="0"/>
        <v>pascua</v>
      </c>
      <c r="D5" t="s">
        <v>2</v>
      </c>
      <c r="E5" s="2">
        <f t="shared" si="2"/>
        <v>1</v>
      </c>
      <c r="F5" t="s">
        <v>5</v>
      </c>
      <c r="G5" s="1" t="str">
        <f t="shared" si="1"/>
        <v>tps01miercoles</v>
      </c>
    </row>
    <row r="6" spans="2:7" x14ac:dyDescent="0.25">
      <c r="B6" t="s">
        <v>0</v>
      </c>
      <c r="C6" t="str">
        <f t="shared" si="0"/>
        <v>pascua</v>
      </c>
      <c r="D6" t="s">
        <v>2</v>
      </c>
      <c r="E6" s="2">
        <f t="shared" si="2"/>
        <v>1</v>
      </c>
      <c r="F6" t="s">
        <v>6</v>
      </c>
      <c r="G6" s="1" t="str">
        <f t="shared" si="1"/>
        <v>tps01jueves</v>
      </c>
    </row>
    <row r="7" spans="2:7" x14ac:dyDescent="0.25">
      <c r="B7" t="s">
        <v>0</v>
      </c>
      <c r="C7" t="str">
        <f t="shared" si="0"/>
        <v>pascua</v>
      </c>
      <c r="D7" t="s">
        <v>2</v>
      </c>
      <c r="E7" s="2">
        <f t="shared" si="2"/>
        <v>1</v>
      </c>
      <c r="F7" t="s">
        <v>7</v>
      </c>
      <c r="G7" s="1" t="str">
        <f t="shared" si="1"/>
        <v>tps01viernes</v>
      </c>
    </row>
    <row r="8" spans="2:7" x14ac:dyDescent="0.25">
      <c r="B8" t="s">
        <v>0</v>
      </c>
      <c r="C8" t="str">
        <f t="shared" si="0"/>
        <v>pascua</v>
      </c>
      <c r="D8" t="s">
        <v>2</v>
      </c>
      <c r="E8" s="2">
        <f t="shared" si="2"/>
        <v>1</v>
      </c>
      <c r="F8" t="s">
        <v>8</v>
      </c>
      <c r="G8" s="1" t="str">
        <f t="shared" si="1"/>
        <v>tps01sabado</v>
      </c>
    </row>
    <row r="9" spans="2:7" x14ac:dyDescent="0.25">
      <c r="B9" t="s">
        <v>0</v>
      </c>
      <c r="C9" t="str">
        <f t="shared" si="0"/>
        <v>pascua</v>
      </c>
      <c r="D9" t="s">
        <v>2</v>
      </c>
      <c r="E9" s="2">
        <f>+E8+1</f>
        <v>2</v>
      </c>
      <c r="F9" t="s">
        <v>9</v>
      </c>
      <c r="G9" s="1" t="str">
        <f>_xlfn.CONCAT(LEFT(B9,1),LEFT(C9,1),LEFT(D9,1),"0",E9,F9)</f>
        <v>tps02domingo</v>
      </c>
    </row>
    <row r="10" spans="2:7" x14ac:dyDescent="0.25">
      <c r="B10" t="s">
        <v>0</v>
      </c>
      <c r="C10" t="str">
        <f t="shared" si="0"/>
        <v>pascua</v>
      </c>
      <c r="D10" t="s">
        <v>2</v>
      </c>
      <c r="E10" s="2">
        <f>E9</f>
        <v>2</v>
      </c>
      <c r="F10" t="s">
        <v>3</v>
      </c>
      <c r="G10" s="1" t="str">
        <f t="shared" ref="G10:G15" si="3">_xlfn.CONCAT(LEFT(B10,1),LEFT(C10,1),LEFT(D10,1),"0",E10,F10)</f>
        <v>tps02lunes</v>
      </c>
    </row>
    <row r="11" spans="2:7" x14ac:dyDescent="0.25">
      <c r="B11" t="s">
        <v>0</v>
      </c>
      <c r="C11" t="str">
        <f t="shared" si="0"/>
        <v>pascua</v>
      </c>
      <c r="D11" t="s">
        <v>2</v>
      </c>
      <c r="E11" s="2">
        <f t="shared" ref="E11:E15" si="4">E10</f>
        <v>2</v>
      </c>
      <c r="F11" t="s">
        <v>4</v>
      </c>
      <c r="G11" s="1" t="str">
        <f t="shared" si="3"/>
        <v>tps02martes</v>
      </c>
    </row>
    <row r="12" spans="2:7" x14ac:dyDescent="0.25">
      <c r="B12" t="s">
        <v>0</v>
      </c>
      <c r="C12" t="str">
        <f t="shared" si="0"/>
        <v>pascua</v>
      </c>
      <c r="D12" t="s">
        <v>2</v>
      </c>
      <c r="E12" s="2">
        <f t="shared" si="4"/>
        <v>2</v>
      </c>
      <c r="F12" t="s">
        <v>5</v>
      </c>
      <c r="G12" s="1" t="str">
        <f t="shared" si="3"/>
        <v>tps02miercoles</v>
      </c>
    </row>
    <row r="13" spans="2:7" x14ac:dyDescent="0.25">
      <c r="B13" t="s">
        <v>0</v>
      </c>
      <c r="C13" t="str">
        <f t="shared" si="0"/>
        <v>pascua</v>
      </c>
      <c r="D13" t="s">
        <v>2</v>
      </c>
      <c r="E13" s="2">
        <f t="shared" si="4"/>
        <v>2</v>
      </c>
      <c r="F13" t="s">
        <v>6</v>
      </c>
      <c r="G13" s="1" t="str">
        <f t="shared" si="3"/>
        <v>tps02jueves</v>
      </c>
    </row>
    <row r="14" spans="2:7" x14ac:dyDescent="0.25">
      <c r="B14" t="s">
        <v>0</v>
      </c>
      <c r="C14" t="str">
        <f t="shared" si="0"/>
        <v>pascua</v>
      </c>
      <c r="D14" t="s">
        <v>2</v>
      </c>
      <c r="E14" s="2">
        <f t="shared" si="4"/>
        <v>2</v>
      </c>
      <c r="F14" t="s">
        <v>7</v>
      </c>
      <c r="G14" s="1" t="str">
        <f t="shared" si="3"/>
        <v>tps02viernes</v>
      </c>
    </row>
    <row r="15" spans="2:7" x14ac:dyDescent="0.25">
      <c r="B15" t="s">
        <v>0</v>
      </c>
      <c r="C15" t="str">
        <f t="shared" si="0"/>
        <v>pascua</v>
      </c>
      <c r="D15" t="s">
        <v>2</v>
      </c>
      <c r="E15" s="2">
        <f t="shared" si="4"/>
        <v>2</v>
      </c>
      <c r="F15" t="s">
        <v>8</v>
      </c>
      <c r="G15" s="1" t="str">
        <f t="shared" si="3"/>
        <v>tps02sabado</v>
      </c>
    </row>
    <row r="16" spans="2:7" x14ac:dyDescent="0.25">
      <c r="B16" t="s">
        <v>0</v>
      </c>
      <c r="C16" t="str">
        <f t="shared" si="0"/>
        <v>pascua</v>
      </c>
      <c r="D16" t="s">
        <v>2</v>
      </c>
      <c r="E16" s="2">
        <f>+E15+1</f>
        <v>3</v>
      </c>
      <c r="F16" t="s">
        <v>9</v>
      </c>
      <c r="G16" s="1" t="str">
        <f>_xlfn.CONCAT(LEFT(B16,1),LEFT(C16,1),LEFT(D16,1),"0",E16,F16)</f>
        <v>tps03domingo</v>
      </c>
    </row>
    <row r="17" spans="2:7" x14ac:dyDescent="0.25">
      <c r="B17" t="s">
        <v>0</v>
      </c>
      <c r="C17" t="str">
        <f t="shared" si="0"/>
        <v>pascua</v>
      </c>
      <c r="D17" t="s">
        <v>2</v>
      </c>
      <c r="E17" s="2">
        <f>E16</f>
        <v>3</v>
      </c>
      <c r="F17" t="s">
        <v>3</v>
      </c>
      <c r="G17" s="1" t="str">
        <f t="shared" ref="G17:G22" si="5">_xlfn.CONCAT(LEFT(B17,1),LEFT(C17,1),LEFT(D17,1),"0",E17,F17)</f>
        <v>tps03lunes</v>
      </c>
    </row>
    <row r="18" spans="2:7" x14ac:dyDescent="0.25">
      <c r="B18" t="s">
        <v>0</v>
      </c>
      <c r="C18" t="str">
        <f t="shared" si="0"/>
        <v>pascua</v>
      </c>
      <c r="D18" t="s">
        <v>2</v>
      </c>
      <c r="E18" s="2">
        <f t="shared" ref="E18:E22" si="6">E17</f>
        <v>3</v>
      </c>
      <c r="F18" t="s">
        <v>4</v>
      </c>
      <c r="G18" s="1" t="str">
        <f t="shared" si="5"/>
        <v>tps03martes</v>
      </c>
    </row>
    <row r="19" spans="2:7" x14ac:dyDescent="0.25">
      <c r="B19" t="s">
        <v>0</v>
      </c>
      <c r="C19" t="str">
        <f t="shared" si="0"/>
        <v>pascua</v>
      </c>
      <c r="D19" t="s">
        <v>2</v>
      </c>
      <c r="E19" s="2">
        <f t="shared" si="6"/>
        <v>3</v>
      </c>
      <c r="F19" t="s">
        <v>5</v>
      </c>
      <c r="G19" s="1" t="str">
        <f t="shared" si="5"/>
        <v>tps03miercoles</v>
      </c>
    </row>
    <row r="20" spans="2:7" x14ac:dyDescent="0.25">
      <c r="B20" t="s">
        <v>0</v>
      </c>
      <c r="C20" t="str">
        <f t="shared" si="0"/>
        <v>pascua</v>
      </c>
      <c r="D20" t="s">
        <v>2</v>
      </c>
      <c r="E20" s="2">
        <f t="shared" si="6"/>
        <v>3</v>
      </c>
      <c r="F20" t="s">
        <v>6</v>
      </c>
      <c r="G20" s="1" t="str">
        <f t="shared" si="5"/>
        <v>tps03jueves</v>
      </c>
    </row>
    <row r="21" spans="2:7" x14ac:dyDescent="0.25">
      <c r="B21" t="s">
        <v>0</v>
      </c>
      <c r="C21" t="str">
        <f t="shared" si="0"/>
        <v>pascua</v>
      </c>
      <c r="D21" t="s">
        <v>2</v>
      </c>
      <c r="E21" s="2">
        <f t="shared" si="6"/>
        <v>3</v>
      </c>
      <c r="F21" t="s">
        <v>7</v>
      </c>
      <c r="G21" s="1" t="str">
        <f t="shared" si="5"/>
        <v>tps03viernes</v>
      </c>
    </row>
    <row r="22" spans="2:7" x14ac:dyDescent="0.25">
      <c r="B22" t="s">
        <v>0</v>
      </c>
      <c r="C22" t="str">
        <f t="shared" si="0"/>
        <v>pascua</v>
      </c>
      <c r="D22" t="s">
        <v>2</v>
      </c>
      <c r="E22" s="2">
        <f t="shared" si="6"/>
        <v>3</v>
      </c>
      <c r="F22" t="s">
        <v>8</v>
      </c>
      <c r="G22" s="1" t="str">
        <f t="shared" si="5"/>
        <v>tps03sabado</v>
      </c>
    </row>
    <row r="23" spans="2:7" x14ac:dyDescent="0.25">
      <c r="B23" t="s">
        <v>0</v>
      </c>
      <c r="C23" t="str">
        <f t="shared" si="0"/>
        <v>pascua</v>
      </c>
      <c r="D23" t="s">
        <v>2</v>
      </c>
      <c r="E23" s="2">
        <f>+E22+1</f>
        <v>4</v>
      </c>
      <c r="F23" t="s">
        <v>9</v>
      </c>
      <c r="G23" s="1" t="str">
        <f>_xlfn.CONCAT(LEFT(B23,1),LEFT(C23,1),LEFT(D23,1),"0",E23,F23)</f>
        <v>tps04domingo</v>
      </c>
    </row>
    <row r="24" spans="2:7" x14ac:dyDescent="0.25">
      <c r="B24" t="s">
        <v>0</v>
      </c>
      <c r="C24" t="str">
        <f>C23</f>
        <v>pascua</v>
      </c>
      <c r="D24" t="s">
        <v>2</v>
      </c>
      <c r="E24" s="2">
        <f>E23</f>
        <v>4</v>
      </c>
      <c r="F24" t="s">
        <v>3</v>
      </c>
      <c r="G24" s="1" t="str">
        <f t="shared" ref="G24:G29" si="7">_xlfn.CONCAT(LEFT(B24,1),LEFT(C24,1),LEFT(D24,1),"0",E24,F24)</f>
        <v>tps04lunes</v>
      </c>
    </row>
    <row r="25" spans="2:7" x14ac:dyDescent="0.25">
      <c r="B25" t="s">
        <v>0</v>
      </c>
      <c r="C25" t="str">
        <f t="shared" ref="C25:C88" si="8">C24</f>
        <v>pascua</v>
      </c>
      <c r="D25" t="s">
        <v>2</v>
      </c>
      <c r="E25" s="2">
        <f t="shared" ref="E25:E29" si="9">E24</f>
        <v>4</v>
      </c>
      <c r="F25" t="s">
        <v>4</v>
      </c>
      <c r="G25" s="1" t="str">
        <f t="shared" si="7"/>
        <v>tps04martes</v>
      </c>
    </row>
    <row r="26" spans="2:7" x14ac:dyDescent="0.25">
      <c r="B26" t="s">
        <v>0</v>
      </c>
      <c r="C26" t="str">
        <f t="shared" si="8"/>
        <v>pascua</v>
      </c>
      <c r="D26" t="s">
        <v>2</v>
      </c>
      <c r="E26" s="2">
        <f t="shared" si="9"/>
        <v>4</v>
      </c>
      <c r="F26" t="s">
        <v>5</v>
      </c>
      <c r="G26" s="1" t="str">
        <f t="shared" si="7"/>
        <v>tps04miercoles</v>
      </c>
    </row>
    <row r="27" spans="2:7" x14ac:dyDescent="0.25">
      <c r="B27" t="s">
        <v>0</v>
      </c>
      <c r="C27" t="str">
        <f t="shared" si="8"/>
        <v>pascua</v>
      </c>
      <c r="D27" t="s">
        <v>2</v>
      </c>
      <c r="E27" s="2">
        <f t="shared" si="9"/>
        <v>4</v>
      </c>
      <c r="F27" t="s">
        <v>6</v>
      </c>
      <c r="G27" s="1" t="str">
        <f t="shared" si="7"/>
        <v>tps04jueves</v>
      </c>
    </row>
    <row r="28" spans="2:7" x14ac:dyDescent="0.25">
      <c r="B28" t="s">
        <v>0</v>
      </c>
      <c r="C28" t="str">
        <f t="shared" si="8"/>
        <v>pascua</v>
      </c>
      <c r="D28" t="s">
        <v>2</v>
      </c>
      <c r="E28" s="2">
        <f t="shared" si="9"/>
        <v>4</v>
      </c>
      <c r="F28" t="s">
        <v>7</v>
      </c>
      <c r="G28" s="1" t="str">
        <f t="shared" si="7"/>
        <v>tps04viernes</v>
      </c>
    </row>
    <row r="29" spans="2:7" x14ac:dyDescent="0.25">
      <c r="B29" t="s">
        <v>0</v>
      </c>
      <c r="C29" t="str">
        <f t="shared" si="8"/>
        <v>pascua</v>
      </c>
      <c r="D29" t="s">
        <v>2</v>
      </c>
      <c r="E29" s="2">
        <f t="shared" si="9"/>
        <v>4</v>
      </c>
      <c r="F29" t="s">
        <v>8</v>
      </c>
      <c r="G29" s="1" t="str">
        <f t="shared" si="7"/>
        <v>tps04sabado</v>
      </c>
    </row>
    <row r="30" spans="2:7" x14ac:dyDescent="0.25">
      <c r="B30" t="s">
        <v>0</v>
      </c>
      <c r="C30" t="str">
        <f t="shared" si="8"/>
        <v>pascua</v>
      </c>
      <c r="D30" t="s">
        <v>2</v>
      </c>
      <c r="E30" s="2">
        <f>+E29+1</f>
        <v>5</v>
      </c>
      <c r="F30" t="s">
        <v>9</v>
      </c>
      <c r="G30" s="1" t="str">
        <f>_xlfn.CONCAT(LEFT(B30,1),LEFT(C30,1),LEFT(D30,1),"0",E30,F30)</f>
        <v>tps05domingo</v>
      </c>
    </row>
    <row r="31" spans="2:7" x14ac:dyDescent="0.25">
      <c r="B31" t="s">
        <v>0</v>
      </c>
      <c r="C31" t="str">
        <f t="shared" si="8"/>
        <v>pascua</v>
      </c>
      <c r="D31" t="s">
        <v>2</v>
      </c>
      <c r="E31" s="2">
        <f>E30</f>
        <v>5</v>
      </c>
      <c r="F31" t="s">
        <v>3</v>
      </c>
      <c r="G31" s="1" t="str">
        <f t="shared" ref="G31:G36" si="10">_xlfn.CONCAT(LEFT(B31,1),LEFT(C31,1),LEFT(D31,1),"0",E31,F31)</f>
        <v>tps05lunes</v>
      </c>
    </row>
    <row r="32" spans="2:7" x14ac:dyDescent="0.25">
      <c r="B32" t="s">
        <v>0</v>
      </c>
      <c r="C32" t="str">
        <f t="shared" si="8"/>
        <v>pascua</v>
      </c>
      <c r="D32" t="s">
        <v>2</v>
      </c>
      <c r="E32" s="2">
        <f t="shared" ref="E32:E36" si="11">E31</f>
        <v>5</v>
      </c>
      <c r="F32" t="s">
        <v>4</v>
      </c>
      <c r="G32" s="1" t="str">
        <f t="shared" si="10"/>
        <v>tps05martes</v>
      </c>
    </row>
    <row r="33" spans="2:7" x14ac:dyDescent="0.25">
      <c r="B33" t="s">
        <v>0</v>
      </c>
      <c r="C33" t="str">
        <f t="shared" si="8"/>
        <v>pascua</v>
      </c>
      <c r="D33" t="s">
        <v>2</v>
      </c>
      <c r="E33" s="2">
        <f t="shared" si="11"/>
        <v>5</v>
      </c>
      <c r="F33" t="s">
        <v>5</v>
      </c>
      <c r="G33" s="1" t="str">
        <f t="shared" si="10"/>
        <v>tps05miercoles</v>
      </c>
    </row>
    <row r="34" spans="2:7" x14ac:dyDescent="0.25">
      <c r="B34" t="s">
        <v>0</v>
      </c>
      <c r="C34" t="str">
        <f t="shared" si="8"/>
        <v>pascua</v>
      </c>
      <c r="D34" t="s">
        <v>2</v>
      </c>
      <c r="E34" s="2">
        <f t="shared" si="11"/>
        <v>5</v>
      </c>
      <c r="F34" t="s">
        <v>6</v>
      </c>
      <c r="G34" s="1" t="str">
        <f t="shared" si="10"/>
        <v>tps05jueves</v>
      </c>
    </row>
    <row r="35" spans="2:7" x14ac:dyDescent="0.25">
      <c r="B35" t="s">
        <v>0</v>
      </c>
      <c r="C35" t="str">
        <f t="shared" si="8"/>
        <v>pascua</v>
      </c>
      <c r="D35" t="s">
        <v>2</v>
      </c>
      <c r="E35" s="2">
        <f t="shared" si="11"/>
        <v>5</v>
      </c>
      <c r="F35" t="s">
        <v>7</v>
      </c>
      <c r="G35" s="1" t="str">
        <f t="shared" si="10"/>
        <v>tps05viernes</v>
      </c>
    </row>
    <row r="36" spans="2:7" x14ac:dyDescent="0.25">
      <c r="B36" t="s">
        <v>0</v>
      </c>
      <c r="C36" t="str">
        <f t="shared" si="8"/>
        <v>pascua</v>
      </c>
      <c r="D36" t="s">
        <v>2</v>
      </c>
      <c r="E36" s="2">
        <f t="shared" si="11"/>
        <v>5</v>
      </c>
      <c r="F36" t="s">
        <v>8</v>
      </c>
      <c r="G36" s="1" t="str">
        <f t="shared" si="10"/>
        <v>tps05sabado</v>
      </c>
    </row>
    <row r="37" spans="2:7" x14ac:dyDescent="0.25">
      <c r="B37" t="s">
        <v>0</v>
      </c>
      <c r="C37" t="str">
        <f t="shared" si="8"/>
        <v>pascua</v>
      </c>
      <c r="D37" t="s">
        <v>2</v>
      </c>
      <c r="E37" s="2">
        <f>+E36+1</f>
        <v>6</v>
      </c>
      <c r="F37" t="s">
        <v>9</v>
      </c>
      <c r="G37" s="1" t="str">
        <f>_xlfn.CONCAT(LEFT(B37,1),LEFT(C37,1),LEFT(D37,1),"0",E37,F37)</f>
        <v>tps06domingo</v>
      </c>
    </row>
    <row r="38" spans="2:7" x14ac:dyDescent="0.25">
      <c r="B38" t="s">
        <v>0</v>
      </c>
      <c r="C38" t="str">
        <f t="shared" si="8"/>
        <v>pascua</v>
      </c>
      <c r="D38" t="s">
        <v>2</v>
      </c>
      <c r="E38" s="2">
        <f>E37</f>
        <v>6</v>
      </c>
      <c r="F38" t="s">
        <v>3</v>
      </c>
      <c r="G38" s="1" t="str">
        <f t="shared" ref="G38:G43" si="12">_xlfn.CONCAT(LEFT(B38,1),LEFT(C38,1),LEFT(D38,1),"0",E38,F38)</f>
        <v>tps06lunes</v>
      </c>
    </row>
    <row r="39" spans="2:7" x14ac:dyDescent="0.25">
      <c r="B39" t="s">
        <v>0</v>
      </c>
      <c r="C39" t="str">
        <f t="shared" si="8"/>
        <v>pascua</v>
      </c>
      <c r="D39" t="s">
        <v>2</v>
      </c>
      <c r="E39" s="2">
        <f t="shared" ref="E39:E43" si="13">E38</f>
        <v>6</v>
      </c>
      <c r="F39" t="s">
        <v>4</v>
      </c>
      <c r="G39" s="1" t="str">
        <f t="shared" si="12"/>
        <v>tps06martes</v>
      </c>
    </row>
    <row r="40" spans="2:7" x14ac:dyDescent="0.25">
      <c r="B40" t="s">
        <v>0</v>
      </c>
      <c r="C40" t="str">
        <f t="shared" si="8"/>
        <v>pascua</v>
      </c>
      <c r="D40" t="s">
        <v>2</v>
      </c>
      <c r="E40" s="2">
        <f t="shared" si="13"/>
        <v>6</v>
      </c>
      <c r="F40" t="s">
        <v>5</v>
      </c>
      <c r="G40" s="1" t="str">
        <f t="shared" si="12"/>
        <v>tps06miercoles</v>
      </c>
    </row>
    <row r="41" spans="2:7" x14ac:dyDescent="0.25">
      <c r="B41" t="s">
        <v>0</v>
      </c>
      <c r="C41" t="str">
        <f t="shared" si="8"/>
        <v>pascua</v>
      </c>
      <c r="D41" t="s">
        <v>2</v>
      </c>
      <c r="E41" s="2">
        <f t="shared" si="13"/>
        <v>6</v>
      </c>
      <c r="F41" t="s">
        <v>6</v>
      </c>
      <c r="G41" s="1" t="str">
        <f t="shared" si="12"/>
        <v>tps06jueves</v>
      </c>
    </row>
    <row r="42" spans="2:7" x14ac:dyDescent="0.25">
      <c r="B42" t="s">
        <v>0</v>
      </c>
      <c r="C42" t="str">
        <f t="shared" si="8"/>
        <v>pascua</v>
      </c>
      <c r="D42" t="s">
        <v>2</v>
      </c>
      <c r="E42" s="2">
        <f t="shared" si="13"/>
        <v>6</v>
      </c>
      <c r="F42" t="s">
        <v>7</v>
      </c>
      <c r="G42" s="1" t="str">
        <f t="shared" si="12"/>
        <v>tps06viernes</v>
      </c>
    </row>
    <row r="43" spans="2:7" x14ac:dyDescent="0.25">
      <c r="B43" t="s">
        <v>0</v>
      </c>
      <c r="C43" t="str">
        <f t="shared" si="8"/>
        <v>pascua</v>
      </c>
      <c r="D43" t="s">
        <v>2</v>
      </c>
      <c r="E43" s="2">
        <f t="shared" si="13"/>
        <v>6</v>
      </c>
      <c r="F43" t="s">
        <v>8</v>
      </c>
      <c r="G43" s="1" t="str">
        <f t="shared" si="12"/>
        <v>tps06sabado</v>
      </c>
    </row>
    <row r="44" spans="2:7" x14ac:dyDescent="0.25">
      <c r="B44" t="s">
        <v>0</v>
      </c>
      <c r="C44" t="str">
        <f t="shared" si="8"/>
        <v>pascua</v>
      </c>
      <c r="D44" t="s">
        <v>2</v>
      </c>
      <c r="E44" s="2">
        <f>+E43+1</f>
        <v>7</v>
      </c>
      <c r="F44" t="s">
        <v>9</v>
      </c>
      <c r="G44" s="1" t="str">
        <f>_xlfn.CONCAT(LEFT(B44,1),LEFT(C44,1),LEFT(D44,1),"0",E44,F44)</f>
        <v>tps07domingo</v>
      </c>
    </row>
    <row r="45" spans="2:7" x14ac:dyDescent="0.25">
      <c r="B45" t="s">
        <v>0</v>
      </c>
      <c r="C45" t="str">
        <f t="shared" si="8"/>
        <v>pascua</v>
      </c>
      <c r="D45" t="s">
        <v>2</v>
      </c>
      <c r="E45" s="2">
        <f>E44</f>
        <v>7</v>
      </c>
      <c r="F45" t="s">
        <v>3</v>
      </c>
      <c r="G45" s="1" t="str">
        <f t="shared" ref="G45:G50" si="14">_xlfn.CONCAT(LEFT(B45,1),LEFT(C45,1),LEFT(D45,1),"0",E45,F45)</f>
        <v>tps07lunes</v>
      </c>
    </row>
    <row r="46" spans="2:7" x14ac:dyDescent="0.25">
      <c r="B46" t="s">
        <v>0</v>
      </c>
      <c r="C46" t="str">
        <f t="shared" si="8"/>
        <v>pascua</v>
      </c>
      <c r="D46" t="s">
        <v>2</v>
      </c>
      <c r="E46" s="2">
        <f t="shared" ref="E46:E50" si="15">E45</f>
        <v>7</v>
      </c>
      <c r="F46" t="s">
        <v>4</v>
      </c>
      <c r="G46" s="1" t="str">
        <f t="shared" si="14"/>
        <v>tps07martes</v>
      </c>
    </row>
    <row r="47" spans="2:7" x14ac:dyDescent="0.25">
      <c r="B47" t="s">
        <v>0</v>
      </c>
      <c r="C47" t="str">
        <f t="shared" si="8"/>
        <v>pascua</v>
      </c>
      <c r="D47" t="s">
        <v>2</v>
      </c>
      <c r="E47" s="2">
        <f t="shared" si="15"/>
        <v>7</v>
      </c>
      <c r="F47" t="s">
        <v>5</v>
      </c>
      <c r="G47" s="1" t="str">
        <f t="shared" si="14"/>
        <v>tps07miercoles</v>
      </c>
    </row>
    <row r="48" spans="2:7" x14ac:dyDescent="0.25">
      <c r="B48" t="s">
        <v>0</v>
      </c>
      <c r="C48" t="str">
        <f t="shared" si="8"/>
        <v>pascua</v>
      </c>
      <c r="D48" t="s">
        <v>2</v>
      </c>
      <c r="E48" s="2">
        <f t="shared" si="15"/>
        <v>7</v>
      </c>
      <c r="F48" t="s">
        <v>6</v>
      </c>
      <c r="G48" s="1" t="str">
        <f t="shared" si="14"/>
        <v>tps07jueves</v>
      </c>
    </row>
    <row r="49" spans="2:7" x14ac:dyDescent="0.25">
      <c r="B49" t="s">
        <v>0</v>
      </c>
      <c r="C49" t="str">
        <f t="shared" si="8"/>
        <v>pascua</v>
      </c>
      <c r="D49" t="s">
        <v>2</v>
      </c>
      <c r="E49" s="2">
        <f t="shared" si="15"/>
        <v>7</v>
      </c>
      <c r="F49" t="s">
        <v>7</v>
      </c>
      <c r="G49" s="1" t="str">
        <f t="shared" si="14"/>
        <v>tps07viernes</v>
      </c>
    </row>
    <row r="50" spans="2:7" x14ac:dyDescent="0.25">
      <c r="B50" t="s">
        <v>0</v>
      </c>
      <c r="C50" t="str">
        <f t="shared" si="8"/>
        <v>pascua</v>
      </c>
      <c r="D50" t="s">
        <v>2</v>
      </c>
      <c r="E50" s="2">
        <f t="shared" si="15"/>
        <v>7</v>
      </c>
      <c r="F50" t="s">
        <v>8</v>
      </c>
      <c r="G50" s="1" t="str">
        <f t="shared" si="14"/>
        <v>tps07sabado</v>
      </c>
    </row>
    <row r="51" spans="2:7" x14ac:dyDescent="0.25">
      <c r="B51" t="s">
        <v>0</v>
      </c>
      <c r="C51" t="str">
        <f t="shared" si="8"/>
        <v>pascua</v>
      </c>
      <c r="D51" t="s">
        <v>2</v>
      </c>
      <c r="E51" s="2">
        <f>+E50+1</f>
        <v>8</v>
      </c>
      <c r="F51" t="s">
        <v>9</v>
      </c>
      <c r="G51" s="1" t="str">
        <f>_xlfn.CONCAT(LEFT(B51,1),LEFT(C51,1),LEFT(D51,1),"0",E51,F51)</f>
        <v>tps08domingo</v>
      </c>
    </row>
    <row r="52" spans="2:7" x14ac:dyDescent="0.25">
      <c r="B52" t="s">
        <v>0</v>
      </c>
      <c r="C52" t="str">
        <f t="shared" si="8"/>
        <v>pascua</v>
      </c>
      <c r="D52" t="s">
        <v>2</v>
      </c>
      <c r="E52" s="2">
        <f>E51</f>
        <v>8</v>
      </c>
      <c r="F52" t="s">
        <v>3</v>
      </c>
      <c r="G52" s="1" t="str">
        <f t="shared" ref="G52:G57" si="16">_xlfn.CONCAT(LEFT(B52,1),LEFT(C52,1),LEFT(D52,1),"0",E52,F52)</f>
        <v>tps08lunes</v>
      </c>
    </row>
    <row r="53" spans="2:7" x14ac:dyDescent="0.25">
      <c r="B53" t="s">
        <v>0</v>
      </c>
      <c r="C53" t="str">
        <f t="shared" si="8"/>
        <v>pascua</v>
      </c>
      <c r="D53" t="s">
        <v>2</v>
      </c>
      <c r="E53" s="2">
        <f t="shared" ref="E53:E57" si="17">E52</f>
        <v>8</v>
      </c>
      <c r="F53" t="s">
        <v>4</v>
      </c>
      <c r="G53" s="1" t="str">
        <f t="shared" si="16"/>
        <v>tps08martes</v>
      </c>
    </row>
    <row r="54" spans="2:7" x14ac:dyDescent="0.25">
      <c r="B54" t="s">
        <v>0</v>
      </c>
      <c r="C54" t="str">
        <f t="shared" si="8"/>
        <v>pascua</v>
      </c>
      <c r="D54" t="s">
        <v>2</v>
      </c>
      <c r="E54" s="2">
        <f t="shared" si="17"/>
        <v>8</v>
      </c>
      <c r="F54" t="s">
        <v>5</v>
      </c>
      <c r="G54" s="1" t="str">
        <f t="shared" si="16"/>
        <v>tps08miercoles</v>
      </c>
    </row>
    <row r="55" spans="2:7" x14ac:dyDescent="0.25">
      <c r="B55" t="s">
        <v>0</v>
      </c>
      <c r="C55" t="str">
        <f t="shared" si="8"/>
        <v>pascua</v>
      </c>
      <c r="D55" t="s">
        <v>2</v>
      </c>
      <c r="E55" s="2">
        <f t="shared" si="17"/>
        <v>8</v>
      </c>
      <c r="F55" t="s">
        <v>6</v>
      </c>
      <c r="G55" s="1" t="str">
        <f t="shared" si="16"/>
        <v>tps08jueves</v>
      </c>
    </row>
    <row r="56" spans="2:7" x14ac:dyDescent="0.25">
      <c r="B56" t="s">
        <v>0</v>
      </c>
      <c r="C56" t="str">
        <f t="shared" si="8"/>
        <v>pascua</v>
      </c>
      <c r="D56" t="s">
        <v>2</v>
      </c>
      <c r="E56" s="2">
        <f t="shared" si="17"/>
        <v>8</v>
      </c>
      <c r="F56" t="s">
        <v>7</v>
      </c>
      <c r="G56" s="1" t="str">
        <f t="shared" si="16"/>
        <v>tps08viernes</v>
      </c>
    </row>
    <row r="57" spans="2:7" x14ac:dyDescent="0.25">
      <c r="B57" t="s">
        <v>0</v>
      </c>
      <c r="C57" t="str">
        <f t="shared" si="8"/>
        <v>pascua</v>
      </c>
      <c r="D57" t="s">
        <v>2</v>
      </c>
      <c r="E57" s="2">
        <f t="shared" si="17"/>
        <v>8</v>
      </c>
      <c r="F57" t="s">
        <v>8</v>
      </c>
      <c r="G57" s="1" t="str">
        <f t="shared" si="16"/>
        <v>tps08sabado</v>
      </c>
    </row>
    <row r="58" spans="2:7" x14ac:dyDescent="0.25">
      <c r="B58" t="s">
        <v>0</v>
      </c>
      <c r="C58" t="str">
        <f t="shared" si="8"/>
        <v>pascua</v>
      </c>
      <c r="D58" t="s">
        <v>2</v>
      </c>
      <c r="E58" s="2">
        <f>+E57+1</f>
        <v>9</v>
      </c>
      <c r="F58" t="s">
        <v>9</v>
      </c>
      <c r="G58" s="1" t="str">
        <f>_xlfn.CONCAT(LEFT(B58,1),LEFT(C58,1),LEFT(D58,1),"0",E58,F58)</f>
        <v>tps09domingo</v>
      </c>
    </row>
    <row r="59" spans="2:7" x14ac:dyDescent="0.25">
      <c r="B59" t="s">
        <v>0</v>
      </c>
      <c r="C59" t="str">
        <f t="shared" si="8"/>
        <v>pascua</v>
      </c>
      <c r="D59" t="s">
        <v>2</v>
      </c>
      <c r="E59" s="2">
        <f>E58</f>
        <v>9</v>
      </c>
      <c r="F59" t="s">
        <v>3</v>
      </c>
      <c r="G59" s="1" t="str">
        <f t="shared" ref="G59:G64" si="18">_xlfn.CONCAT(LEFT(B59,1),LEFT(C59,1),LEFT(D59,1),"0",E59,F59)</f>
        <v>tps09lunes</v>
      </c>
    </row>
    <row r="60" spans="2:7" x14ac:dyDescent="0.25">
      <c r="B60" t="s">
        <v>0</v>
      </c>
      <c r="C60" t="str">
        <f t="shared" si="8"/>
        <v>pascua</v>
      </c>
      <c r="D60" t="s">
        <v>2</v>
      </c>
      <c r="E60" s="2">
        <f t="shared" ref="E60:E64" si="19">E59</f>
        <v>9</v>
      </c>
      <c r="F60" t="s">
        <v>4</v>
      </c>
      <c r="G60" s="1" t="str">
        <f t="shared" si="18"/>
        <v>tps09martes</v>
      </c>
    </row>
    <row r="61" spans="2:7" x14ac:dyDescent="0.25">
      <c r="B61" t="s">
        <v>0</v>
      </c>
      <c r="C61" t="str">
        <f t="shared" si="8"/>
        <v>pascua</v>
      </c>
      <c r="D61" t="s">
        <v>2</v>
      </c>
      <c r="E61" s="2">
        <f t="shared" si="19"/>
        <v>9</v>
      </c>
      <c r="F61" t="s">
        <v>5</v>
      </c>
      <c r="G61" s="1" t="str">
        <f t="shared" si="18"/>
        <v>tps09miercoles</v>
      </c>
    </row>
    <row r="62" spans="2:7" x14ac:dyDescent="0.25">
      <c r="B62" t="s">
        <v>0</v>
      </c>
      <c r="C62" t="str">
        <f t="shared" si="8"/>
        <v>pascua</v>
      </c>
      <c r="D62" t="s">
        <v>2</v>
      </c>
      <c r="E62" s="2">
        <f t="shared" si="19"/>
        <v>9</v>
      </c>
      <c r="F62" t="s">
        <v>6</v>
      </c>
      <c r="G62" s="1" t="str">
        <f t="shared" si="18"/>
        <v>tps09jueves</v>
      </c>
    </row>
    <row r="63" spans="2:7" x14ac:dyDescent="0.25">
      <c r="B63" t="s">
        <v>0</v>
      </c>
      <c r="C63" t="str">
        <f t="shared" si="8"/>
        <v>pascua</v>
      </c>
      <c r="D63" t="s">
        <v>2</v>
      </c>
      <c r="E63" s="2">
        <f t="shared" si="19"/>
        <v>9</v>
      </c>
      <c r="F63" t="s">
        <v>7</v>
      </c>
      <c r="G63" s="1" t="str">
        <f t="shared" si="18"/>
        <v>tps09viernes</v>
      </c>
    </row>
    <row r="64" spans="2:7" x14ac:dyDescent="0.25">
      <c r="B64" t="s">
        <v>0</v>
      </c>
      <c r="C64" t="str">
        <f t="shared" si="8"/>
        <v>pascua</v>
      </c>
      <c r="D64" t="s">
        <v>2</v>
      </c>
      <c r="E64" s="2">
        <f t="shared" si="19"/>
        <v>9</v>
      </c>
      <c r="F64" t="s">
        <v>8</v>
      </c>
      <c r="G64" s="1" t="str">
        <f t="shared" si="18"/>
        <v>tps09sabado</v>
      </c>
    </row>
    <row r="65" spans="2:7" x14ac:dyDescent="0.25">
      <c r="B65" t="s">
        <v>0</v>
      </c>
      <c r="C65" t="str">
        <f t="shared" si="8"/>
        <v>pascua</v>
      </c>
      <c r="D65" t="s">
        <v>2</v>
      </c>
      <c r="E65" s="2">
        <f>+E64+1</f>
        <v>10</v>
      </c>
      <c r="F65" t="s">
        <v>9</v>
      </c>
      <c r="G65" s="1" t="str">
        <f>_xlfn.CONCAT(LEFT(B65,1),LEFT(C65,1),LEFT(D65,1),"0",E65,F65)</f>
        <v>tps010domingo</v>
      </c>
    </row>
    <row r="66" spans="2:7" x14ac:dyDescent="0.25">
      <c r="B66" t="s">
        <v>0</v>
      </c>
      <c r="C66" t="str">
        <f t="shared" si="8"/>
        <v>pascua</v>
      </c>
      <c r="D66" t="s">
        <v>2</v>
      </c>
      <c r="E66" s="2">
        <f>E65</f>
        <v>10</v>
      </c>
      <c r="F66" t="s">
        <v>3</v>
      </c>
      <c r="G66" s="1" t="str">
        <f t="shared" ref="G66:G71" si="20">_xlfn.CONCAT(LEFT(B66,1),LEFT(C66,1),LEFT(D66,1),"0",E66,F66)</f>
        <v>tps010lunes</v>
      </c>
    </row>
    <row r="67" spans="2:7" x14ac:dyDescent="0.25">
      <c r="B67" t="s">
        <v>0</v>
      </c>
      <c r="C67" t="str">
        <f t="shared" si="8"/>
        <v>pascua</v>
      </c>
      <c r="D67" t="s">
        <v>2</v>
      </c>
      <c r="E67" s="2">
        <f t="shared" ref="E67:E71" si="21">E66</f>
        <v>10</v>
      </c>
      <c r="F67" t="s">
        <v>4</v>
      </c>
      <c r="G67" s="1" t="str">
        <f t="shared" si="20"/>
        <v>tps010martes</v>
      </c>
    </row>
    <row r="68" spans="2:7" x14ac:dyDescent="0.25">
      <c r="B68" t="s">
        <v>0</v>
      </c>
      <c r="C68" t="str">
        <f t="shared" si="8"/>
        <v>pascua</v>
      </c>
      <c r="D68" t="s">
        <v>2</v>
      </c>
      <c r="E68" s="2">
        <f t="shared" si="21"/>
        <v>10</v>
      </c>
      <c r="F68" t="s">
        <v>5</v>
      </c>
      <c r="G68" s="1" t="str">
        <f t="shared" si="20"/>
        <v>tps010miercoles</v>
      </c>
    </row>
    <row r="69" spans="2:7" x14ac:dyDescent="0.25">
      <c r="B69" t="s">
        <v>0</v>
      </c>
      <c r="C69" t="str">
        <f t="shared" si="8"/>
        <v>pascua</v>
      </c>
      <c r="D69" t="s">
        <v>2</v>
      </c>
      <c r="E69" s="2">
        <f t="shared" si="21"/>
        <v>10</v>
      </c>
      <c r="F69" t="s">
        <v>6</v>
      </c>
      <c r="G69" s="1" t="str">
        <f t="shared" si="20"/>
        <v>tps010jueves</v>
      </c>
    </row>
    <row r="70" spans="2:7" x14ac:dyDescent="0.25">
      <c r="B70" t="s">
        <v>0</v>
      </c>
      <c r="C70" t="str">
        <f t="shared" si="8"/>
        <v>pascua</v>
      </c>
      <c r="D70" t="s">
        <v>2</v>
      </c>
      <c r="E70" s="2">
        <f t="shared" si="21"/>
        <v>10</v>
      </c>
      <c r="F70" t="s">
        <v>7</v>
      </c>
      <c r="G70" s="1" t="str">
        <f t="shared" si="20"/>
        <v>tps010viernes</v>
      </c>
    </row>
    <row r="71" spans="2:7" x14ac:dyDescent="0.25">
      <c r="B71" t="s">
        <v>0</v>
      </c>
      <c r="C71" t="str">
        <f t="shared" si="8"/>
        <v>pascua</v>
      </c>
      <c r="D71" t="s">
        <v>2</v>
      </c>
      <c r="E71" s="2">
        <f t="shared" si="21"/>
        <v>10</v>
      </c>
      <c r="F71" t="s">
        <v>8</v>
      </c>
      <c r="G71" s="1" t="str">
        <f t="shared" si="20"/>
        <v>tps010sabado</v>
      </c>
    </row>
    <row r="72" spans="2:7" x14ac:dyDescent="0.25">
      <c r="B72" t="s">
        <v>0</v>
      </c>
      <c r="C72" t="str">
        <f t="shared" si="8"/>
        <v>pascua</v>
      </c>
      <c r="D72" t="s">
        <v>2</v>
      </c>
      <c r="E72" s="2">
        <f>+E71+1</f>
        <v>11</v>
      </c>
      <c r="F72" t="s">
        <v>9</v>
      </c>
      <c r="G72" s="1" t="str">
        <f>_xlfn.CONCAT(LEFT(B72,1),LEFT(C72,1),LEFT(D72,1),"0",E72,F72)</f>
        <v>tps011domingo</v>
      </c>
    </row>
    <row r="73" spans="2:7" x14ac:dyDescent="0.25">
      <c r="B73" t="s">
        <v>0</v>
      </c>
      <c r="C73" t="str">
        <f t="shared" si="8"/>
        <v>pascua</v>
      </c>
      <c r="D73" t="s">
        <v>2</v>
      </c>
      <c r="E73" s="2">
        <f>E72</f>
        <v>11</v>
      </c>
      <c r="F73" t="s">
        <v>3</v>
      </c>
      <c r="G73" s="1" t="str">
        <f t="shared" ref="G73:G78" si="22">_xlfn.CONCAT(LEFT(B73,1),LEFT(C73,1),LEFT(D73,1),"0",E73,F73)</f>
        <v>tps011lunes</v>
      </c>
    </row>
    <row r="74" spans="2:7" x14ac:dyDescent="0.25">
      <c r="B74" t="s">
        <v>0</v>
      </c>
      <c r="C74" t="str">
        <f t="shared" si="8"/>
        <v>pascua</v>
      </c>
      <c r="D74" t="s">
        <v>2</v>
      </c>
      <c r="E74" s="2">
        <f t="shared" ref="E74:E78" si="23">E73</f>
        <v>11</v>
      </c>
      <c r="F74" t="s">
        <v>4</v>
      </c>
      <c r="G74" s="1" t="str">
        <f t="shared" si="22"/>
        <v>tps011martes</v>
      </c>
    </row>
    <row r="75" spans="2:7" x14ac:dyDescent="0.25">
      <c r="B75" t="s">
        <v>0</v>
      </c>
      <c r="C75" t="str">
        <f t="shared" si="8"/>
        <v>pascua</v>
      </c>
      <c r="D75" t="s">
        <v>2</v>
      </c>
      <c r="E75" s="2">
        <f t="shared" si="23"/>
        <v>11</v>
      </c>
      <c r="F75" t="s">
        <v>5</v>
      </c>
      <c r="G75" s="1" t="str">
        <f t="shared" si="22"/>
        <v>tps011miercoles</v>
      </c>
    </row>
    <row r="76" spans="2:7" x14ac:dyDescent="0.25">
      <c r="B76" t="s">
        <v>0</v>
      </c>
      <c r="C76" t="str">
        <f t="shared" si="8"/>
        <v>pascua</v>
      </c>
      <c r="D76" t="s">
        <v>2</v>
      </c>
      <c r="E76" s="2">
        <f t="shared" si="23"/>
        <v>11</v>
      </c>
      <c r="F76" t="s">
        <v>6</v>
      </c>
      <c r="G76" s="1" t="str">
        <f t="shared" si="22"/>
        <v>tps011jueves</v>
      </c>
    </row>
    <row r="77" spans="2:7" x14ac:dyDescent="0.25">
      <c r="B77" t="s">
        <v>0</v>
      </c>
      <c r="C77" t="str">
        <f t="shared" si="8"/>
        <v>pascua</v>
      </c>
      <c r="D77" t="s">
        <v>2</v>
      </c>
      <c r="E77" s="2">
        <f t="shared" si="23"/>
        <v>11</v>
      </c>
      <c r="F77" t="s">
        <v>7</v>
      </c>
      <c r="G77" s="1" t="str">
        <f t="shared" si="22"/>
        <v>tps011viernes</v>
      </c>
    </row>
    <row r="78" spans="2:7" x14ac:dyDescent="0.25">
      <c r="B78" t="s">
        <v>0</v>
      </c>
      <c r="C78" t="str">
        <f t="shared" si="8"/>
        <v>pascua</v>
      </c>
      <c r="D78" t="s">
        <v>2</v>
      </c>
      <c r="E78" s="2">
        <f t="shared" si="23"/>
        <v>11</v>
      </c>
      <c r="F78" t="s">
        <v>8</v>
      </c>
      <c r="G78" s="1" t="str">
        <f t="shared" si="22"/>
        <v>tps011sabado</v>
      </c>
    </row>
    <row r="79" spans="2:7" x14ac:dyDescent="0.25">
      <c r="B79" t="s">
        <v>0</v>
      </c>
      <c r="C79" t="str">
        <f t="shared" si="8"/>
        <v>pascua</v>
      </c>
      <c r="D79" t="s">
        <v>2</v>
      </c>
      <c r="E79" s="2">
        <f>+E78+1</f>
        <v>12</v>
      </c>
      <c r="F79" t="s">
        <v>9</v>
      </c>
      <c r="G79" s="1" t="str">
        <f>_xlfn.CONCAT(LEFT(B79,1),LEFT(C79,1),LEFT(D79,1),"0",E79,F79)</f>
        <v>tps012domingo</v>
      </c>
    </row>
    <row r="80" spans="2:7" x14ac:dyDescent="0.25">
      <c r="B80" t="s">
        <v>0</v>
      </c>
      <c r="C80" t="str">
        <f t="shared" si="8"/>
        <v>pascua</v>
      </c>
      <c r="D80" t="s">
        <v>2</v>
      </c>
      <c r="E80" s="2">
        <f>E79</f>
        <v>12</v>
      </c>
      <c r="F80" t="s">
        <v>3</v>
      </c>
      <c r="G80" s="1" t="str">
        <f t="shared" ref="G80:G85" si="24">_xlfn.CONCAT(LEFT(B80,1),LEFT(C80,1),LEFT(D80,1),"0",E80,F80)</f>
        <v>tps012lunes</v>
      </c>
    </row>
    <row r="81" spans="2:7" x14ac:dyDescent="0.25">
      <c r="B81" t="s">
        <v>0</v>
      </c>
      <c r="C81" t="str">
        <f t="shared" si="8"/>
        <v>pascua</v>
      </c>
      <c r="D81" t="s">
        <v>2</v>
      </c>
      <c r="E81" s="2">
        <f t="shared" ref="E81:E85" si="25">E80</f>
        <v>12</v>
      </c>
      <c r="F81" t="s">
        <v>4</v>
      </c>
      <c r="G81" s="1" t="str">
        <f t="shared" si="24"/>
        <v>tps012martes</v>
      </c>
    </row>
    <row r="82" spans="2:7" x14ac:dyDescent="0.25">
      <c r="B82" t="s">
        <v>0</v>
      </c>
      <c r="C82" t="str">
        <f t="shared" si="8"/>
        <v>pascua</v>
      </c>
      <c r="D82" t="s">
        <v>2</v>
      </c>
      <c r="E82" s="2">
        <f t="shared" si="25"/>
        <v>12</v>
      </c>
      <c r="F82" t="s">
        <v>5</v>
      </c>
      <c r="G82" s="1" t="str">
        <f t="shared" si="24"/>
        <v>tps012miercoles</v>
      </c>
    </row>
    <row r="83" spans="2:7" x14ac:dyDescent="0.25">
      <c r="B83" t="s">
        <v>0</v>
      </c>
      <c r="C83" t="str">
        <f t="shared" si="8"/>
        <v>pascua</v>
      </c>
      <c r="D83" t="s">
        <v>2</v>
      </c>
      <c r="E83" s="2">
        <f t="shared" si="25"/>
        <v>12</v>
      </c>
      <c r="F83" t="s">
        <v>6</v>
      </c>
      <c r="G83" s="1" t="str">
        <f t="shared" si="24"/>
        <v>tps012jueves</v>
      </c>
    </row>
    <row r="84" spans="2:7" x14ac:dyDescent="0.25">
      <c r="B84" t="s">
        <v>0</v>
      </c>
      <c r="C84" t="str">
        <f t="shared" si="8"/>
        <v>pascua</v>
      </c>
      <c r="D84" t="s">
        <v>2</v>
      </c>
      <c r="E84" s="2">
        <f t="shared" si="25"/>
        <v>12</v>
      </c>
      <c r="F84" t="s">
        <v>7</v>
      </c>
      <c r="G84" s="1" t="str">
        <f t="shared" si="24"/>
        <v>tps012viernes</v>
      </c>
    </row>
    <row r="85" spans="2:7" x14ac:dyDescent="0.25">
      <c r="B85" t="s">
        <v>0</v>
      </c>
      <c r="C85" t="str">
        <f t="shared" si="8"/>
        <v>pascua</v>
      </c>
      <c r="D85" t="s">
        <v>2</v>
      </c>
      <c r="E85" s="2">
        <f t="shared" si="25"/>
        <v>12</v>
      </c>
      <c r="F85" t="s">
        <v>8</v>
      </c>
      <c r="G85" s="1" t="str">
        <f t="shared" si="24"/>
        <v>tps012sabado</v>
      </c>
    </row>
    <row r="86" spans="2:7" x14ac:dyDescent="0.25">
      <c r="B86" t="s">
        <v>0</v>
      </c>
      <c r="C86" t="str">
        <f t="shared" si="8"/>
        <v>pascua</v>
      </c>
      <c r="D86" t="s">
        <v>2</v>
      </c>
      <c r="E86" s="2">
        <f>+E85+1</f>
        <v>13</v>
      </c>
      <c r="F86" t="s">
        <v>9</v>
      </c>
      <c r="G86" s="1" t="str">
        <f>_xlfn.CONCAT(LEFT(B86,1),LEFT(C86,1),LEFT(D86,1),"0",E86,F86)</f>
        <v>tps013domingo</v>
      </c>
    </row>
    <row r="87" spans="2:7" x14ac:dyDescent="0.25">
      <c r="B87" t="s">
        <v>0</v>
      </c>
      <c r="C87" t="str">
        <f t="shared" si="8"/>
        <v>pascua</v>
      </c>
      <c r="D87" t="s">
        <v>2</v>
      </c>
      <c r="E87" s="2">
        <f>E86</f>
        <v>13</v>
      </c>
      <c r="F87" t="s">
        <v>3</v>
      </c>
      <c r="G87" s="1" t="str">
        <f t="shared" ref="G87:G92" si="26">_xlfn.CONCAT(LEFT(B87,1),LEFT(C87,1),LEFT(D87,1),"0",E87,F87)</f>
        <v>tps013lunes</v>
      </c>
    </row>
    <row r="88" spans="2:7" x14ac:dyDescent="0.25">
      <c r="B88" t="s">
        <v>0</v>
      </c>
      <c r="C88" t="str">
        <f t="shared" si="8"/>
        <v>pascua</v>
      </c>
      <c r="D88" t="s">
        <v>2</v>
      </c>
      <c r="E88" s="2">
        <f t="shared" ref="E88:E92" si="27">E87</f>
        <v>13</v>
      </c>
      <c r="F88" t="s">
        <v>4</v>
      </c>
      <c r="G88" s="1" t="str">
        <f t="shared" si="26"/>
        <v>tps013martes</v>
      </c>
    </row>
    <row r="89" spans="2:7" x14ac:dyDescent="0.25">
      <c r="B89" t="s">
        <v>0</v>
      </c>
      <c r="C89" t="str">
        <f t="shared" ref="C89:C152" si="28">C88</f>
        <v>pascua</v>
      </c>
      <c r="D89" t="s">
        <v>2</v>
      </c>
      <c r="E89" s="2">
        <f t="shared" si="27"/>
        <v>13</v>
      </c>
      <c r="F89" t="s">
        <v>5</v>
      </c>
      <c r="G89" s="1" t="str">
        <f t="shared" si="26"/>
        <v>tps013miercoles</v>
      </c>
    </row>
    <row r="90" spans="2:7" x14ac:dyDescent="0.25">
      <c r="B90" t="s">
        <v>0</v>
      </c>
      <c r="C90" t="str">
        <f t="shared" si="28"/>
        <v>pascua</v>
      </c>
      <c r="D90" t="s">
        <v>2</v>
      </c>
      <c r="E90" s="2">
        <f t="shared" si="27"/>
        <v>13</v>
      </c>
      <c r="F90" t="s">
        <v>6</v>
      </c>
      <c r="G90" s="1" t="str">
        <f t="shared" si="26"/>
        <v>tps013jueves</v>
      </c>
    </row>
    <row r="91" spans="2:7" x14ac:dyDescent="0.25">
      <c r="B91" t="s">
        <v>0</v>
      </c>
      <c r="C91" t="str">
        <f t="shared" si="28"/>
        <v>pascua</v>
      </c>
      <c r="D91" t="s">
        <v>2</v>
      </c>
      <c r="E91" s="2">
        <f t="shared" si="27"/>
        <v>13</v>
      </c>
      <c r="F91" t="s">
        <v>7</v>
      </c>
      <c r="G91" s="1" t="str">
        <f t="shared" si="26"/>
        <v>tps013viernes</v>
      </c>
    </row>
    <row r="92" spans="2:7" x14ac:dyDescent="0.25">
      <c r="B92" t="s">
        <v>0</v>
      </c>
      <c r="C92" t="str">
        <f t="shared" si="28"/>
        <v>pascua</v>
      </c>
      <c r="D92" t="s">
        <v>2</v>
      </c>
      <c r="E92" s="2">
        <f t="shared" si="27"/>
        <v>13</v>
      </c>
      <c r="F92" t="s">
        <v>8</v>
      </c>
      <c r="G92" s="1" t="str">
        <f t="shared" si="26"/>
        <v>tps013sabado</v>
      </c>
    </row>
    <row r="93" spans="2:7" x14ac:dyDescent="0.25">
      <c r="B93" t="s">
        <v>0</v>
      </c>
      <c r="C93" t="str">
        <f t="shared" si="28"/>
        <v>pascua</v>
      </c>
      <c r="D93" t="s">
        <v>2</v>
      </c>
      <c r="E93" s="2">
        <f>+E92+1</f>
        <v>14</v>
      </c>
      <c r="F93" t="s">
        <v>9</v>
      </c>
      <c r="G93" s="1" t="str">
        <f>_xlfn.CONCAT(LEFT(B93,1),LEFT(C93,1),LEFT(D93,1),"0",E93,F93)</f>
        <v>tps014domingo</v>
      </c>
    </row>
    <row r="94" spans="2:7" x14ac:dyDescent="0.25">
      <c r="B94" t="s">
        <v>0</v>
      </c>
      <c r="C94" t="str">
        <f t="shared" si="28"/>
        <v>pascua</v>
      </c>
      <c r="D94" t="s">
        <v>2</v>
      </c>
      <c r="E94" s="2">
        <f>E93</f>
        <v>14</v>
      </c>
      <c r="F94" t="s">
        <v>3</v>
      </c>
      <c r="G94" s="1" t="str">
        <f t="shared" ref="G94:G99" si="29">_xlfn.CONCAT(LEFT(B94,1),LEFT(C94,1),LEFT(D94,1),"0",E94,F94)</f>
        <v>tps014lunes</v>
      </c>
    </row>
    <row r="95" spans="2:7" x14ac:dyDescent="0.25">
      <c r="B95" t="s">
        <v>0</v>
      </c>
      <c r="C95" t="str">
        <f t="shared" si="28"/>
        <v>pascua</v>
      </c>
      <c r="D95" t="s">
        <v>2</v>
      </c>
      <c r="E95" s="2">
        <f t="shared" ref="E95:E99" si="30">E94</f>
        <v>14</v>
      </c>
      <c r="F95" t="s">
        <v>4</v>
      </c>
      <c r="G95" s="1" t="str">
        <f t="shared" si="29"/>
        <v>tps014martes</v>
      </c>
    </row>
    <row r="96" spans="2:7" x14ac:dyDescent="0.25">
      <c r="B96" t="s">
        <v>0</v>
      </c>
      <c r="C96" t="str">
        <f t="shared" si="28"/>
        <v>pascua</v>
      </c>
      <c r="D96" t="s">
        <v>2</v>
      </c>
      <c r="E96" s="2">
        <f t="shared" si="30"/>
        <v>14</v>
      </c>
      <c r="F96" t="s">
        <v>5</v>
      </c>
      <c r="G96" s="1" t="str">
        <f t="shared" si="29"/>
        <v>tps014miercoles</v>
      </c>
    </row>
    <row r="97" spans="2:7" x14ac:dyDescent="0.25">
      <c r="B97" t="s">
        <v>0</v>
      </c>
      <c r="C97" t="str">
        <f t="shared" si="28"/>
        <v>pascua</v>
      </c>
      <c r="D97" t="s">
        <v>2</v>
      </c>
      <c r="E97" s="2">
        <f t="shared" si="30"/>
        <v>14</v>
      </c>
      <c r="F97" t="s">
        <v>6</v>
      </c>
      <c r="G97" s="1" t="str">
        <f t="shared" si="29"/>
        <v>tps014jueves</v>
      </c>
    </row>
    <row r="98" spans="2:7" x14ac:dyDescent="0.25">
      <c r="B98" t="s">
        <v>0</v>
      </c>
      <c r="C98" t="str">
        <f t="shared" si="28"/>
        <v>pascua</v>
      </c>
      <c r="D98" t="s">
        <v>2</v>
      </c>
      <c r="E98" s="2">
        <f t="shared" si="30"/>
        <v>14</v>
      </c>
      <c r="F98" t="s">
        <v>7</v>
      </c>
      <c r="G98" s="1" t="str">
        <f t="shared" si="29"/>
        <v>tps014viernes</v>
      </c>
    </row>
    <row r="99" spans="2:7" x14ac:dyDescent="0.25">
      <c r="B99" t="s">
        <v>0</v>
      </c>
      <c r="C99" t="str">
        <f t="shared" si="28"/>
        <v>pascua</v>
      </c>
      <c r="D99" t="s">
        <v>2</v>
      </c>
      <c r="E99" s="2">
        <f t="shared" si="30"/>
        <v>14</v>
      </c>
      <c r="F99" t="s">
        <v>8</v>
      </c>
      <c r="G99" s="1" t="str">
        <f t="shared" si="29"/>
        <v>tps014sabado</v>
      </c>
    </row>
    <row r="100" spans="2:7" x14ac:dyDescent="0.25">
      <c r="B100" t="s">
        <v>0</v>
      </c>
      <c r="C100" t="str">
        <f t="shared" si="28"/>
        <v>pascua</v>
      </c>
      <c r="D100" t="s">
        <v>2</v>
      </c>
      <c r="E100" s="2">
        <f>+E99+1</f>
        <v>15</v>
      </c>
      <c r="F100" t="s">
        <v>9</v>
      </c>
      <c r="G100" s="1" t="str">
        <f>_xlfn.CONCAT(LEFT(B100,1),LEFT(C100,1),LEFT(D100,1),"0",E100,F100)</f>
        <v>tps015domingo</v>
      </c>
    </row>
    <row r="101" spans="2:7" x14ac:dyDescent="0.25">
      <c r="B101" t="s">
        <v>0</v>
      </c>
      <c r="C101" t="str">
        <f t="shared" si="28"/>
        <v>pascua</v>
      </c>
      <c r="D101" t="s">
        <v>2</v>
      </c>
      <c r="E101" s="2">
        <f>E100</f>
        <v>15</v>
      </c>
      <c r="F101" t="s">
        <v>3</v>
      </c>
      <c r="G101" s="1" t="str">
        <f t="shared" ref="G101:G106" si="31">_xlfn.CONCAT(LEFT(B101,1),LEFT(C101,1),LEFT(D101,1),"0",E101,F101)</f>
        <v>tps015lunes</v>
      </c>
    </row>
    <row r="102" spans="2:7" x14ac:dyDescent="0.25">
      <c r="B102" t="s">
        <v>0</v>
      </c>
      <c r="C102" t="str">
        <f t="shared" si="28"/>
        <v>pascua</v>
      </c>
      <c r="D102" t="s">
        <v>2</v>
      </c>
      <c r="E102" s="2">
        <f t="shared" ref="E102:E106" si="32">E101</f>
        <v>15</v>
      </c>
      <c r="F102" t="s">
        <v>4</v>
      </c>
      <c r="G102" s="1" t="str">
        <f t="shared" si="31"/>
        <v>tps015martes</v>
      </c>
    </row>
    <row r="103" spans="2:7" x14ac:dyDescent="0.25">
      <c r="B103" t="s">
        <v>0</v>
      </c>
      <c r="C103" t="str">
        <f t="shared" si="28"/>
        <v>pascua</v>
      </c>
      <c r="D103" t="s">
        <v>2</v>
      </c>
      <c r="E103" s="2">
        <f t="shared" si="32"/>
        <v>15</v>
      </c>
      <c r="F103" t="s">
        <v>5</v>
      </c>
      <c r="G103" s="1" t="str">
        <f t="shared" si="31"/>
        <v>tps015miercoles</v>
      </c>
    </row>
    <row r="104" spans="2:7" x14ac:dyDescent="0.25">
      <c r="B104" t="s">
        <v>0</v>
      </c>
      <c r="C104" t="str">
        <f t="shared" si="28"/>
        <v>pascua</v>
      </c>
      <c r="D104" t="s">
        <v>2</v>
      </c>
      <c r="E104" s="2">
        <f t="shared" si="32"/>
        <v>15</v>
      </c>
      <c r="F104" t="s">
        <v>6</v>
      </c>
      <c r="G104" s="1" t="str">
        <f t="shared" si="31"/>
        <v>tps015jueves</v>
      </c>
    </row>
    <row r="105" spans="2:7" x14ac:dyDescent="0.25">
      <c r="B105" t="s">
        <v>0</v>
      </c>
      <c r="C105" t="str">
        <f t="shared" si="28"/>
        <v>pascua</v>
      </c>
      <c r="D105" t="s">
        <v>2</v>
      </c>
      <c r="E105" s="2">
        <f t="shared" si="32"/>
        <v>15</v>
      </c>
      <c r="F105" t="s">
        <v>7</v>
      </c>
      <c r="G105" s="1" t="str">
        <f t="shared" si="31"/>
        <v>tps015viernes</v>
      </c>
    </row>
    <row r="106" spans="2:7" x14ac:dyDescent="0.25">
      <c r="B106" t="s">
        <v>0</v>
      </c>
      <c r="C106" t="str">
        <f t="shared" si="28"/>
        <v>pascua</v>
      </c>
      <c r="D106" t="s">
        <v>2</v>
      </c>
      <c r="E106" s="2">
        <f t="shared" si="32"/>
        <v>15</v>
      </c>
      <c r="F106" t="s">
        <v>8</v>
      </c>
      <c r="G106" s="1" t="str">
        <f t="shared" si="31"/>
        <v>tps015sabado</v>
      </c>
    </row>
    <row r="107" spans="2:7" x14ac:dyDescent="0.25">
      <c r="B107" t="s">
        <v>0</v>
      </c>
      <c r="C107" t="str">
        <f t="shared" si="28"/>
        <v>pascua</v>
      </c>
      <c r="D107" t="s">
        <v>2</v>
      </c>
      <c r="E107" s="2">
        <f>+E106+1</f>
        <v>16</v>
      </c>
      <c r="F107" t="s">
        <v>9</v>
      </c>
      <c r="G107" s="1" t="str">
        <f>_xlfn.CONCAT(LEFT(B107,1),LEFT(C107,1),LEFT(D107,1),"0",E107,F107)</f>
        <v>tps016domingo</v>
      </c>
    </row>
    <row r="108" spans="2:7" x14ac:dyDescent="0.25">
      <c r="B108" t="s">
        <v>0</v>
      </c>
      <c r="C108" t="str">
        <f t="shared" si="28"/>
        <v>pascua</v>
      </c>
      <c r="D108" t="s">
        <v>2</v>
      </c>
      <c r="E108" s="2">
        <f>E107</f>
        <v>16</v>
      </c>
      <c r="F108" t="s">
        <v>3</v>
      </c>
      <c r="G108" s="1" t="str">
        <f t="shared" ref="G108:G113" si="33">_xlfn.CONCAT(LEFT(B108,1),LEFT(C108,1),LEFT(D108,1),"0",E108,F108)</f>
        <v>tps016lunes</v>
      </c>
    </row>
    <row r="109" spans="2:7" x14ac:dyDescent="0.25">
      <c r="B109" t="s">
        <v>0</v>
      </c>
      <c r="C109" t="str">
        <f t="shared" si="28"/>
        <v>pascua</v>
      </c>
      <c r="D109" t="s">
        <v>2</v>
      </c>
      <c r="E109" s="2">
        <f t="shared" ref="E109:E113" si="34">E108</f>
        <v>16</v>
      </c>
      <c r="F109" t="s">
        <v>4</v>
      </c>
      <c r="G109" s="1" t="str">
        <f t="shared" si="33"/>
        <v>tps016martes</v>
      </c>
    </row>
    <row r="110" spans="2:7" x14ac:dyDescent="0.25">
      <c r="B110" t="s">
        <v>0</v>
      </c>
      <c r="C110" t="str">
        <f t="shared" si="28"/>
        <v>pascua</v>
      </c>
      <c r="D110" t="s">
        <v>2</v>
      </c>
      <c r="E110" s="2">
        <f t="shared" si="34"/>
        <v>16</v>
      </c>
      <c r="F110" t="s">
        <v>5</v>
      </c>
      <c r="G110" s="1" t="str">
        <f t="shared" si="33"/>
        <v>tps016miercoles</v>
      </c>
    </row>
    <row r="111" spans="2:7" x14ac:dyDescent="0.25">
      <c r="B111" t="s">
        <v>0</v>
      </c>
      <c r="C111" t="str">
        <f t="shared" si="28"/>
        <v>pascua</v>
      </c>
      <c r="D111" t="s">
        <v>2</v>
      </c>
      <c r="E111" s="2">
        <f t="shared" si="34"/>
        <v>16</v>
      </c>
      <c r="F111" t="s">
        <v>6</v>
      </c>
      <c r="G111" s="1" t="str">
        <f t="shared" si="33"/>
        <v>tps016jueves</v>
      </c>
    </row>
    <row r="112" spans="2:7" x14ac:dyDescent="0.25">
      <c r="B112" t="s">
        <v>0</v>
      </c>
      <c r="C112" t="str">
        <f t="shared" si="28"/>
        <v>pascua</v>
      </c>
      <c r="D112" t="s">
        <v>2</v>
      </c>
      <c r="E112" s="2">
        <f t="shared" si="34"/>
        <v>16</v>
      </c>
      <c r="F112" t="s">
        <v>7</v>
      </c>
      <c r="G112" s="1" t="str">
        <f t="shared" si="33"/>
        <v>tps016viernes</v>
      </c>
    </row>
    <row r="113" spans="2:7" x14ac:dyDescent="0.25">
      <c r="B113" t="s">
        <v>0</v>
      </c>
      <c r="C113" t="str">
        <f t="shared" si="28"/>
        <v>pascua</v>
      </c>
      <c r="D113" t="s">
        <v>2</v>
      </c>
      <c r="E113" s="2">
        <f t="shared" si="34"/>
        <v>16</v>
      </c>
      <c r="F113" t="s">
        <v>8</v>
      </c>
      <c r="G113" s="1" t="str">
        <f t="shared" si="33"/>
        <v>tps016sabado</v>
      </c>
    </row>
    <row r="114" spans="2:7" x14ac:dyDescent="0.25">
      <c r="B114" t="s">
        <v>0</v>
      </c>
      <c r="C114" t="str">
        <f t="shared" si="28"/>
        <v>pascua</v>
      </c>
      <c r="D114" t="s">
        <v>2</v>
      </c>
      <c r="E114" s="2">
        <f>+E113+1</f>
        <v>17</v>
      </c>
      <c r="F114" t="s">
        <v>9</v>
      </c>
      <c r="G114" s="1" t="str">
        <f>_xlfn.CONCAT(LEFT(B114,1),LEFT(C114,1),LEFT(D114,1),"0",E114,F114)</f>
        <v>tps017domingo</v>
      </c>
    </row>
    <row r="115" spans="2:7" x14ac:dyDescent="0.25">
      <c r="B115" t="s">
        <v>0</v>
      </c>
      <c r="C115" t="str">
        <f t="shared" si="28"/>
        <v>pascua</v>
      </c>
      <c r="D115" t="s">
        <v>2</v>
      </c>
      <c r="E115" s="2">
        <f>E114</f>
        <v>17</v>
      </c>
      <c r="F115" t="s">
        <v>3</v>
      </c>
      <c r="G115" s="1" t="str">
        <f t="shared" ref="G115:G120" si="35">_xlfn.CONCAT(LEFT(B115,1),LEFT(C115,1),LEFT(D115,1),"0",E115,F115)</f>
        <v>tps017lunes</v>
      </c>
    </row>
    <row r="116" spans="2:7" x14ac:dyDescent="0.25">
      <c r="B116" t="s">
        <v>0</v>
      </c>
      <c r="C116" t="str">
        <f t="shared" si="28"/>
        <v>pascua</v>
      </c>
      <c r="D116" t="s">
        <v>2</v>
      </c>
      <c r="E116" s="2">
        <f t="shared" ref="E116:E120" si="36">E115</f>
        <v>17</v>
      </c>
      <c r="F116" t="s">
        <v>4</v>
      </c>
      <c r="G116" s="1" t="str">
        <f t="shared" si="35"/>
        <v>tps017martes</v>
      </c>
    </row>
    <row r="117" spans="2:7" x14ac:dyDescent="0.25">
      <c r="B117" t="s">
        <v>0</v>
      </c>
      <c r="C117" t="str">
        <f t="shared" si="28"/>
        <v>pascua</v>
      </c>
      <c r="D117" t="s">
        <v>2</v>
      </c>
      <c r="E117" s="2">
        <f t="shared" si="36"/>
        <v>17</v>
      </c>
      <c r="F117" t="s">
        <v>5</v>
      </c>
      <c r="G117" s="1" t="str">
        <f t="shared" si="35"/>
        <v>tps017miercoles</v>
      </c>
    </row>
    <row r="118" spans="2:7" x14ac:dyDescent="0.25">
      <c r="B118" t="s">
        <v>0</v>
      </c>
      <c r="C118" t="str">
        <f t="shared" si="28"/>
        <v>pascua</v>
      </c>
      <c r="D118" t="s">
        <v>2</v>
      </c>
      <c r="E118" s="2">
        <f t="shared" si="36"/>
        <v>17</v>
      </c>
      <c r="F118" t="s">
        <v>6</v>
      </c>
      <c r="G118" s="1" t="str">
        <f t="shared" si="35"/>
        <v>tps017jueves</v>
      </c>
    </row>
    <row r="119" spans="2:7" x14ac:dyDescent="0.25">
      <c r="B119" t="s">
        <v>0</v>
      </c>
      <c r="C119" t="str">
        <f t="shared" si="28"/>
        <v>pascua</v>
      </c>
      <c r="D119" t="s">
        <v>2</v>
      </c>
      <c r="E119" s="2">
        <f t="shared" si="36"/>
        <v>17</v>
      </c>
      <c r="F119" t="s">
        <v>7</v>
      </c>
      <c r="G119" s="1" t="str">
        <f t="shared" si="35"/>
        <v>tps017viernes</v>
      </c>
    </row>
    <row r="120" spans="2:7" x14ac:dyDescent="0.25">
      <c r="B120" t="s">
        <v>0</v>
      </c>
      <c r="C120" t="str">
        <f t="shared" si="28"/>
        <v>pascua</v>
      </c>
      <c r="D120" t="s">
        <v>2</v>
      </c>
      <c r="E120" s="2">
        <f t="shared" si="36"/>
        <v>17</v>
      </c>
      <c r="F120" t="s">
        <v>8</v>
      </c>
      <c r="G120" s="1" t="str">
        <f t="shared" si="35"/>
        <v>tps017sabado</v>
      </c>
    </row>
    <row r="121" spans="2:7" x14ac:dyDescent="0.25">
      <c r="B121" t="s">
        <v>0</v>
      </c>
      <c r="C121" t="str">
        <f t="shared" si="28"/>
        <v>pascua</v>
      </c>
      <c r="D121" t="s">
        <v>2</v>
      </c>
      <c r="E121" s="2">
        <f>+E120+1</f>
        <v>18</v>
      </c>
      <c r="F121" t="s">
        <v>9</v>
      </c>
      <c r="G121" s="1" t="str">
        <f>_xlfn.CONCAT(LEFT(B121,1),LEFT(C121,1),LEFT(D121,1),"0",E121,F121)</f>
        <v>tps018domingo</v>
      </c>
    </row>
    <row r="122" spans="2:7" x14ac:dyDescent="0.25">
      <c r="B122" t="s">
        <v>0</v>
      </c>
      <c r="C122" t="str">
        <f t="shared" si="28"/>
        <v>pascua</v>
      </c>
      <c r="D122" t="s">
        <v>2</v>
      </c>
      <c r="E122" s="2">
        <f>E121</f>
        <v>18</v>
      </c>
      <c r="F122" t="s">
        <v>3</v>
      </c>
      <c r="G122" s="1" t="str">
        <f t="shared" ref="G122:G127" si="37">_xlfn.CONCAT(LEFT(B122,1),LEFT(C122,1),LEFT(D122,1),"0",E122,F122)</f>
        <v>tps018lunes</v>
      </c>
    </row>
    <row r="123" spans="2:7" x14ac:dyDescent="0.25">
      <c r="B123" t="s">
        <v>0</v>
      </c>
      <c r="C123" t="str">
        <f t="shared" si="28"/>
        <v>pascua</v>
      </c>
      <c r="D123" t="s">
        <v>2</v>
      </c>
      <c r="E123" s="2">
        <f t="shared" ref="E123:E127" si="38">E122</f>
        <v>18</v>
      </c>
      <c r="F123" t="s">
        <v>4</v>
      </c>
      <c r="G123" s="1" t="str">
        <f t="shared" si="37"/>
        <v>tps018martes</v>
      </c>
    </row>
    <row r="124" spans="2:7" x14ac:dyDescent="0.25">
      <c r="B124" t="s">
        <v>0</v>
      </c>
      <c r="C124" t="str">
        <f t="shared" si="28"/>
        <v>pascua</v>
      </c>
      <c r="D124" t="s">
        <v>2</v>
      </c>
      <c r="E124" s="2">
        <f t="shared" si="38"/>
        <v>18</v>
      </c>
      <c r="F124" t="s">
        <v>5</v>
      </c>
      <c r="G124" s="1" t="str">
        <f t="shared" si="37"/>
        <v>tps018miercoles</v>
      </c>
    </row>
    <row r="125" spans="2:7" x14ac:dyDescent="0.25">
      <c r="B125" t="s">
        <v>0</v>
      </c>
      <c r="C125" t="str">
        <f t="shared" si="28"/>
        <v>pascua</v>
      </c>
      <c r="D125" t="s">
        <v>2</v>
      </c>
      <c r="E125" s="2">
        <f t="shared" si="38"/>
        <v>18</v>
      </c>
      <c r="F125" t="s">
        <v>6</v>
      </c>
      <c r="G125" s="1" t="str">
        <f t="shared" si="37"/>
        <v>tps018jueves</v>
      </c>
    </row>
    <row r="126" spans="2:7" x14ac:dyDescent="0.25">
      <c r="B126" t="s">
        <v>0</v>
      </c>
      <c r="C126" t="str">
        <f t="shared" si="28"/>
        <v>pascua</v>
      </c>
      <c r="D126" t="s">
        <v>2</v>
      </c>
      <c r="E126" s="2">
        <f t="shared" si="38"/>
        <v>18</v>
      </c>
      <c r="F126" t="s">
        <v>7</v>
      </c>
      <c r="G126" s="1" t="str">
        <f t="shared" si="37"/>
        <v>tps018viernes</v>
      </c>
    </row>
    <row r="127" spans="2:7" x14ac:dyDescent="0.25">
      <c r="B127" t="s">
        <v>0</v>
      </c>
      <c r="C127" t="str">
        <f t="shared" si="28"/>
        <v>pascua</v>
      </c>
      <c r="D127" t="s">
        <v>2</v>
      </c>
      <c r="E127" s="2">
        <f t="shared" si="38"/>
        <v>18</v>
      </c>
      <c r="F127" t="s">
        <v>8</v>
      </c>
      <c r="G127" s="1" t="str">
        <f t="shared" si="37"/>
        <v>tps018sabado</v>
      </c>
    </row>
    <row r="128" spans="2:7" x14ac:dyDescent="0.25">
      <c r="B128" t="s">
        <v>0</v>
      </c>
      <c r="C128" t="str">
        <f t="shared" si="28"/>
        <v>pascua</v>
      </c>
      <c r="D128" t="s">
        <v>2</v>
      </c>
      <c r="E128" s="2">
        <f>+E127+1</f>
        <v>19</v>
      </c>
      <c r="F128" t="s">
        <v>9</v>
      </c>
      <c r="G128" s="1" t="str">
        <f>_xlfn.CONCAT(LEFT(B128,1),LEFT(C128,1),LEFT(D128,1),"0",E128,F128)</f>
        <v>tps019domingo</v>
      </c>
    </row>
    <row r="129" spans="2:7" x14ac:dyDescent="0.25">
      <c r="B129" t="s">
        <v>0</v>
      </c>
      <c r="C129" t="str">
        <f t="shared" si="28"/>
        <v>pascua</v>
      </c>
      <c r="D129" t="s">
        <v>2</v>
      </c>
      <c r="E129" s="2">
        <f>E128</f>
        <v>19</v>
      </c>
      <c r="F129" t="s">
        <v>3</v>
      </c>
      <c r="G129" s="1" t="str">
        <f t="shared" ref="G129:G134" si="39">_xlfn.CONCAT(LEFT(B129,1),LEFT(C129,1),LEFT(D129,1),"0",E129,F129)</f>
        <v>tps019lunes</v>
      </c>
    </row>
    <row r="130" spans="2:7" x14ac:dyDescent="0.25">
      <c r="B130" t="s">
        <v>0</v>
      </c>
      <c r="C130" t="str">
        <f t="shared" si="28"/>
        <v>pascua</v>
      </c>
      <c r="D130" t="s">
        <v>2</v>
      </c>
      <c r="E130" s="2">
        <f t="shared" ref="E130:E134" si="40">E129</f>
        <v>19</v>
      </c>
      <c r="F130" t="s">
        <v>4</v>
      </c>
      <c r="G130" s="1" t="str">
        <f t="shared" si="39"/>
        <v>tps019martes</v>
      </c>
    </row>
    <row r="131" spans="2:7" x14ac:dyDescent="0.25">
      <c r="B131" t="s">
        <v>0</v>
      </c>
      <c r="C131" t="str">
        <f t="shared" si="28"/>
        <v>pascua</v>
      </c>
      <c r="D131" t="s">
        <v>2</v>
      </c>
      <c r="E131" s="2">
        <f t="shared" si="40"/>
        <v>19</v>
      </c>
      <c r="F131" t="s">
        <v>5</v>
      </c>
      <c r="G131" s="1" t="str">
        <f t="shared" si="39"/>
        <v>tps019miercoles</v>
      </c>
    </row>
    <row r="132" spans="2:7" x14ac:dyDescent="0.25">
      <c r="B132" t="s">
        <v>0</v>
      </c>
      <c r="C132" t="str">
        <f t="shared" si="28"/>
        <v>pascua</v>
      </c>
      <c r="D132" t="s">
        <v>2</v>
      </c>
      <c r="E132" s="2">
        <f t="shared" si="40"/>
        <v>19</v>
      </c>
      <c r="F132" t="s">
        <v>6</v>
      </c>
      <c r="G132" s="1" t="str">
        <f t="shared" si="39"/>
        <v>tps019jueves</v>
      </c>
    </row>
    <row r="133" spans="2:7" x14ac:dyDescent="0.25">
      <c r="B133" t="s">
        <v>0</v>
      </c>
      <c r="C133" t="str">
        <f t="shared" si="28"/>
        <v>pascua</v>
      </c>
      <c r="D133" t="s">
        <v>2</v>
      </c>
      <c r="E133" s="2">
        <f t="shared" si="40"/>
        <v>19</v>
      </c>
      <c r="F133" t="s">
        <v>7</v>
      </c>
      <c r="G133" s="1" t="str">
        <f t="shared" si="39"/>
        <v>tps019viernes</v>
      </c>
    </row>
    <row r="134" spans="2:7" x14ac:dyDescent="0.25">
      <c r="B134" t="s">
        <v>0</v>
      </c>
      <c r="C134" t="str">
        <f t="shared" si="28"/>
        <v>pascua</v>
      </c>
      <c r="D134" t="s">
        <v>2</v>
      </c>
      <c r="E134" s="2">
        <f t="shared" si="40"/>
        <v>19</v>
      </c>
      <c r="F134" t="s">
        <v>8</v>
      </c>
      <c r="G134" s="1" t="str">
        <f t="shared" si="39"/>
        <v>tps019sabado</v>
      </c>
    </row>
    <row r="135" spans="2:7" x14ac:dyDescent="0.25">
      <c r="B135" t="s">
        <v>0</v>
      </c>
      <c r="C135" t="str">
        <f t="shared" si="28"/>
        <v>pascua</v>
      </c>
      <c r="D135" t="s">
        <v>2</v>
      </c>
      <c r="E135" s="2">
        <f>+E134+1</f>
        <v>20</v>
      </c>
      <c r="F135" t="s">
        <v>9</v>
      </c>
      <c r="G135" s="1" t="str">
        <f>_xlfn.CONCAT(LEFT(B135,1),LEFT(C135,1),LEFT(D135,1),"0",E135,F135)</f>
        <v>tps020domingo</v>
      </c>
    </row>
    <row r="136" spans="2:7" x14ac:dyDescent="0.25">
      <c r="B136" t="s">
        <v>0</v>
      </c>
      <c r="C136" t="str">
        <f t="shared" si="28"/>
        <v>pascua</v>
      </c>
      <c r="D136" t="s">
        <v>2</v>
      </c>
      <c r="E136" s="2">
        <f>E135</f>
        <v>20</v>
      </c>
      <c r="F136" t="s">
        <v>3</v>
      </c>
      <c r="G136" s="1" t="str">
        <f t="shared" ref="G136:G141" si="41">_xlfn.CONCAT(LEFT(B136,1),LEFT(C136,1),LEFT(D136,1),"0",E136,F136)</f>
        <v>tps020lunes</v>
      </c>
    </row>
    <row r="137" spans="2:7" x14ac:dyDescent="0.25">
      <c r="B137" t="s">
        <v>0</v>
      </c>
      <c r="C137" t="str">
        <f t="shared" si="28"/>
        <v>pascua</v>
      </c>
      <c r="D137" t="s">
        <v>2</v>
      </c>
      <c r="E137" s="2">
        <f t="shared" ref="E137:E141" si="42">E136</f>
        <v>20</v>
      </c>
      <c r="F137" t="s">
        <v>4</v>
      </c>
      <c r="G137" s="1" t="str">
        <f t="shared" si="41"/>
        <v>tps020martes</v>
      </c>
    </row>
    <row r="138" spans="2:7" x14ac:dyDescent="0.25">
      <c r="B138" t="s">
        <v>0</v>
      </c>
      <c r="C138" t="str">
        <f t="shared" si="28"/>
        <v>pascua</v>
      </c>
      <c r="D138" t="s">
        <v>2</v>
      </c>
      <c r="E138" s="2">
        <f t="shared" si="42"/>
        <v>20</v>
      </c>
      <c r="F138" t="s">
        <v>5</v>
      </c>
      <c r="G138" s="1" t="str">
        <f t="shared" si="41"/>
        <v>tps020miercoles</v>
      </c>
    </row>
    <row r="139" spans="2:7" x14ac:dyDescent="0.25">
      <c r="B139" t="s">
        <v>0</v>
      </c>
      <c r="C139" t="str">
        <f t="shared" si="28"/>
        <v>pascua</v>
      </c>
      <c r="D139" t="s">
        <v>2</v>
      </c>
      <c r="E139" s="2">
        <f t="shared" si="42"/>
        <v>20</v>
      </c>
      <c r="F139" t="s">
        <v>6</v>
      </c>
      <c r="G139" s="1" t="str">
        <f t="shared" si="41"/>
        <v>tps020jueves</v>
      </c>
    </row>
    <row r="140" spans="2:7" x14ac:dyDescent="0.25">
      <c r="B140" t="s">
        <v>0</v>
      </c>
      <c r="C140" t="str">
        <f t="shared" si="28"/>
        <v>pascua</v>
      </c>
      <c r="D140" t="s">
        <v>2</v>
      </c>
      <c r="E140" s="2">
        <f t="shared" si="42"/>
        <v>20</v>
      </c>
      <c r="F140" t="s">
        <v>7</v>
      </c>
      <c r="G140" s="1" t="str">
        <f t="shared" si="41"/>
        <v>tps020viernes</v>
      </c>
    </row>
    <row r="141" spans="2:7" x14ac:dyDescent="0.25">
      <c r="B141" t="s">
        <v>0</v>
      </c>
      <c r="C141" t="str">
        <f t="shared" si="28"/>
        <v>pascua</v>
      </c>
      <c r="D141" t="s">
        <v>2</v>
      </c>
      <c r="E141" s="2">
        <f t="shared" si="42"/>
        <v>20</v>
      </c>
      <c r="F141" t="s">
        <v>8</v>
      </c>
      <c r="G141" s="1" t="str">
        <f t="shared" si="41"/>
        <v>tps020sabado</v>
      </c>
    </row>
    <row r="142" spans="2:7" x14ac:dyDescent="0.25">
      <c r="B142" t="s">
        <v>0</v>
      </c>
      <c r="C142" t="str">
        <f t="shared" si="28"/>
        <v>pascua</v>
      </c>
      <c r="D142" t="s">
        <v>2</v>
      </c>
      <c r="E142" s="2">
        <f>+E141+1</f>
        <v>21</v>
      </c>
      <c r="F142" t="s">
        <v>9</v>
      </c>
      <c r="G142" s="1" t="str">
        <f>_xlfn.CONCAT(LEFT(B142,1),LEFT(C142,1),LEFT(D142,1),"0",E142,F142)</f>
        <v>tps021domingo</v>
      </c>
    </row>
    <row r="143" spans="2:7" x14ac:dyDescent="0.25">
      <c r="B143" t="s">
        <v>0</v>
      </c>
      <c r="C143" t="str">
        <f t="shared" si="28"/>
        <v>pascua</v>
      </c>
      <c r="D143" t="s">
        <v>2</v>
      </c>
      <c r="E143" s="2">
        <f>E142</f>
        <v>21</v>
      </c>
      <c r="F143" t="s">
        <v>3</v>
      </c>
      <c r="G143" s="1" t="str">
        <f t="shared" ref="G143:G148" si="43">_xlfn.CONCAT(LEFT(B143,1),LEFT(C143,1),LEFT(D143,1),"0",E143,F143)</f>
        <v>tps021lunes</v>
      </c>
    </row>
    <row r="144" spans="2:7" x14ac:dyDescent="0.25">
      <c r="B144" t="s">
        <v>0</v>
      </c>
      <c r="C144" t="str">
        <f t="shared" si="28"/>
        <v>pascua</v>
      </c>
      <c r="D144" t="s">
        <v>2</v>
      </c>
      <c r="E144" s="2">
        <f t="shared" ref="E144:E148" si="44">E143</f>
        <v>21</v>
      </c>
      <c r="F144" t="s">
        <v>4</v>
      </c>
      <c r="G144" s="1" t="str">
        <f t="shared" si="43"/>
        <v>tps021martes</v>
      </c>
    </row>
    <row r="145" spans="2:7" x14ac:dyDescent="0.25">
      <c r="B145" t="s">
        <v>0</v>
      </c>
      <c r="C145" t="str">
        <f t="shared" si="28"/>
        <v>pascua</v>
      </c>
      <c r="D145" t="s">
        <v>2</v>
      </c>
      <c r="E145" s="2">
        <f t="shared" si="44"/>
        <v>21</v>
      </c>
      <c r="F145" t="s">
        <v>5</v>
      </c>
      <c r="G145" s="1" t="str">
        <f t="shared" si="43"/>
        <v>tps021miercoles</v>
      </c>
    </row>
    <row r="146" spans="2:7" x14ac:dyDescent="0.25">
      <c r="B146" t="s">
        <v>0</v>
      </c>
      <c r="C146" t="str">
        <f t="shared" si="28"/>
        <v>pascua</v>
      </c>
      <c r="D146" t="s">
        <v>2</v>
      </c>
      <c r="E146" s="2">
        <f t="shared" si="44"/>
        <v>21</v>
      </c>
      <c r="F146" t="s">
        <v>6</v>
      </c>
      <c r="G146" s="1" t="str">
        <f t="shared" si="43"/>
        <v>tps021jueves</v>
      </c>
    </row>
    <row r="147" spans="2:7" x14ac:dyDescent="0.25">
      <c r="B147" t="s">
        <v>0</v>
      </c>
      <c r="C147" t="str">
        <f t="shared" si="28"/>
        <v>pascua</v>
      </c>
      <c r="D147" t="s">
        <v>2</v>
      </c>
      <c r="E147" s="2">
        <f t="shared" si="44"/>
        <v>21</v>
      </c>
      <c r="F147" t="s">
        <v>7</v>
      </c>
      <c r="G147" s="1" t="str">
        <f t="shared" si="43"/>
        <v>tps021viernes</v>
      </c>
    </row>
    <row r="148" spans="2:7" x14ac:dyDescent="0.25">
      <c r="B148" t="s">
        <v>0</v>
      </c>
      <c r="C148" t="str">
        <f t="shared" si="28"/>
        <v>pascua</v>
      </c>
      <c r="D148" t="s">
        <v>2</v>
      </c>
      <c r="E148" s="2">
        <f t="shared" si="44"/>
        <v>21</v>
      </c>
      <c r="F148" t="s">
        <v>8</v>
      </c>
      <c r="G148" s="1" t="str">
        <f t="shared" si="43"/>
        <v>tps021sabado</v>
      </c>
    </row>
    <row r="149" spans="2:7" x14ac:dyDescent="0.25">
      <c r="B149" t="s">
        <v>0</v>
      </c>
      <c r="C149" t="str">
        <f t="shared" si="28"/>
        <v>pascua</v>
      </c>
      <c r="D149" t="s">
        <v>2</v>
      </c>
      <c r="E149" s="2">
        <f>+E148+1</f>
        <v>22</v>
      </c>
      <c r="F149" t="s">
        <v>9</v>
      </c>
      <c r="G149" s="1" t="str">
        <f>_xlfn.CONCAT(LEFT(B149,1),LEFT(C149,1),LEFT(D149,1),"0",E149,F149)</f>
        <v>tps022domingo</v>
      </c>
    </row>
    <row r="150" spans="2:7" x14ac:dyDescent="0.25">
      <c r="B150" t="s">
        <v>0</v>
      </c>
      <c r="C150" t="str">
        <f t="shared" si="28"/>
        <v>pascua</v>
      </c>
      <c r="D150" t="s">
        <v>2</v>
      </c>
      <c r="E150" s="2">
        <f>E149</f>
        <v>22</v>
      </c>
      <c r="F150" t="s">
        <v>3</v>
      </c>
      <c r="G150" s="1" t="str">
        <f t="shared" ref="G150:G155" si="45">_xlfn.CONCAT(LEFT(B150,1),LEFT(C150,1),LEFT(D150,1),"0",E150,F150)</f>
        <v>tps022lunes</v>
      </c>
    </row>
    <row r="151" spans="2:7" x14ac:dyDescent="0.25">
      <c r="B151" t="s">
        <v>0</v>
      </c>
      <c r="C151" t="str">
        <f t="shared" si="28"/>
        <v>pascua</v>
      </c>
      <c r="D151" t="s">
        <v>2</v>
      </c>
      <c r="E151" s="2">
        <f t="shared" ref="E151:E155" si="46">E150</f>
        <v>22</v>
      </c>
      <c r="F151" t="s">
        <v>4</v>
      </c>
      <c r="G151" s="1" t="str">
        <f t="shared" si="45"/>
        <v>tps022martes</v>
      </c>
    </row>
    <row r="152" spans="2:7" x14ac:dyDescent="0.25">
      <c r="B152" t="s">
        <v>0</v>
      </c>
      <c r="C152" t="str">
        <f t="shared" si="28"/>
        <v>pascua</v>
      </c>
      <c r="D152" t="s">
        <v>2</v>
      </c>
      <c r="E152" s="2">
        <f t="shared" si="46"/>
        <v>22</v>
      </c>
      <c r="F152" t="s">
        <v>5</v>
      </c>
      <c r="G152" s="1" t="str">
        <f t="shared" si="45"/>
        <v>tps022miercoles</v>
      </c>
    </row>
    <row r="153" spans="2:7" x14ac:dyDescent="0.25">
      <c r="B153" t="s">
        <v>0</v>
      </c>
      <c r="C153" t="str">
        <f t="shared" ref="C153:C216" si="47">C152</f>
        <v>pascua</v>
      </c>
      <c r="D153" t="s">
        <v>2</v>
      </c>
      <c r="E153" s="2">
        <f t="shared" si="46"/>
        <v>22</v>
      </c>
      <c r="F153" t="s">
        <v>6</v>
      </c>
      <c r="G153" s="1" t="str">
        <f t="shared" si="45"/>
        <v>tps022jueves</v>
      </c>
    </row>
    <row r="154" spans="2:7" x14ac:dyDescent="0.25">
      <c r="B154" t="s">
        <v>0</v>
      </c>
      <c r="C154" t="str">
        <f t="shared" si="47"/>
        <v>pascua</v>
      </c>
      <c r="D154" t="s">
        <v>2</v>
      </c>
      <c r="E154" s="2">
        <f t="shared" si="46"/>
        <v>22</v>
      </c>
      <c r="F154" t="s">
        <v>7</v>
      </c>
      <c r="G154" s="1" t="str">
        <f t="shared" si="45"/>
        <v>tps022viernes</v>
      </c>
    </row>
    <row r="155" spans="2:7" x14ac:dyDescent="0.25">
      <c r="B155" t="s">
        <v>0</v>
      </c>
      <c r="C155" t="str">
        <f t="shared" si="47"/>
        <v>pascua</v>
      </c>
      <c r="D155" t="s">
        <v>2</v>
      </c>
      <c r="E155" s="2">
        <f t="shared" si="46"/>
        <v>22</v>
      </c>
      <c r="F155" t="s">
        <v>8</v>
      </c>
      <c r="G155" s="1" t="str">
        <f t="shared" si="45"/>
        <v>tps022sabado</v>
      </c>
    </row>
    <row r="156" spans="2:7" x14ac:dyDescent="0.25">
      <c r="B156" t="s">
        <v>0</v>
      </c>
      <c r="C156" t="str">
        <f t="shared" si="47"/>
        <v>pascua</v>
      </c>
      <c r="D156" t="s">
        <v>2</v>
      </c>
      <c r="E156" s="2">
        <f>+E155+1</f>
        <v>23</v>
      </c>
      <c r="F156" t="s">
        <v>9</v>
      </c>
      <c r="G156" s="1" t="str">
        <f>_xlfn.CONCAT(LEFT(B156,1),LEFT(C156,1),LEFT(D156,1),"0",E156,F156)</f>
        <v>tps023domingo</v>
      </c>
    </row>
    <row r="157" spans="2:7" x14ac:dyDescent="0.25">
      <c r="B157" t="s">
        <v>0</v>
      </c>
      <c r="C157" t="str">
        <f t="shared" si="47"/>
        <v>pascua</v>
      </c>
      <c r="D157" t="s">
        <v>2</v>
      </c>
      <c r="E157" s="2">
        <f>E156</f>
        <v>23</v>
      </c>
      <c r="F157" t="s">
        <v>3</v>
      </c>
      <c r="G157" s="1" t="str">
        <f t="shared" ref="G157:G162" si="48">_xlfn.CONCAT(LEFT(B157,1),LEFT(C157,1),LEFT(D157,1),"0",E157,F157)</f>
        <v>tps023lunes</v>
      </c>
    </row>
    <row r="158" spans="2:7" x14ac:dyDescent="0.25">
      <c r="B158" t="s">
        <v>0</v>
      </c>
      <c r="C158" t="str">
        <f t="shared" si="47"/>
        <v>pascua</v>
      </c>
      <c r="D158" t="s">
        <v>2</v>
      </c>
      <c r="E158" s="2">
        <f t="shared" ref="E158:E162" si="49">E157</f>
        <v>23</v>
      </c>
      <c r="F158" t="s">
        <v>4</v>
      </c>
      <c r="G158" s="1" t="str">
        <f t="shared" si="48"/>
        <v>tps023martes</v>
      </c>
    </row>
    <row r="159" spans="2:7" x14ac:dyDescent="0.25">
      <c r="B159" t="s">
        <v>0</v>
      </c>
      <c r="C159" t="str">
        <f t="shared" si="47"/>
        <v>pascua</v>
      </c>
      <c r="D159" t="s">
        <v>2</v>
      </c>
      <c r="E159" s="2">
        <f t="shared" si="49"/>
        <v>23</v>
      </c>
      <c r="F159" t="s">
        <v>5</v>
      </c>
      <c r="G159" s="1" t="str">
        <f t="shared" si="48"/>
        <v>tps023miercoles</v>
      </c>
    </row>
    <row r="160" spans="2:7" x14ac:dyDescent="0.25">
      <c r="B160" t="s">
        <v>0</v>
      </c>
      <c r="C160" t="str">
        <f t="shared" si="47"/>
        <v>pascua</v>
      </c>
      <c r="D160" t="s">
        <v>2</v>
      </c>
      <c r="E160" s="2">
        <f t="shared" si="49"/>
        <v>23</v>
      </c>
      <c r="F160" t="s">
        <v>6</v>
      </c>
      <c r="G160" s="1" t="str">
        <f t="shared" si="48"/>
        <v>tps023jueves</v>
      </c>
    </row>
    <row r="161" spans="2:7" x14ac:dyDescent="0.25">
      <c r="B161" t="s">
        <v>0</v>
      </c>
      <c r="C161" t="str">
        <f t="shared" si="47"/>
        <v>pascua</v>
      </c>
      <c r="D161" t="s">
        <v>2</v>
      </c>
      <c r="E161" s="2">
        <f t="shared" si="49"/>
        <v>23</v>
      </c>
      <c r="F161" t="s">
        <v>7</v>
      </c>
      <c r="G161" s="1" t="str">
        <f t="shared" si="48"/>
        <v>tps023viernes</v>
      </c>
    </row>
    <row r="162" spans="2:7" x14ac:dyDescent="0.25">
      <c r="B162" t="s">
        <v>0</v>
      </c>
      <c r="C162" t="str">
        <f t="shared" si="47"/>
        <v>pascua</v>
      </c>
      <c r="D162" t="s">
        <v>2</v>
      </c>
      <c r="E162" s="2">
        <f t="shared" si="49"/>
        <v>23</v>
      </c>
      <c r="F162" t="s">
        <v>8</v>
      </c>
      <c r="G162" s="1" t="str">
        <f t="shared" si="48"/>
        <v>tps023sabado</v>
      </c>
    </row>
    <row r="163" spans="2:7" x14ac:dyDescent="0.25">
      <c r="B163" t="s">
        <v>0</v>
      </c>
      <c r="C163" t="str">
        <f t="shared" si="47"/>
        <v>pascua</v>
      </c>
      <c r="D163" t="s">
        <v>2</v>
      </c>
      <c r="E163" s="2">
        <f>+E162+1</f>
        <v>24</v>
      </c>
      <c r="F163" t="s">
        <v>9</v>
      </c>
      <c r="G163" s="1" t="str">
        <f>_xlfn.CONCAT(LEFT(B163,1),LEFT(C163,1),LEFT(D163,1),"0",E163,F163)</f>
        <v>tps024domingo</v>
      </c>
    </row>
    <row r="164" spans="2:7" x14ac:dyDescent="0.25">
      <c r="B164" t="s">
        <v>0</v>
      </c>
      <c r="C164" t="str">
        <f t="shared" si="47"/>
        <v>pascua</v>
      </c>
      <c r="D164" t="s">
        <v>2</v>
      </c>
      <c r="E164" s="2">
        <f>E163</f>
        <v>24</v>
      </c>
      <c r="F164" t="s">
        <v>3</v>
      </c>
      <c r="G164" s="1" t="str">
        <f t="shared" ref="G164:G169" si="50">_xlfn.CONCAT(LEFT(B164,1),LEFT(C164,1),LEFT(D164,1),"0",E164,F164)</f>
        <v>tps024lunes</v>
      </c>
    </row>
    <row r="165" spans="2:7" x14ac:dyDescent="0.25">
      <c r="B165" t="s">
        <v>0</v>
      </c>
      <c r="C165" t="str">
        <f t="shared" si="47"/>
        <v>pascua</v>
      </c>
      <c r="D165" t="s">
        <v>2</v>
      </c>
      <c r="E165" s="2">
        <f t="shared" ref="E165:E169" si="51">E164</f>
        <v>24</v>
      </c>
      <c r="F165" t="s">
        <v>4</v>
      </c>
      <c r="G165" s="1" t="str">
        <f t="shared" si="50"/>
        <v>tps024martes</v>
      </c>
    </row>
    <row r="166" spans="2:7" x14ac:dyDescent="0.25">
      <c r="B166" t="s">
        <v>0</v>
      </c>
      <c r="C166" t="str">
        <f t="shared" si="47"/>
        <v>pascua</v>
      </c>
      <c r="D166" t="s">
        <v>2</v>
      </c>
      <c r="E166" s="2">
        <f t="shared" si="51"/>
        <v>24</v>
      </c>
      <c r="F166" t="s">
        <v>5</v>
      </c>
      <c r="G166" s="1" t="str">
        <f t="shared" si="50"/>
        <v>tps024miercoles</v>
      </c>
    </row>
    <row r="167" spans="2:7" x14ac:dyDescent="0.25">
      <c r="B167" t="s">
        <v>0</v>
      </c>
      <c r="C167" t="str">
        <f t="shared" si="47"/>
        <v>pascua</v>
      </c>
      <c r="D167" t="s">
        <v>2</v>
      </c>
      <c r="E167" s="2">
        <f t="shared" si="51"/>
        <v>24</v>
      </c>
      <c r="F167" t="s">
        <v>6</v>
      </c>
      <c r="G167" s="1" t="str">
        <f t="shared" si="50"/>
        <v>tps024jueves</v>
      </c>
    </row>
    <row r="168" spans="2:7" x14ac:dyDescent="0.25">
      <c r="B168" t="s">
        <v>0</v>
      </c>
      <c r="C168" t="str">
        <f t="shared" si="47"/>
        <v>pascua</v>
      </c>
      <c r="D168" t="s">
        <v>2</v>
      </c>
      <c r="E168" s="2">
        <f t="shared" si="51"/>
        <v>24</v>
      </c>
      <c r="F168" t="s">
        <v>7</v>
      </c>
      <c r="G168" s="1" t="str">
        <f t="shared" si="50"/>
        <v>tps024viernes</v>
      </c>
    </row>
    <row r="169" spans="2:7" x14ac:dyDescent="0.25">
      <c r="B169" t="s">
        <v>0</v>
      </c>
      <c r="C169" t="str">
        <f t="shared" si="47"/>
        <v>pascua</v>
      </c>
      <c r="D169" t="s">
        <v>2</v>
      </c>
      <c r="E169" s="2">
        <f t="shared" si="51"/>
        <v>24</v>
      </c>
      <c r="F169" t="s">
        <v>8</v>
      </c>
      <c r="G169" s="1" t="str">
        <f t="shared" si="50"/>
        <v>tps024sabado</v>
      </c>
    </row>
    <row r="170" spans="2:7" x14ac:dyDescent="0.25">
      <c r="B170" t="s">
        <v>0</v>
      </c>
      <c r="C170" t="str">
        <f t="shared" si="47"/>
        <v>pascua</v>
      </c>
      <c r="D170" t="s">
        <v>2</v>
      </c>
      <c r="E170" s="2">
        <f>+E169+1</f>
        <v>25</v>
      </c>
      <c r="F170" t="s">
        <v>9</v>
      </c>
      <c r="G170" s="1" t="str">
        <f>_xlfn.CONCAT(LEFT(B170,1),LEFT(C170,1),LEFT(D170,1),"0",E170,F170)</f>
        <v>tps025domingo</v>
      </c>
    </row>
    <row r="171" spans="2:7" x14ac:dyDescent="0.25">
      <c r="B171" t="s">
        <v>0</v>
      </c>
      <c r="C171" t="str">
        <f t="shared" si="47"/>
        <v>pascua</v>
      </c>
      <c r="D171" t="s">
        <v>2</v>
      </c>
      <c r="E171" s="2">
        <f>E170</f>
        <v>25</v>
      </c>
      <c r="F171" t="s">
        <v>3</v>
      </c>
      <c r="G171" s="1" t="str">
        <f t="shared" ref="G171:G176" si="52">_xlfn.CONCAT(LEFT(B171,1),LEFT(C171,1),LEFT(D171,1),"0",E171,F171)</f>
        <v>tps025lunes</v>
      </c>
    </row>
    <row r="172" spans="2:7" x14ac:dyDescent="0.25">
      <c r="B172" t="s">
        <v>0</v>
      </c>
      <c r="C172" t="str">
        <f t="shared" si="47"/>
        <v>pascua</v>
      </c>
      <c r="D172" t="s">
        <v>2</v>
      </c>
      <c r="E172" s="2">
        <f t="shared" ref="E172:E176" si="53">E171</f>
        <v>25</v>
      </c>
      <c r="F172" t="s">
        <v>4</v>
      </c>
      <c r="G172" s="1" t="str">
        <f t="shared" si="52"/>
        <v>tps025martes</v>
      </c>
    </row>
    <row r="173" spans="2:7" x14ac:dyDescent="0.25">
      <c r="B173" t="s">
        <v>0</v>
      </c>
      <c r="C173" t="str">
        <f t="shared" si="47"/>
        <v>pascua</v>
      </c>
      <c r="D173" t="s">
        <v>2</v>
      </c>
      <c r="E173" s="2">
        <f t="shared" si="53"/>
        <v>25</v>
      </c>
      <c r="F173" t="s">
        <v>5</v>
      </c>
      <c r="G173" s="1" t="str">
        <f t="shared" si="52"/>
        <v>tps025miercoles</v>
      </c>
    </row>
    <row r="174" spans="2:7" x14ac:dyDescent="0.25">
      <c r="B174" t="s">
        <v>0</v>
      </c>
      <c r="C174" t="str">
        <f t="shared" si="47"/>
        <v>pascua</v>
      </c>
      <c r="D174" t="s">
        <v>2</v>
      </c>
      <c r="E174" s="2">
        <f t="shared" si="53"/>
        <v>25</v>
      </c>
      <c r="F174" t="s">
        <v>6</v>
      </c>
      <c r="G174" s="1" t="str">
        <f t="shared" si="52"/>
        <v>tps025jueves</v>
      </c>
    </row>
    <row r="175" spans="2:7" x14ac:dyDescent="0.25">
      <c r="B175" t="s">
        <v>0</v>
      </c>
      <c r="C175" t="str">
        <f t="shared" si="47"/>
        <v>pascua</v>
      </c>
      <c r="D175" t="s">
        <v>2</v>
      </c>
      <c r="E175" s="2">
        <f t="shared" si="53"/>
        <v>25</v>
      </c>
      <c r="F175" t="s">
        <v>7</v>
      </c>
      <c r="G175" s="1" t="str">
        <f t="shared" si="52"/>
        <v>tps025viernes</v>
      </c>
    </row>
    <row r="176" spans="2:7" x14ac:dyDescent="0.25">
      <c r="B176" t="s">
        <v>0</v>
      </c>
      <c r="C176" t="str">
        <f t="shared" si="47"/>
        <v>pascua</v>
      </c>
      <c r="D176" t="s">
        <v>2</v>
      </c>
      <c r="E176" s="2">
        <f t="shared" si="53"/>
        <v>25</v>
      </c>
      <c r="F176" t="s">
        <v>8</v>
      </c>
      <c r="G176" s="1" t="str">
        <f t="shared" si="52"/>
        <v>tps025sabado</v>
      </c>
    </row>
    <row r="177" spans="2:7" x14ac:dyDescent="0.25">
      <c r="B177" t="s">
        <v>0</v>
      </c>
      <c r="C177" t="str">
        <f t="shared" si="47"/>
        <v>pascua</v>
      </c>
      <c r="D177" t="s">
        <v>2</v>
      </c>
      <c r="E177" s="2">
        <f>+E176+1</f>
        <v>26</v>
      </c>
      <c r="F177" t="s">
        <v>9</v>
      </c>
      <c r="G177" s="1" t="str">
        <f>_xlfn.CONCAT(LEFT(B177,1),LEFT(C177,1),LEFT(D177,1),"0",E177,F177)</f>
        <v>tps026domingo</v>
      </c>
    </row>
    <row r="178" spans="2:7" x14ac:dyDescent="0.25">
      <c r="B178" t="s">
        <v>0</v>
      </c>
      <c r="C178" t="str">
        <f t="shared" si="47"/>
        <v>pascua</v>
      </c>
      <c r="D178" t="s">
        <v>2</v>
      </c>
      <c r="E178" s="2">
        <f>E177</f>
        <v>26</v>
      </c>
      <c r="F178" t="s">
        <v>3</v>
      </c>
      <c r="G178" s="1" t="str">
        <f t="shared" ref="G178:G183" si="54">_xlfn.CONCAT(LEFT(B178,1),LEFT(C178,1),LEFT(D178,1),"0",E178,F178)</f>
        <v>tps026lunes</v>
      </c>
    </row>
    <row r="179" spans="2:7" x14ac:dyDescent="0.25">
      <c r="B179" t="s">
        <v>0</v>
      </c>
      <c r="C179" t="str">
        <f t="shared" si="47"/>
        <v>pascua</v>
      </c>
      <c r="D179" t="s">
        <v>2</v>
      </c>
      <c r="E179" s="2">
        <f t="shared" ref="E179:E183" si="55">E178</f>
        <v>26</v>
      </c>
      <c r="F179" t="s">
        <v>4</v>
      </c>
      <c r="G179" s="1" t="str">
        <f t="shared" si="54"/>
        <v>tps026martes</v>
      </c>
    </row>
    <row r="180" spans="2:7" x14ac:dyDescent="0.25">
      <c r="B180" t="s">
        <v>0</v>
      </c>
      <c r="C180" t="str">
        <f t="shared" si="47"/>
        <v>pascua</v>
      </c>
      <c r="D180" t="s">
        <v>2</v>
      </c>
      <c r="E180" s="2">
        <f t="shared" si="55"/>
        <v>26</v>
      </c>
      <c r="F180" t="s">
        <v>5</v>
      </c>
      <c r="G180" s="1" t="str">
        <f t="shared" si="54"/>
        <v>tps026miercoles</v>
      </c>
    </row>
    <row r="181" spans="2:7" x14ac:dyDescent="0.25">
      <c r="B181" t="s">
        <v>0</v>
      </c>
      <c r="C181" t="str">
        <f t="shared" si="47"/>
        <v>pascua</v>
      </c>
      <c r="D181" t="s">
        <v>2</v>
      </c>
      <c r="E181" s="2">
        <f t="shared" si="55"/>
        <v>26</v>
      </c>
      <c r="F181" t="s">
        <v>6</v>
      </c>
      <c r="G181" s="1" t="str">
        <f t="shared" si="54"/>
        <v>tps026jueves</v>
      </c>
    </row>
    <row r="182" spans="2:7" x14ac:dyDescent="0.25">
      <c r="B182" t="s">
        <v>0</v>
      </c>
      <c r="C182" t="str">
        <f t="shared" si="47"/>
        <v>pascua</v>
      </c>
      <c r="D182" t="s">
        <v>2</v>
      </c>
      <c r="E182" s="2">
        <f t="shared" si="55"/>
        <v>26</v>
      </c>
      <c r="F182" t="s">
        <v>7</v>
      </c>
      <c r="G182" s="1" t="str">
        <f t="shared" si="54"/>
        <v>tps026viernes</v>
      </c>
    </row>
    <row r="183" spans="2:7" x14ac:dyDescent="0.25">
      <c r="B183" t="s">
        <v>0</v>
      </c>
      <c r="C183" t="str">
        <f t="shared" si="47"/>
        <v>pascua</v>
      </c>
      <c r="D183" t="s">
        <v>2</v>
      </c>
      <c r="E183" s="2">
        <f t="shared" si="55"/>
        <v>26</v>
      </c>
      <c r="F183" t="s">
        <v>8</v>
      </c>
      <c r="G183" s="1" t="str">
        <f t="shared" si="54"/>
        <v>tps026sabado</v>
      </c>
    </row>
    <row r="184" spans="2:7" x14ac:dyDescent="0.25">
      <c r="B184" t="s">
        <v>0</v>
      </c>
      <c r="C184" t="str">
        <f t="shared" si="47"/>
        <v>pascua</v>
      </c>
      <c r="D184" t="s">
        <v>2</v>
      </c>
      <c r="E184" s="2">
        <f>+E183+1</f>
        <v>27</v>
      </c>
      <c r="F184" t="s">
        <v>9</v>
      </c>
      <c r="G184" s="1" t="str">
        <f>_xlfn.CONCAT(LEFT(B184,1),LEFT(C184,1),LEFT(D184,1),"0",E184,F184)</f>
        <v>tps027domingo</v>
      </c>
    </row>
    <row r="185" spans="2:7" x14ac:dyDescent="0.25">
      <c r="B185" t="s">
        <v>0</v>
      </c>
      <c r="C185" t="str">
        <f t="shared" si="47"/>
        <v>pascua</v>
      </c>
      <c r="D185" t="s">
        <v>2</v>
      </c>
      <c r="E185" s="2">
        <f>E184</f>
        <v>27</v>
      </c>
      <c r="F185" t="s">
        <v>3</v>
      </c>
      <c r="G185" s="1" t="str">
        <f t="shared" ref="G185:G190" si="56">_xlfn.CONCAT(LEFT(B185,1),LEFT(C185,1),LEFT(D185,1),"0",E185,F185)</f>
        <v>tps027lunes</v>
      </c>
    </row>
    <row r="186" spans="2:7" x14ac:dyDescent="0.25">
      <c r="B186" t="s">
        <v>0</v>
      </c>
      <c r="C186" t="str">
        <f t="shared" si="47"/>
        <v>pascua</v>
      </c>
      <c r="D186" t="s">
        <v>2</v>
      </c>
      <c r="E186" s="2">
        <f t="shared" ref="E186:E190" si="57">E185</f>
        <v>27</v>
      </c>
      <c r="F186" t="s">
        <v>4</v>
      </c>
      <c r="G186" s="1" t="str">
        <f t="shared" si="56"/>
        <v>tps027martes</v>
      </c>
    </row>
    <row r="187" spans="2:7" x14ac:dyDescent="0.25">
      <c r="B187" t="s">
        <v>0</v>
      </c>
      <c r="C187" t="str">
        <f t="shared" si="47"/>
        <v>pascua</v>
      </c>
      <c r="D187" t="s">
        <v>2</v>
      </c>
      <c r="E187" s="2">
        <f t="shared" si="57"/>
        <v>27</v>
      </c>
      <c r="F187" t="s">
        <v>5</v>
      </c>
      <c r="G187" s="1" t="str">
        <f t="shared" si="56"/>
        <v>tps027miercoles</v>
      </c>
    </row>
    <row r="188" spans="2:7" x14ac:dyDescent="0.25">
      <c r="B188" t="s">
        <v>0</v>
      </c>
      <c r="C188" t="str">
        <f t="shared" si="47"/>
        <v>pascua</v>
      </c>
      <c r="D188" t="s">
        <v>2</v>
      </c>
      <c r="E188" s="2">
        <f t="shared" si="57"/>
        <v>27</v>
      </c>
      <c r="F188" t="s">
        <v>6</v>
      </c>
      <c r="G188" s="1" t="str">
        <f t="shared" si="56"/>
        <v>tps027jueves</v>
      </c>
    </row>
    <row r="189" spans="2:7" x14ac:dyDescent="0.25">
      <c r="B189" t="s">
        <v>0</v>
      </c>
      <c r="C189" t="str">
        <f t="shared" si="47"/>
        <v>pascua</v>
      </c>
      <c r="D189" t="s">
        <v>2</v>
      </c>
      <c r="E189" s="2">
        <f t="shared" si="57"/>
        <v>27</v>
      </c>
      <c r="F189" t="s">
        <v>7</v>
      </c>
      <c r="G189" s="1" t="str">
        <f t="shared" si="56"/>
        <v>tps027viernes</v>
      </c>
    </row>
    <row r="190" spans="2:7" x14ac:dyDescent="0.25">
      <c r="B190" t="s">
        <v>0</v>
      </c>
      <c r="C190" t="str">
        <f t="shared" si="47"/>
        <v>pascua</v>
      </c>
      <c r="D190" t="s">
        <v>2</v>
      </c>
      <c r="E190" s="2">
        <f t="shared" si="57"/>
        <v>27</v>
      </c>
      <c r="F190" t="s">
        <v>8</v>
      </c>
      <c r="G190" s="1" t="str">
        <f t="shared" si="56"/>
        <v>tps027sabado</v>
      </c>
    </row>
    <row r="191" spans="2:7" x14ac:dyDescent="0.25">
      <c r="B191" t="s">
        <v>0</v>
      </c>
      <c r="C191" t="str">
        <f t="shared" si="47"/>
        <v>pascua</v>
      </c>
      <c r="D191" t="s">
        <v>2</v>
      </c>
      <c r="E191" s="2">
        <f>+E190+1</f>
        <v>28</v>
      </c>
      <c r="F191" t="s">
        <v>9</v>
      </c>
      <c r="G191" s="1" t="str">
        <f>_xlfn.CONCAT(LEFT(B191,1),LEFT(C191,1),LEFT(D191,1),"0",E191,F191)</f>
        <v>tps028domingo</v>
      </c>
    </row>
    <row r="192" spans="2:7" x14ac:dyDescent="0.25">
      <c r="B192" t="s">
        <v>0</v>
      </c>
      <c r="C192" t="str">
        <f t="shared" si="47"/>
        <v>pascua</v>
      </c>
      <c r="D192" t="s">
        <v>2</v>
      </c>
      <c r="E192" s="2">
        <f>E191</f>
        <v>28</v>
      </c>
      <c r="F192" t="s">
        <v>3</v>
      </c>
      <c r="G192" s="1" t="str">
        <f t="shared" ref="G192:G197" si="58">_xlfn.CONCAT(LEFT(B192,1),LEFT(C192,1),LEFT(D192,1),"0",E192,F192)</f>
        <v>tps028lunes</v>
      </c>
    </row>
    <row r="193" spans="2:7" x14ac:dyDescent="0.25">
      <c r="B193" t="s">
        <v>0</v>
      </c>
      <c r="C193" t="str">
        <f t="shared" si="47"/>
        <v>pascua</v>
      </c>
      <c r="D193" t="s">
        <v>2</v>
      </c>
      <c r="E193" s="2">
        <f t="shared" ref="E193:E197" si="59">E192</f>
        <v>28</v>
      </c>
      <c r="F193" t="s">
        <v>4</v>
      </c>
      <c r="G193" s="1" t="str">
        <f t="shared" si="58"/>
        <v>tps028martes</v>
      </c>
    </row>
    <row r="194" spans="2:7" x14ac:dyDescent="0.25">
      <c r="B194" t="s">
        <v>0</v>
      </c>
      <c r="C194" t="str">
        <f t="shared" si="47"/>
        <v>pascua</v>
      </c>
      <c r="D194" t="s">
        <v>2</v>
      </c>
      <c r="E194" s="2">
        <f t="shared" si="59"/>
        <v>28</v>
      </c>
      <c r="F194" t="s">
        <v>5</v>
      </c>
      <c r="G194" s="1" t="str">
        <f t="shared" si="58"/>
        <v>tps028miercoles</v>
      </c>
    </row>
    <row r="195" spans="2:7" x14ac:dyDescent="0.25">
      <c r="B195" t="s">
        <v>0</v>
      </c>
      <c r="C195" t="str">
        <f t="shared" si="47"/>
        <v>pascua</v>
      </c>
      <c r="D195" t="s">
        <v>2</v>
      </c>
      <c r="E195" s="2">
        <f t="shared" si="59"/>
        <v>28</v>
      </c>
      <c r="F195" t="s">
        <v>6</v>
      </c>
      <c r="G195" s="1" t="str">
        <f t="shared" si="58"/>
        <v>tps028jueves</v>
      </c>
    </row>
    <row r="196" spans="2:7" x14ac:dyDescent="0.25">
      <c r="B196" t="s">
        <v>0</v>
      </c>
      <c r="C196" t="str">
        <f t="shared" si="47"/>
        <v>pascua</v>
      </c>
      <c r="D196" t="s">
        <v>2</v>
      </c>
      <c r="E196" s="2">
        <f t="shared" si="59"/>
        <v>28</v>
      </c>
      <c r="F196" t="s">
        <v>7</v>
      </c>
      <c r="G196" s="1" t="str">
        <f t="shared" si="58"/>
        <v>tps028viernes</v>
      </c>
    </row>
    <row r="197" spans="2:7" x14ac:dyDescent="0.25">
      <c r="B197" t="s">
        <v>0</v>
      </c>
      <c r="C197" t="str">
        <f t="shared" si="47"/>
        <v>pascua</v>
      </c>
      <c r="D197" t="s">
        <v>2</v>
      </c>
      <c r="E197" s="2">
        <f t="shared" si="59"/>
        <v>28</v>
      </c>
      <c r="F197" t="s">
        <v>8</v>
      </c>
      <c r="G197" s="1" t="str">
        <f t="shared" si="58"/>
        <v>tps028sabado</v>
      </c>
    </row>
    <row r="198" spans="2:7" x14ac:dyDescent="0.25">
      <c r="B198" t="s">
        <v>0</v>
      </c>
      <c r="C198" t="str">
        <f t="shared" si="47"/>
        <v>pascua</v>
      </c>
      <c r="D198" t="s">
        <v>2</v>
      </c>
      <c r="E198" s="2">
        <f>+E197+1</f>
        <v>29</v>
      </c>
      <c r="F198" t="s">
        <v>9</v>
      </c>
      <c r="G198" s="1" t="str">
        <f>_xlfn.CONCAT(LEFT(B198,1),LEFT(C198,1),LEFT(D198,1),"0",E198,F198)</f>
        <v>tps029domingo</v>
      </c>
    </row>
    <row r="199" spans="2:7" x14ac:dyDescent="0.25">
      <c r="B199" t="s">
        <v>0</v>
      </c>
      <c r="C199" t="str">
        <f t="shared" si="47"/>
        <v>pascua</v>
      </c>
      <c r="D199" t="s">
        <v>2</v>
      </c>
      <c r="E199" s="2">
        <f>E198</f>
        <v>29</v>
      </c>
      <c r="F199" t="s">
        <v>3</v>
      </c>
      <c r="G199" s="1" t="str">
        <f t="shared" ref="G199:G204" si="60">_xlfn.CONCAT(LEFT(B199,1),LEFT(C199,1),LEFT(D199,1),"0",E199,F199)</f>
        <v>tps029lunes</v>
      </c>
    </row>
    <row r="200" spans="2:7" x14ac:dyDescent="0.25">
      <c r="B200" t="s">
        <v>0</v>
      </c>
      <c r="C200" t="str">
        <f t="shared" si="47"/>
        <v>pascua</v>
      </c>
      <c r="D200" t="s">
        <v>2</v>
      </c>
      <c r="E200" s="2">
        <f t="shared" ref="E200:E204" si="61">E199</f>
        <v>29</v>
      </c>
      <c r="F200" t="s">
        <v>4</v>
      </c>
      <c r="G200" s="1" t="str">
        <f t="shared" si="60"/>
        <v>tps029martes</v>
      </c>
    </row>
    <row r="201" spans="2:7" x14ac:dyDescent="0.25">
      <c r="B201" t="s">
        <v>0</v>
      </c>
      <c r="C201" t="str">
        <f t="shared" si="47"/>
        <v>pascua</v>
      </c>
      <c r="D201" t="s">
        <v>2</v>
      </c>
      <c r="E201" s="2">
        <f t="shared" si="61"/>
        <v>29</v>
      </c>
      <c r="F201" t="s">
        <v>5</v>
      </c>
      <c r="G201" s="1" t="str">
        <f t="shared" si="60"/>
        <v>tps029miercoles</v>
      </c>
    </row>
    <row r="202" spans="2:7" x14ac:dyDescent="0.25">
      <c r="B202" t="s">
        <v>0</v>
      </c>
      <c r="C202" t="str">
        <f t="shared" si="47"/>
        <v>pascua</v>
      </c>
      <c r="D202" t="s">
        <v>2</v>
      </c>
      <c r="E202" s="2">
        <f t="shared" si="61"/>
        <v>29</v>
      </c>
      <c r="F202" t="s">
        <v>6</v>
      </c>
      <c r="G202" s="1" t="str">
        <f t="shared" si="60"/>
        <v>tps029jueves</v>
      </c>
    </row>
    <row r="203" spans="2:7" x14ac:dyDescent="0.25">
      <c r="B203" t="s">
        <v>0</v>
      </c>
      <c r="C203" t="str">
        <f t="shared" si="47"/>
        <v>pascua</v>
      </c>
      <c r="D203" t="s">
        <v>2</v>
      </c>
      <c r="E203" s="2">
        <f t="shared" si="61"/>
        <v>29</v>
      </c>
      <c r="F203" t="s">
        <v>7</v>
      </c>
      <c r="G203" s="1" t="str">
        <f t="shared" si="60"/>
        <v>tps029viernes</v>
      </c>
    </row>
    <row r="204" spans="2:7" x14ac:dyDescent="0.25">
      <c r="B204" t="s">
        <v>0</v>
      </c>
      <c r="C204" t="str">
        <f t="shared" si="47"/>
        <v>pascua</v>
      </c>
      <c r="D204" t="s">
        <v>2</v>
      </c>
      <c r="E204" s="2">
        <f t="shared" si="61"/>
        <v>29</v>
      </c>
      <c r="F204" t="s">
        <v>8</v>
      </c>
      <c r="G204" s="1" t="str">
        <f t="shared" si="60"/>
        <v>tps029sabado</v>
      </c>
    </row>
    <row r="205" spans="2:7" x14ac:dyDescent="0.25">
      <c r="B205" t="s">
        <v>0</v>
      </c>
      <c r="C205" t="str">
        <f t="shared" si="47"/>
        <v>pascua</v>
      </c>
      <c r="D205" t="s">
        <v>2</v>
      </c>
      <c r="E205" s="2">
        <f>+E204+1</f>
        <v>30</v>
      </c>
      <c r="F205" t="s">
        <v>9</v>
      </c>
      <c r="G205" s="1" t="str">
        <f>_xlfn.CONCAT(LEFT(B205,1),LEFT(C205,1),LEFT(D205,1),"0",E205,F205)</f>
        <v>tps030domingo</v>
      </c>
    </row>
    <row r="206" spans="2:7" x14ac:dyDescent="0.25">
      <c r="B206" t="s">
        <v>0</v>
      </c>
      <c r="C206" t="str">
        <f t="shared" si="47"/>
        <v>pascua</v>
      </c>
      <c r="D206" t="s">
        <v>2</v>
      </c>
      <c r="E206" s="2">
        <f>E205</f>
        <v>30</v>
      </c>
      <c r="F206" t="s">
        <v>3</v>
      </c>
      <c r="G206" s="1" t="str">
        <f t="shared" ref="G206:G211" si="62">_xlfn.CONCAT(LEFT(B206,1),LEFT(C206,1),LEFT(D206,1),"0",E206,F206)</f>
        <v>tps030lunes</v>
      </c>
    </row>
    <row r="207" spans="2:7" x14ac:dyDescent="0.25">
      <c r="B207" t="s">
        <v>0</v>
      </c>
      <c r="C207" t="str">
        <f t="shared" si="47"/>
        <v>pascua</v>
      </c>
      <c r="D207" t="s">
        <v>2</v>
      </c>
      <c r="E207" s="2">
        <f t="shared" ref="E207:E211" si="63">E206</f>
        <v>30</v>
      </c>
      <c r="F207" t="s">
        <v>4</v>
      </c>
      <c r="G207" s="1" t="str">
        <f t="shared" si="62"/>
        <v>tps030martes</v>
      </c>
    </row>
    <row r="208" spans="2:7" x14ac:dyDescent="0.25">
      <c r="B208" t="s">
        <v>0</v>
      </c>
      <c r="C208" t="str">
        <f t="shared" si="47"/>
        <v>pascua</v>
      </c>
      <c r="D208" t="s">
        <v>2</v>
      </c>
      <c r="E208" s="2">
        <f t="shared" si="63"/>
        <v>30</v>
      </c>
      <c r="F208" t="s">
        <v>5</v>
      </c>
      <c r="G208" s="1" t="str">
        <f t="shared" si="62"/>
        <v>tps030miercoles</v>
      </c>
    </row>
    <row r="209" spans="2:7" x14ac:dyDescent="0.25">
      <c r="B209" t="s">
        <v>0</v>
      </c>
      <c r="C209" t="str">
        <f t="shared" si="47"/>
        <v>pascua</v>
      </c>
      <c r="D209" t="s">
        <v>2</v>
      </c>
      <c r="E209" s="2">
        <f t="shared" si="63"/>
        <v>30</v>
      </c>
      <c r="F209" t="s">
        <v>6</v>
      </c>
      <c r="G209" s="1" t="str">
        <f t="shared" si="62"/>
        <v>tps030jueves</v>
      </c>
    </row>
    <row r="210" spans="2:7" x14ac:dyDescent="0.25">
      <c r="B210" t="s">
        <v>0</v>
      </c>
      <c r="C210" t="str">
        <f t="shared" si="47"/>
        <v>pascua</v>
      </c>
      <c r="D210" t="s">
        <v>2</v>
      </c>
      <c r="E210" s="2">
        <f t="shared" si="63"/>
        <v>30</v>
      </c>
      <c r="F210" t="s">
        <v>7</v>
      </c>
      <c r="G210" s="1" t="str">
        <f t="shared" si="62"/>
        <v>tps030viernes</v>
      </c>
    </row>
    <row r="211" spans="2:7" x14ac:dyDescent="0.25">
      <c r="B211" t="s">
        <v>0</v>
      </c>
      <c r="C211" t="str">
        <f t="shared" si="47"/>
        <v>pascua</v>
      </c>
      <c r="D211" t="s">
        <v>2</v>
      </c>
      <c r="E211" s="2">
        <f t="shared" si="63"/>
        <v>30</v>
      </c>
      <c r="F211" t="s">
        <v>8</v>
      </c>
      <c r="G211" s="1" t="str">
        <f t="shared" si="62"/>
        <v>tps030sabado</v>
      </c>
    </row>
    <row r="212" spans="2:7" x14ac:dyDescent="0.25">
      <c r="B212" t="s">
        <v>0</v>
      </c>
      <c r="C212" t="str">
        <f t="shared" si="47"/>
        <v>pascua</v>
      </c>
      <c r="D212" t="s">
        <v>2</v>
      </c>
      <c r="E212" s="2">
        <f>+E211+1</f>
        <v>31</v>
      </c>
      <c r="F212" t="s">
        <v>9</v>
      </c>
      <c r="G212" s="1" t="str">
        <f>_xlfn.CONCAT(LEFT(B212,1),LEFT(C212,1),LEFT(D212,1),"0",E212,F212)</f>
        <v>tps031domingo</v>
      </c>
    </row>
    <row r="213" spans="2:7" x14ac:dyDescent="0.25">
      <c r="B213" t="s">
        <v>0</v>
      </c>
      <c r="C213" t="str">
        <f t="shared" si="47"/>
        <v>pascua</v>
      </c>
      <c r="D213" t="s">
        <v>2</v>
      </c>
      <c r="E213" s="2">
        <f>E212</f>
        <v>31</v>
      </c>
      <c r="F213" t="s">
        <v>3</v>
      </c>
      <c r="G213" s="1" t="str">
        <f t="shared" ref="G213:G218" si="64">_xlfn.CONCAT(LEFT(B213,1),LEFT(C213,1),LEFT(D213,1),"0",E213,F213)</f>
        <v>tps031lunes</v>
      </c>
    </row>
    <row r="214" spans="2:7" x14ac:dyDescent="0.25">
      <c r="B214" t="s">
        <v>0</v>
      </c>
      <c r="C214" t="str">
        <f t="shared" si="47"/>
        <v>pascua</v>
      </c>
      <c r="D214" t="s">
        <v>2</v>
      </c>
      <c r="E214" s="2">
        <f t="shared" ref="E214:E218" si="65">E213</f>
        <v>31</v>
      </c>
      <c r="F214" t="s">
        <v>4</v>
      </c>
      <c r="G214" s="1" t="str">
        <f t="shared" si="64"/>
        <v>tps031martes</v>
      </c>
    </row>
    <row r="215" spans="2:7" x14ac:dyDescent="0.25">
      <c r="B215" t="s">
        <v>0</v>
      </c>
      <c r="C215" t="str">
        <f t="shared" si="47"/>
        <v>pascua</v>
      </c>
      <c r="D215" t="s">
        <v>2</v>
      </c>
      <c r="E215" s="2">
        <f t="shared" si="65"/>
        <v>31</v>
      </c>
      <c r="F215" t="s">
        <v>5</v>
      </c>
      <c r="G215" s="1" t="str">
        <f t="shared" si="64"/>
        <v>tps031miercoles</v>
      </c>
    </row>
    <row r="216" spans="2:7" x14ac:dyDescent="0.25">
      <c r="B216" t="s">
        <v>0</v>
      </c>
      <c r="C216" t="str">
        <f t="shared" si="47"/>
        <v>pascua</v>
      </c>
      <c r="D216" t="s">
        <v>2</v>
      </c>
      <c r="E216" s="2">
        <f t="shared" si="65"/>
        <v>31</v>
      </c>
      <c r="F216" t="s">
        <v>6</v>
      </c>
      <c r="G216" s="1" t="str">
        <f t="shared" si="64"/>
        <v>tps031jueves</v>
      </c>
    </row>
    <row r="217" spans="2:7" x14ac:dyDescent="0.25">
      <c r="B217" t="s">
        <v>0</v>
      </c>
      <c r="C217" t="str">
        <f t="shared" ref="C217:C239" si="66">C216</f>
        <v>pascua</v>
      </c>
      <c r="D217" t="s">
        <v>2</v>
      </c>
      <c r="E217" s="2">
        <f t="shared" si="65"/>
        <v>31</v>
      </c>
      <c r="F217" t="s">
        <v>7</v>
      </c>
      <c r="G217" s="1" t="str">
        <f t="shared" si="64"/>
        <v>tps031viernes</v>
      </c>
    </row>
    <row r="218" spans="2:7" x14ac:dyDescent="0.25">
      <c r="B218" t="s">
        <v>0</v>
      </c>
      <c r="C218" t="str">
        <f t="shared" si="66"/>
        <v>pascua</v>
      </c>
      <c r="D218" t="s">
        <v>2</v>
      </c>
      <c r="E218" s="2">
        <f t="shared" si="65"/>
        <v>31</v>
      </c>
      <c r="F218" t="s">
        <v>8</v>
      </c>
      <c r="G218" s="1" t="str">
        <f t="shared" si="64"/>
        <v>tps031sabado</v>
      </c>
    </row>
    <row r="219" spans="2:7" x14ac:dyDescent="0.25">
      <c r="B219" t="s">
        <v>0</v>
      </c>
      <c r="C219" t="str">
        <f t="shared" si="66"/>
        <v>pascua</v>
      </c>
      <c r="D219" t="s">
        <v>2</v>
      </c>
      <c r="E219" s="2">
        <f>+E218+1</f>
        <v>32</v>
      </c>
      <c r="F219" t="s">
        <v>9</v>
      </c>
      <c r="G219" s="1" t="str">
        <f>_xlfn.CONCAT(LEFT(B219,1),LEFT(C219,1),LEFT(D219,1),"0",E219,F219)</f>
        <v>tps032domingo</v>
      </c>
    </row>
    <row r="220" spans="2:7" x14ac:dyDescent="0.25">
      <c r="B220" t="s">
        <v>0</v>
      </c>
      <c r="C220" t="str">
        <f t="shared" si="66"/>
        <v>pascua</v>
      </c>
      <c r="D220" t="s">
        <v>2</v>
      </c>
      <c r="E220" s="2">
        <f>E219</f>
        <v>32</v>
      </c>
      <c r="F220" t="s">
        <v>3</v>
      </c>
      <c r="G220" s="1" t="str">
        <f t="shared" ref="G220:G225" si="67">_xlfn.CONCAT(LEFT(B220,1),LEFT(C220,1),LEFT(D220,1),"0",E220,F220)</f>
        <v>tps032lunes</v>
      </c>
    </row>
    <row r="221" spans="2:7" x14ac:dyDescent="0.25">
      <c r="B221" t="s">
        <v>0</v>
      </c>
      <c r="C221" t="str">
        <f t="shared" si="66"/>
        <v>pascua</v>
      </c>
      <c r="D221" t="s">
        <v>2</v>
      </c>
      <c r="E221" s="2">
        <f t="shared" ref="E221:E225" si="68">E220</f>
        <v>32</v>
      </c>
      <c r="F221" t="s">
        <v>4</v>
      </c>
      <c r="G221" s="1" t="str">
        <f t="shared" si="67"/>
        <v>tps032martes</v>
      </c>
    </row>
    <row r="222" spans="2:7" x14ac:dyDescent="0.25">
      <c r="B222" t="s">
        <v>0</v>
      </c>
      <c r="C222" t="str">
        <f t="shared" si="66"/>
        <v>pascua</v>
      </c>
      <c r="D222" t="s">
        <v>2</v>
      </c>
      <c r="E222" s="2">
        <f t="shared" si="68"/>
        <v>32</v>
      </c>
      <c r="F222" t="s">
        <v>5</v>
      </c>
      <c r="G222" s="1" t="str">
        <f t="shared" si="67"/>
        <v>tps032miercoles</v>
      </c>
    </row>
    <row r="223" spans="2:7" x14ac:dyDescent="0.25">
      <c r="B223" t="s">
        <v>0</v>
      </c>
      <c r="C223" t="str">
        <f t="shared" si="66"/>
        <v>pascua</v>
      </c>
      <c r="D223" t="s">
        <v>2</v>
      </c>
      <c r="E223" s="2">
        <f t="shared" si="68"/>
        <v>32</v>
      </c>
      <c r="F223" t="s">
        <v>6</v>
      </c>
      <c r="G223" s="1" t="str">
        <f t="shared" si="67"/>
        <v>tps032jueves</v>
      </c>
    </row>
    <row r="224" spans="2:7" x14ac:dyDescent="0.25">
      <c r="B224" t="s">
        <v>0</v>
      </c>
      <c r="C224" t="str">
        <f t="shared" si="66"/>
        <v>pascua</v>
      </c>
      <c r="D224" t="s">
        <v>2</v>
      </c>
      <c r="E224" s="2">
        <f t="shared" si="68"/>
        <v>32</v>
      </c>
      <c r="F224" t="s">
        <v>7</v>
      </c>
      <c r="G224" s="1" t="str">
        <f t="shared" si="67"/>
        <v>tps032viernes</v>
      </c>
    </row>
    <row r="225" spans="2:7" x14ac:dyDescent="0.25">
      <c r="B225" t="s">
        <v>0</v>
      </c>
      <c r="C225" t="str">
        <f t="shared" si="66"/>
        <v>pascua</v>
      </c>
      <c r="D225" t="s">
        <v>2</v>
      </c>
      <c r="E225" s="2">
        <f t="shared" si="68"/>
        <v>32</v>
      </c>
      <c r="F225" t="s">
        <v>8</v>
      </c>
      <c r="G225" s="1" t="str">
        <f t="shared" si="67"/>
        <v>tps032sabado</v>
      </c>
    </row>
    <row r="226" spans="2:7" x14ac:dyDescent="0.25">
      <c r="B226" t="s">
        <v>0</v>
      </c>
      <c r="C226" t="str">
        <f t="shared" si="66"/>
        <v>pascua</v>
      </c>
      <c r="D226" t="s">
        <v>2</v>
      </c>
      <c r="E226" s="2">
        <f>+E225+1</f>
        <v>33</v>
      </c>
      <c r="F226" t="s">
        <v>9</v>
      </c>
      <c r="G226" s="1" t="str">
        <f>_xlfn.CONCAT(LEFT(B226,1),LEFT(C226,1),LEFT(D226,1),"0",E226,F226)</f>
        <v>tps033domingo</v>
      </c>
    </row>
    <row r="227" spans="2:7" x14ac:dyDescent="0.25">
      <c r="B227" t="s">
        <v>0</v>
      </c>
      <c r="C227" t="str">
        <f t="shared" si="66"/>
        <v>pascua</v>
      </c>
      <c r="D227" t="s">
        <v>2</v>
      </c>
      <c r="E227" s="2">
        <f>E226</f>
        <v>33</v>
      </c>
      <c r="F227" t="s">
        <v>3</v>
      </c>
      <c r="G227" s="1" t="str">
        <f t="shared" ref="G227:G232" si="69">_xlfn.CONCAT(LEFT(B227,1),LEFT(C227,1),LEFT(D227,1),"0",E227,F227)</f>
        <v>tps033lunes</v>
      </c>
    </row>
    <row r="228" spans="2:7" x14ac:dyDescent="0.25">
      <c r="B228" t="s">
        <v>0</v>
      </c>
      <c r="C228" t="str">
        <f t="shared" si="66"/>
        <v>pascua</v>
      </c>
      <c r="D228" t="s">
        <v>2</v>
      </c>
      <c r="E228" s="2">
        <f t="shared" ref="E228:E232" si="70">E227</f>
        <v>33</v>
      </c>
      <c r="F228" t="s">
        <v>4</v>
      </c>
      <c r="G228" s="1" t="str">
        <f t="shared" si="69"/>
        <v>tps033martes</v>
      </c>
    </row>
    <row r="229" spans="2:7" x14ac:dyDescent="0.25">
      <c r="B229" t="s">
        <v>0</v>
      </c>
      <c r="C229" t="str">
        <f t="shared" si="66"/>
        <v>pascua</v>
      </c>
      <c r="D229" t="s">
        <v>2</v>
      </c>
      <c r="E229" s="2">
        <f t="shared" si="70"/>
        <v>33</v>
      </c>
      <c r="F229" t="s">
        <v>5</v>
      </c>
      <c r="G229" s="1" t="str">
        <f t="shared" si="69"/>
        <v>tps033miercoles</v>
      </c>
    </row>
    <row r="230" spans="2:7" x14ac:dyDescent="0.25">
      <c r="B230" t="s">
        <v>0</v>
      </c>
      <c r="C230" t="str">
        <f t="shared" si="66"/>
        <v>pascua</v>
      </c>
      <c r="D230" t="s">
        <v>2</v>
      </c>
      <c r="E230" s="2">
        <f t="shared" si="70"/>
        <v>33</v>
      </c>
      <c r="F230" t="s">
        <v>6</v>
      </c>
      <c r="G230" s="1" t="str">
        <f t="shared" si="69"/>
        <v>tps033jueves</v>
      </c>
    </row>
    <row r="231" spans="2:7" x14ac:dyDescent="0.25">
      <c r="B231" t="s">
        <v>0</v>
      </c>
      <c r="C231" t="str">
        <f t="shared" si="66"/>
        <v>pascua</v>
      </c>
      <c r="D231" t="s">
        <v>2</v>
      </c>
      <c r="E231" s="2">
        <f t="shared" si="70"/>
        <v>33</v>
      </c>
      <c r="F231" t="s">
        <v>7</v>
      </c>
      <c r="G231" s="1" t="str">
        <f t="shared" si="69"/>
        <v>tps033viernes</v>
      </c>
    </row>
    <row r="232" spans="2:7" x14ac:dyDescent="0.25">
      <c r="B232" t="s">
        <v>0</v>
      </c>
      <c r="C232" t="str">
        <f t="shared" si="66"/>
        <v>pascua</v>
      </c>
      <c r="D232" t="s">
        <v>2</v>
      </c>
      <c r="E232" s="2">
        <f t="shared" si="70"/>
        <v>33</v>
      </c>
      <c r="F232" t="s">
        <v>8</v>
      </c>
      <c r="G232" s="1" t="str">
        <f t="shared" si="69"/>
        <v>tps033sabado</v>
      </c>
    </row>
    <row r="233" spans="2:7" x14ac:dyDescent="0.25">
      <c r="B233" t="s">
        <v>0</v>
      </c>
      <c r="C233" t="str">
        <f t="shared" si="66"/>
        <v>pascua</v>
      </c>
      <c r="D233" t="s">
        <v>2</v>
      </c>
      <c r="E233" s="2">
        <f>+E232+1</f>
        <v>34</v>
      </c>
      <c r="F233" t="s">
        <v>9</v>
      </c>
      <c r="G233" s="1" t="str">
        <f>_xlfn.CONCAT(LEFT(B233,1),LEFT(C233,1),LEFT(D233,1),"0",E233,F233)</f>
        <v>tps034domingo</v>
      </c>
    </row>
    <row r="234" spans="2:7" x14ac:dyDescent="0.25">
      <c r="B234" t="s">
        <v>0</v>
      </c>
      <c r="C234" t="str">
        <f t="shared" si="66"/>
        <v>pascua</v>
      </c>
      <c r="D234" t="s">
        <v>2</v>
      </c>
      <c r="E234" s="2">
        <f>E233</f>
        <v>34</v>
      </c>
      <c r="F234" t="s">
        <v>3</v>
      </c>
      <c r="G234" s="1" t="str">
        <f t="shared" ref="G234:G239" si="71">_xlfn.CONCAT(LEFT(B234,1),LEFT(C234,1),LEFT(D234,1),"0",E234,F234)</f>
        <v>tps034lunes</v>
      </c>
    </row>
    <row r="235" spans="2:7" x14ac:dyDescent="0.25">
      <c r="B235" t="s">
        <v>0</v>
      </c>
      <c r="C235" t="str">
        <f t="shared" si="66"/>
        <v>pascua</v>
      </c>
      <c r="D235" t="s">
        <v>2</v>
      </c>
      <c r="E235" s="2">
        <f t="shared" ref="E235:E239" si="72">E234</f>
        <v>34</v>
      </c>
      <c r="F235" t="s">
        <v>4</v>
      </c>
      <c r="G235" s="1" t="str">
        <f t="shared" si="71"/>
        <v>tps034martes</v>
      </c>
    </row>
    <row r="236" spans="2:7" x14ac:dyDescent="0.25">
      <c r="B236" t="s">
        <v>0</v>
      </c>
      <c r="C236" t="str">
        <f t="shared" si="66"/>
        <v>pascua</v>
      </c>
      <c r="D236" t="s">
        <v>2</v>
      </c>
      <c r="E236" s="2">
        <f t="shared" si="72"/>
        <v>34</v>
      </c>
      <c r="F236" t="s">
        <v>5</v>
      </c>
      <c r="G236" s="1" t="str">
        <f t="shared" si="71"/>
        <v>tps034miercoles</v>
      </c>
    </row>
    <row r="237" spans="2:7" x14ac:dyDescent="0.25">
      <c r="B237" t="s">
        <v>0</v>
      </c>
      <c r="C237" t="str">
        <f t="shared" si="66"/>
        <v>pascua</v>
      </c>
      <c r="D237" t="s">
        <v>2</v>
      </c>
      <c r="E237" s="2">
        <f t="shared" si="72"/>
        <v>34</v>
      </c>
      <c r="F237" t="s">
        <v>6</v>
      </c>
      <c r="G237" s="1" t="str">
        <f t="shared" si="71"/>
        <v>tps034jueves</v>
      </c>
    </row>
    <row r="238" spans="2:7" x14ac:dyDescent="0.25">
      <c r="B238" t="s">
        <v>0</v>
      </c>
      <c r="C238" t="str">
        <f t="shared" si="66"/>
        <v>pascua</v>
      </c>
      <c r="D238" t="s">
        <v>2</v>
      </c>
      <c r="E238" s="2">
        <f t="shared" si="72"/>
        <v>34</v>
      </c>
      <c r="F238" t="s">
        <v>7</v>
      </c>
      <c r="G238" s="1" t="str">
        <f t="shared" si="71"/>
        <v>tps034viernes</v>
      </c>
    </row>
    <row r="239" spans="2:7" x14ac:dyDescent="0.25">
      <c r="B239" t="s">
        <v>0</v>
      </c>
      <c r="C239" t="str">
        <f t="shared" si="66"/>
        <v>pascua</v>
      </c>
      <c r="D239" t="s">
        <v>2</v>
      </c>
      <c r="E239" s="2">
        <f t="shared" si="72"/>
        <v>34</v>
      </c>
      <c r="F239" t="s">
        <v>8</v>
      </c>
      <c r="G239" s="1" t="str">
        <f t="shared" si="71"/>
        <v>tps034sabado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Ordinario</vt:lpstr>
      <vt:lpstr>Data</vt:lpstr>
      <vt:lpstr>Ordinario (2026)</vt:lpstr>
      <vt:lpstr>Sheet2</vt:lpstr>
      <vt:lpstr>Adviento</vt:lpstr>
      <vt:lpstr>Navidad</vt:lpstr>
      <vt:lpstr>Cuaresma</vt:lpstr>
      <vt:lpstr>Pascua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Baez</dc:creator>
  <cp:lastModifiedBy>Carlos Baez</cp:lastModifiedBy>
  <dcterms:created xsi:type="dcterms:W3CDTF">2025-02-13T13:20:51Z</dcterms:created>
  <dcterms:modified xsi:type="dcterms:W3CDTF">2025-12-23T18:14:57Z</dcterms:modified>
</cp:coreProperties>
</file>